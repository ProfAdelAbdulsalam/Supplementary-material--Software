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24226"/>
  <bookViews>
    <workbookView xWindow="240" yWindow="105" windowWidth="14805" windowHeight="8010"/>
  </bookViews>
  <sheets>
    <sheet name="Main" sheetId="16" r:id="rId1"/>
    <sheet name="1" sheetId="2" r:id="rId2"/>
    <sheet name="2.1(a,b,c)" sheetId="8" r:id="rId3"/>
    <sheet name="2.2(a,b,c)" sheetId="3" r:id="rId4"/>
    <sheet name="2.3(a,b,c)" sheetId="7" r:id="rId5"/>
    <sheet name="3(a,b,c)" sheetId="13" r:id="rId6"/>
    <sheet name="4(a,b,c)" sheetId="14" r:id="rId7"/>
    <sheet name="5.a" sheetId="9" r:id="rId8"/>
    <sheet name="5.b" sheetId="15" r:id="rId9"/>
    <sheet name="5.c" sheetId="17" r:id="rId10"/>
  </sheets>
  <externalReferences>
    <externalReference r:id="rId11"/>
  </externalReferences>
  <definedNames>
    <definedName name="cluster_set">[1]Quick!$GN$10:$GR$109</definedName>
  </definedNames>
  <calcPr calcId="152511"/>
</workbook>
</file>

<file path=xl/calcChain.xml><?xml version="1.0" encoding="utf-8"?>
<calcChain xmlns="http://schemas.openxmlformats.org/spreadsheetml/2006/main">
  <c r="A2" i="17" l="1"/>
  <c r="A1" i="17"/>
  <c r="A2" i="15" l="1"/>
  <c r="A2" i="9"/>
  <c r="A1" i="15"/>
  <c r="A1" i="9" l="1"/>
  <c r="A1" i="7"/>
  <c r="A1" i="8"/>
  <c r="A1" i="3"/>
  <c r="A1" i="13"/>
  <c r="A1" i="14"/>
  <c r="U2" i="14"/>
  <c r="K2" i="14"/>
  <c r="A2" i="14"/>
  <c r="U2" i="13"/>
  <c r="K2" i="13"/>
  <c r="A2" i="13"/>
  <c r="U2" i="7"/>
  <c r="K2" i="7"/>
  <c r="A2" i="7"/>
  <c r="U2" i="3"/>
  <c r="K2" i="3"/>
  <c r="A2" i="3"/>
  <c r="U2" i="8"/>
  <c r="K2" i="8"/>
  <c r="A2" i="8"/>
  <c r="F6" i="15" l="1"/>
  <c r="L6" i="15"/>
  <c r="F7" i="15"/>
  <c r="L7" i="15"/>
  <c r="F8" i="15"/>
  <c r="L8" i="15"/>
  <c r="F9" i="15"/>
  <c r="L9" i="15"/>
  <c r="F10" i="15"/>
  <c r="L10" i="15"/>
  <c r="F11" i="15"/>
  <c r="L11" i="15"/>
  <c r="F12" i="15"/>
  <c r="L12" i="15"/>
  <c r="F13" i="15"/>
  <c r="L13" i="15"/>
  <c r="F14" i="15"/>
  <c r="L14" i="15"/>
  <c r="F15" i="15"/>
  <c r="L15" i="15"/>
  <c r="F16" i="15"/>
  <c r="L16" i="15"/>
  <c r="F17" i="15"/>
  <c r="I17" i="15"/>
  <c r="N17" i="15" s="1"/>
  <c r="P19" i="15" s="1"/>
  <c r="L17" i="15"/>
  <c r="F18" i="15"/>
  <c r="L18" i="15"/>
  <c r="F19" i="15"/>
  <c r="L19" i="15"/>
  <c r="F20" i="15"/>
  <c r="I20" i="15"/>
  <c r="N20" i="15" s="1"/>
  <c r="P16" i="15" s="1"/>
  <c r="L20" i="15"/>
  <c r="F21" i="15"/>
  <c r="I21" i="15"/>
  <c r="N21" i="15" s="1"/>
  <c r="P15" i="15" s="1"/>
  <c r="L21" i="15"/>
  <c r="F22" i="15"/>
  <c r="L22" i="15"/>
  <c r="F23" i="15"/>
  <c r="L23" i="15"/>
  <c r="F24" i="15"/>
  <c r="L24" i="15"/>
  <c r="F25" i="15"/>
  <c r="L25" i="15"/>
  <c r="F26" i="15"/>
  <c r="L26" i="15"/>
  <c r="F27" i="15"/>
  <c r="L27" i="15"/>
  <c r="F28" i="15"/>
  <c r="L28" i="15"/>
  <c r="F29" i="15"/>
  <c r="L29" i="15"/>
  <c r="F30" i="15"/>
  <c r="L30" i="15"/>
  <c r="F31" i="15"/>
  <c r="L31" i="15"/>
  <c r="L5" i="15"/>
  <c r="F5" i="15"/>
  <c r="U27" i="14"/>
  <c r="U28" i="14"/>
  <c r="U29" i="14"/>
  <c r="U30" i="14"/>
  <c r="U26" i="14"/>
  <c r="Y65" i="14"/>
  <c r="Y64" i="14"/>
  <c r="Y63" i="14"/>
  <c r="Y62" i="14"/>
  <c r="Y61" i="14"/>
  <c r="Y60" i="14"/>
  <c r="Y59" i="14"/>
  <c r="Y58" i="14"/>
  <c r="Y57" i="14"/>
  <c r="Y56" i="14"/>
  <c r="Y55" i="14"/>
  <c r="Y54" i="14"/>
  <c r="Y53" i="14"/>
  <c r="Y52" i="14"/>
  <c r="Y51" i="14"/>
  <c r="Y50" i="14"/>
  <c r="Y49" i="14"/>
  <c r="Y48" i="14"/>
  <c r="Y47" i="14"/>
  <c r="Y46" i="14"/>
  <c r="Y45" i="14"/>
  <c r="Y44" i="14"/>
  <c r="Y43" i="14"/>
  <c r="Y42" i="14"/>
  <c r="Y41" i="14"/>
  <c r="Y40" i="14"/>
  <c r="Y39" i="14"/>
  <c r="Y36" i="14"/>
  <c r="V36" i="14"/>
  <c r="Z35" i="14"/>
  <c r="W35" i="14"/>
  <c r="V35" i="14"/>
  <c r="V34" i="14"/>
  <c r="Z33" i="14"/>
  <c r="Y33" i="14"/>
  <c r="X33" i="14"/>
  <c r="V33" i="14"/>
  <c r="V32" i="14"/>
  <c r="Z30" i="14"/>
  <c r="Z34" i="14" s="1"/>
  <c r="Y30" i="14"/>
  <c r="Y34" i="14" s="1"/>
  <c r="X30" i="14"/>
  <c r="X34" i="14" s="1"/>
  <c r="W30" i="14"/>
  <c r="W34" i="14" s="1"/>
  <c r="Z29" i="14"/>
  <c r="Y29" i="14"/>
  <c r="Y35" i="14" s="1"/>
  <c r="X29" i="14"/>
  <c r="X35" i="14" s="1"/>
  <c r="W29" i="14"/>
  <c r="Z28" i="14"/>
  <c r="Z32" i="14" s="1"/>
  <c r="Y28" i="14"/>
  <c r="Y32" i="14" s="1"/>
  <c r="X28" i="14"/>
  <c r="X32" i="14" s="1"/>
  <c r="W28" i="14"/>
  <c r="W32" i="14" s="1"/>
  <c r="Z27" i="14"/>
  <c r="Z36" i="14" s="1"/>
  <c r="Y27" i="14"/>
  <c r="X27" i="14"/>
  <c r="X36" i="14" s="1"/>
  <c r="W27" i="14"/>
  <c r="W36" i="14" s="1"/>
  <c r="Z26" i="14"/>
  <c r="Y26" i="14"/>
  <c r="X26" i="14"/>
  <c r="W26" i="14"/>
  <c r="W33" i="14" s="1"/>
  <c r="Z25" i="14"/>
  <c r="Y25" i="14"/>
  <c r="X25" i="14"/>
  <c r="W25" i="14"/>
  <c r="K27" i="14"/>
  <c r="K28" i="14"/>
  <c r="K29" i="14"/>
  <c r="K30" i="14"/>
  <c r="K26" i="14"/>
  <c r="O65" i="14"/>
  <c r="I31" i="15" s="1"/>
  <c r="O64" i="14"/>
  <c r="I30" i="15" s="1"/>
  <c r="O63" i="14"/>
  <c r="I29" i="15" s="1"/>
  <c r="N29" i="15" s="1"/>
  <c r="P7" i="15" s="1"/>
  <c r="O62" i="14"/>
  <c r="I28" i="15" s="1"/>
  <c r="O61" i="14"/>
  <c r="I27" i="15" s="1"/>
  <c r="O60" i="14"/>
  <c r="I26" i="15" s="1"/>
  <c r="O59" i="14"/>
  <c r="I25" i="15" s="1"/>
  <c r="N25" i="15" s="1"/>
  <c r="P11" i="15" s="1"/>
  <c r="O58" i="14"/>
  <c r="I24" i="15" s="1"/>
  <c r="N24" i="15" s="1"/>
  <c r="P12" i="15" s="1"/>
  <c r="O57" i="14"/>
  <c r="I23" i="15" s="1"/>
  <c r="O56" i="14"/>
  <c r="I22" i="15" s="1"/>
  <c r="O55" i="14"/>
  <c r="O54" i="14"/>
  <c r="O53" i="14"/>
  <c r="I19" i="15" s="1"/>
  <c r="O52" i="14"/>
  <c r="I18" i="15" s="1"/>
  <c r="O51" i="14"/>
  <c r="O50" i="14"/>
  <c r="I16" i="15" s="1"/>
  <c r="O49" i="14"/>
  <c r="I15" i="15" s="1"/>
  <c r="O48" i="14"/>
  <c r="I14" i="15" s="1"/>
  <c r="O47" i="14"/>
  <c r="I13" i="15" s="1"/>
  <c r="N13" i="15" s="1"/>
  <c r="P23" i="15" s="1"/>
  <c r="O46" i="14"/>
  <c r="I12" i="15" s="1"/>
  <c r="N12" i="15" s="1"/>
  <c r="P24" i="15" s="1"/>
  <c r="O45" i="14"/>
  <c r="I11" i="15" s="1"/>
  <c r="O44" i="14"/>
  <c r="I10" i="15" s="1"/>
  <c r="O43" i="14"/>
  <c r="I9" i="15" s="1"/>
  <c r="N9" i="15" s="1"/>
  <c r="P27" i="15" s="1"/>
  <c r="O42" i="14"/>
  <c r="I8" i="15" s="1"/>
  <c r="N8" i="15" s="1"/>
  <c r="P28" i="15" s="1"/>
  <c r="O41" i="14"/>
  <c r="I7" i="15" s="1"/>
  <c r="O40" i="14"/>
  <c r="I6" i="15" s="1"/>
  <c r="O39" i="14"/>
  <c r="I5" i="15" s="1"/>
  <c r="P36" i="14"/>
  <c r="O36" i="14"/>
  <c r="N36" i="14"/>
  <c r="M36" i="14"/>
  <c r="L36" i="14"/>
  <c r="P35" i="14"/>
  <c r="O35" i="14"/>
  <c r="N35" i="14"/>
  <c r="M35" i="14"/>
  <c r="L35" i="14"/>
  <c r="P34" i="14"/>
  <c r="O34" i="14"/>
  <c r="N34" i="14"/>
  <c r="M34" i="14"/>
  <c r="L34" i="14"/>
  <c r="P33" i="14"/>
  <c r="O33" i="14"/>
  <c r="N33" i="14"/>
  <c r="M33" i="14"/>
  <c r="L33" i="14"/>
  <c r="P32" i="14"/>
  <c r="O32" i="14"/>
  <c r="N32" i="14"/>
  <c r="M32" i="14"/>
  <c r="L32" i="14"/>
  <c r="P30" i="14"/>
  <c r="O30" i="14"/>
  <c r="N30" i="14"/>
  <c r="M30" i="14"/>
  <c r="P29" i="14"/>
  <c r="O29" i="14"/>
  <c r="N29" i="14"/>
  <c r="M29" i="14"/>
  <c r="P28" i="14"/>
  <c r="O28" i="14"/>
  <c r="N28" i="14"/>
  <c r="M28" i="14"/>
  <c r="P27" i="14"/>
  <c r="O27" i="14"/>
  <c r="N27" i="14"/>
  <c r="M27" i="14"/>
  <c r="P26" i="14"/>
  <c r="O26" i="14"/>
  <c r="N26" i="14"/>
  <c r="M26" i="14"/>
  <c r="P25" i="14"/>
  <c r="O25" i="14"/>
  <c r="N25" i="14"/>
  <c r="M25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F36" i="14"/>
  <c r="E36" i="14"/>
  <c r="D36" i="14"/>
  <c r="C36" i="14"/>
  <c r="B36" i="14"/>
  <c r="F35" i="14"/>
  <c r="E35" i="14"/>
  <c r="D35" i="14"/>
  <c r="C35" i="14"/>
  <c r="B35" i="14"/>
  <c r="F34" i="14"/>
  <c r="E34" i="14"/>
  <c r="D34" i="14"/>
  <c r="C34" i="14"/>
  <c r="B34" i="14"/>
  <c r="F33" i="14"/>
  <c r="E33" i="14"/>
  <c r="D33" i="14"/>
  <c r="C33" i="14"/>
  <c r="B33" i="14"/>
  <c r="F32" i="14"/>
  <c r="E32" i="14"/>
  <c r="D32" i="14"/>
  <c r="C32" i="14"/>
  <c r="B32" i="14"/>
  <c r="F30" i="14"/>
  <c r="E30" i="14"/>
  <c r="D30" i="14"/>
  <c r="C30" i="14"/>
  <c r="A30" i="14"/>
  <c r="F29" i="14"/>
  <c r="E29" i="14"/>
  <c r="D29" i="14"/>
  <c r="C29" i="14"/>
  <c r="A29" i="14"/>
  <c r="F28" i="14"/>
  <c r="E28" i="14"/>
  <c r="D28" i="14"/>
  <c r="C28" i="14"/>
  <c r="A28" i="14"/>
  <c r="F27" i="14"/>
  <c r="E27" i="14"/>
  <c r="D27" i="14"/>
  <c r="C27" i="14"/>
  <c r="A27" i="14"/>
  <c r="F26" i="14"/>
  <c r="E26" i="14"/>
  <c r="D26" i="14"/>
  <c r="C26" i="14"/>
  <c r="A26" i="14"/>
  <c r="F25" i="14"/>
  <c r="E25" i="14"/>
  <c r="D25" i="14"/>
  <c r="C25" i="14"/>
  <c r="N30" i="15" l="1"/>
  <c r="P6" i="15" s="1"/>
  <c r="N26" i="15"/>
  <c r="P10" i="15" s="1"/>
  <c r="N22" i="15"/>
  <c r="P14" i="15" s="1"/>
  <c r="N18" i="15"/>
  <c r="P18" i="15" s="1"/>
  <c r="N14" i="15"/>
  <c r="P22" i="15" s="1"/>
  <c r="N10" i="15"/>
  <c r="P26" i="15" s="1"/>
  <c r="N6" i="15"/>
  <c r="P30" i="15" s="1"/>
  <c r="N31" i="15"/>
  <c r="P5" i="15" s="1"/>
  <c r="N27" i="15"/>
  <c r="P9" i="15" s="1"/>
  <c r="N23" i="15"/>
  <c r="P13" i="15" s="1"/>
  <c r="N19" i="15"/>
  <c r="P17" i="15" s="1"/>
  <c r="N15" i="15"/>
  <c r="P21" i="15" s="1"/>
  <c r="N11" i="15"/>
  <c r="P25" i="15" s="1"/>
  <c r="N7" i="15"/>
  <c r="P29" i="15" s="1"/>
  <c r="N28" i="15"/>
  <c r="P8" i="15" s="1"/>
  <c r="N5" i="15"/>
  <c r="P31" i="15" s="1"/>
  <c r="N16" i="15"/>
  <c r="P20" i="15" s="1"/>
  <c r="W65" i="13"/>
  <c r="X65" i="13"/>
  <c r="Y65" i="13"/>
  <c r="Y123" i="13" s="1"/>
  <c r="Y180" i="13" s="1"/>
  <c r="Z65" i="13"/>
  <c r="Z123" i="13" s="1"/>
  <c r="Z180" i="13" s="1"/>
  <c r="AA65" i="13"/>
  <c r="AB65" i="13"/>
  <c r="AB123" i="13" s="1"/>
  <c r="AB180" i="13" s="1"/>
  <c r="AC65" i="13"/>
  <c r="AC123" i="13" s="1"/>
  <c r="AC180" i="13" s="1"/>
  <c r="W66" i="13"/>
  <c r="W124" i="13" s="1"/>
  <c r="W181" i="13" s="1"/>
  <c r="W243" i="13" s="1"/>
  <c r="X66" i="13"/>
  <c r="Y66" i="13"/>
  <c r="Z66" i="13"/>
  <c r="AA66" i="13"/>
  <c r="AB66" i="13"/>
  <c r="AC66" i="13"/>
  <c r="V67" i="13"/>
  <c r="W67" i="13"/>
  <c r="W125" i="13" s="1"/>
  <c r="W182" i="13" s="1"/>
  <c r="W244" i="13" s="1"/>
  <c r="W68" i="13"/>
  <c r="W69" i="13"/>
  <c r="W70" i="13"/>
  <c r="W128" i="13" s="1"/>
  <c r="W185" i="13" s="1"/>
  <c r="W247" i="13" s="1"/>
  <c r="W71" i="13"/>
  <c r="W129" i="13" s="1"/>
  <c r="W186" i="13" s="1"/>
  <c r="W248" i="13" s="1"/>
  <c r="W72" i="13"/>
  <c r="W130" i="13" s="1"/>
  <c r="W187" i="13" s="1"/>
  <c r="W249" i="13" s="1"/>
  <c r="W73" i="13"/>
  <c r="W131" i="13" s="1"/>
  <c r="W188" i="13" s="1"/>
  <c r="W250" i="13" s="1"/>
  <c r="W74" i="13"/>
  <c r="W132" i="13" s="1"/>
  <c r="W189" i="13" s="1"/>
  <c r="W251" i="13" s="1"/>
  <c r="W75" i="13"/>
  <c r="W133" i="13" s="1"/>
  <c r="W190" i="13" s="1"/>
  <c r="W252" i="13" s="1"/>
  <c r="W76" i="13"/>
  <c r="W134" i="13" s="1"/>
  <c r="W191" i="13" s="1"/>
  <c r="W253" i="13" s="1"/>
  <c r="W77" i="13"/>
  <c r="W135" i="13" s="1"/>
  <c r="W192" i="13" s="1"/>
  <c r="W254" i="13" s="1"/>
  <c r="W78" i="13"/>
  <c r="W136" i="13" s="1"/>
  <c r="W193" i="13" s="1"/>
  <c r="W255" i="13" s="1"/>
  <c r="W79" i="13"/>
  <c r="W137" i="13" s="1"/>
  <c r="W194" i="13" s="1"/>
  <c r="W256" i="13" s="1"/>
  <c r="W80" i="13"/>
  <c r="W138" i="13" s="1"/>
  <c r="W195" i="13" s="1"/>
  <c r="W257" i="13" s="1"/>
  <c r="W81" i="13"/>
  <c r="W139" i="13" s="1"/>
  <c r="W196" i="13" s="1"/>
  <c r="W258" i="13" s="1"/>
  <c r="W82" i="13"/>
  <c r="W140" i="13" s="1"/>
  <c r="W197" i="13" s="1"/>
  <c r="W259" i="13" s="1"/>
  <c r="W83" i="13"/>
  <c r="W141" i="13" s="1"/>
  <c r="W198" i="13" s="1"/>
  <c r="W260" i="13" s="1"/>
  <c r="W84" i="13"/>
  <c r="W142" i="13" s="1"/>
  <c r="W199" i="13" s="1"/>
  <c r="W261" i="13" s="1"/>
  <c r="W85" i="13"/>
  <c r="W143" i="13" s="1"/>
  <c r="W200" i="13" s="1"/>
  <c r="W262" i="13" s="1"/>
  <c r="W86" i="13"/>
  <c r="W144" i="13" s="1"/>
  <c r="W201" i="13" s="1"/>
  <c r="W263" i="13" s="1"/>
  <c r="W87" i="13"/>
  <c r="W145" i="13" s="1"/>
  <c r="W202" i="13" s="1"/>
  <c r="W264" i="13" s="1"/>
  <c r="W88" i="13"/>
  <c r="W146" i="13" s="1"/>
  <c r="W203" i="13" s="1"/>
  <c r="W265" i="13" s="1"/>
  <c r="W89" i="13"/>
  <c r="W147" i="13" s="1"/>
  <c r="W204" i="13" s="1"/>
  <c r="W266" i="13" s="1"/>
  <c r="W90" i="13"/>
  <c r="W148" i="13" s="1"/>
  <c r="W205" i="13" s="1"/>
  <c r="W267" i="13" s="1"/>
  <c r="W91" i="13"/>
  <c r="W149" i="13" s="1"/>
  <c r="W206" i="13" s="1"/>
  <c r="W268" i="13" s="1"/>
  <c r="W92" i="13"/>
  <c r="W150" i="13" s="1"/>
  <c r="W207" i="13" s="1"/>
  <c r="W269" i="13" s="1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3" i="13"/>
  <c r="X123" i="13"/>
  <c r="X180" i="13" s="1"/>
  <c r="AA123" i="13"/>
  <c r="AA180" i="13" s="1"/>
  <c r="V125" i="13"/>
  <c r="W126" i="13"/>
  <c r="W183" i="13" s="1"/>
  <c r="W245" i="13" s="1"/>
  <c r="W127" i="13"/>
  <c r="W184" i="13" s="1"/>
  <c r="W246" i="13" s="1"/>
  <c r="V182" i="13"/>
  <c r="V245" i="13"/>
  <c r="V246" i="13" s="1"/>
  <c r="V247" i="13" s="1"/>
  <c r="V248" i="13" s="1"/>
  <c r="V249" i="13" s="1"/>
  <c r="V250" i="13" s="1"/>
  <c r="V251" i="13" s="1"/>
  <c r="V252" i="13" s="1"/>
  <c r="V253" i="13" s="1"/>
  <c r="V254" i="13" s="1"/>
  <c r="V255" i="13" s="1"/>
  <c r="V256" i="13" s="1"/>
  <c r="V257" i="13" s="1"/>
  <c r="V258" i="13" s="1"/>
  <c r="V259" i="13" s="1"/>
  <c r="V260" i="13" s="1"/>
  <c r="V261" i="13" s="1"/>
  <c r="V262" i="13" s="1"/>
  <c r="V263" i="13" s="1"/>
  <c r="V264" i="13" s="1"/>
  <c r="V265" i="13" s="1"/>
  <c r="V266" i="13" s="1"/>
  <c r="V267" i="13" s="1"/>
  <c r="V268" i="13" s="1"/>
  <c r="V269" i="13" s="1"/>
  <c r="M65" i="13"/>
  <c r="N65" i="13"/>
  <c r="O65" i="13"/>
  <c r="O123" i="13" s="1"/>
  <c r="O180" i="13" s="1"/>
  <c r="P65" i="13"/>
  <c r="P123" i="13" s="1"/>
  <c r="P180" i="13" s="1"/>
  <c r="Q65" i="13"/>
  <c r="Q123" i="13" s="1"/>
  <c r="Q180" i="13" s="1"/>
  <c r="R65" i="13"/>
  <c r="R123" i="13" s="1"/>
  <c r="R180" i="13" s="1"/>
  <c r="S65" i="13"/>
  <c r="S123" i="13" s="1"/>
  <c r="S180" i="13" s="1"/>
  <c r="M66" i="13"/>
  <c r="M124" i="13" s="1"/>
  <c r="M181" i="13" s="1"/>
  <c r="M243" i="13" s="1"/>
  <c r="N66" i="13"/>
  <c r="O66" i="13"/>
  <c r="P66" i="13"/>
  <c r="Q66" i="13"/>
  <c r="R66" i="13"/>
  <c r="S66" i="13"/>
  <c r="L67" i="13"/>
  <c r="M67" i="13"/>
  <c r="M68" i="13"/>
  <c r="M126" i="13" s="1"/>
  <c r="M183" i="13" s="1"/>
  <c r="M245" i="13" s="1"/>
  <c r="M69" i="13"/>
  <c r="M127" i="13" s="1"/>
  <c r="M184" i="13" s="1"/>
  <c r="M246" i="13" s="1"/>
  <c r="M70" i="13"/>
  <c r="M128" i="13" s="1"/>
  <c r="M185" i="13" s="1"/>
  <c r="M247" i="13" s="1"/>
  <c r="M71" i="13"/>
  <c r="M129" i="13" s="1"/>
  <c r="M186" i="13" s="1"/>
  <c r="M248" i="13" s="1"/>
  <c r="M72" i="13"/>
  <c r="M73" i="13"/>
  <c r="M131" i="13" s="1"/>
  <c r="M188" i="13" s="1"/>
  <c r="M250" i="13" s="1"/>
  <c r="M74" i="13"/>
  <c r="M132" i="13" s="1"/>
  <c r="M189" i="13" s="1"/>
  <c r="M251" i="13" s="1"/>
  <c r="M75" i="13"/>
  <c r="M133" i="13" s="1"/>
  <c r="M190" i="13" s="1"/>
  <c r="M252" i="13" s="1"/>
  <c r="M76" i="13"/>
  <c r="M77" i="13"/>
  <c r="M135" i="13" s="1"/>
  <c r="M192" i="13" s="1"/>
  <c r="M254" i="13" s="1"/>
  <c r="M78" i="13"/>
  <c r="M136" i="13" s="1"/>
  <c r="M193" i="13" s="1"/>
  <c r="M255" i="13" s="1"/>
  <c r="M79" i="13"/>
  <c r="M137" i="13" s="1"/>
  <c r="M194" i="13" s="1"/>
  <c r="M256" i="13" s="1"/>
  <c r="M80" i="13"/>
  <c r="M138" i="13" s="1"/>
  <c r="M195" i="13" s="1"/>
  <c r="M257" i="13" s="1"/>
  <c r="M81" i="13"/>
  <c r="M139" i="13" s="1"/>
  <c r="M196" i="13" s="1"/>
  <c r="M258" i="13" s="1"/>
  <c r="M82" i="13"/>
  <c r="M83" i="13"/>
  <c r="M141" i="13" s="1"/>
  <c r="M198" i="13" s="1"/>
  <c r="M260" i="13" s="1"/>
  <c r="M84" i="13"/>
  <c r="M142" i="13" s="1"/>
  <c r="M85" i="13"/>
  <c r="M143" i="13" s="1"/>
  <c r="M200" i="13" s="1"/>
  <c r="M262" i="13" s="1"/>
  <c r="M86" i="13"/>
  <c r="M144" i="13" s="1"/>
  <c r="M201" i="13" s="1"/>
  <c r="M263" i="13" s="1"/>
  <c r="M87" i="13"/>
  <c r="M145" i="13" s="1"/>
  <c r="M202" i="13" s="1"/>
  <c r="M264" i="13" s="1"/>
  <c r="M88" i="13"/>
  <c r="M146" i="13" s="1"/>
  <c r="M203" i="13" s="1"/>
  <c r="M265" i="13" s="1"/>
  <c r="M89" i="13"/>
  <c r="M147" i="13" s="1"/>
  <c r="M204" i="13" s="1"/>
  <c r="M266" i="13" s="1"/>
  <c r="M90" i="13"/>
  <c r="M148" i="13" s="1"/>
  <c r="M205" i="13" s="1"/>
  <c r="M267" i="13" s="1"/>
  <c r="M91" i="13"/>
  <c r="M149" i="13" s="1"/>
  <c r="M206" i="13" s="1"/>
  <c r="M268" i="13" s="1"/>
  <c r="M92" i="13"/>
  <c r="M150" i="13" s="1"/>
  <c r="M207" i="13" s="1"/>
  <c r="M269" i="13" s="1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3" i="13"/>
  <c r="N123" i="13"/>
  <c r="N180" i="13" s="1"/>
  <c r="L125" i="13"/>
  <c r="L126" i="13" s="1"/>
  <c r="M125" i="13"/>
  <c r="M182" i="13" s="1"/>
  <c r="M244" i="13" s="1"/>
  <c r="M130" i="13"/>
  <c r="M187" i="13" s="1"/>
  <c r="M249" i="13" s="1"/>
  <c r="M134" i="13"/>
  <c r="M191" i="13" s="1"/>
  <c r="M253" i="13" s="1"/>
  <c r="M140" i="13"/>
  <c r="M197" i="13" s="1"/>
  <c r="M259" i="13" s="1"/>
  <c r="L182" i="13"/>
  <c r="L183" i="13" s="1"/>
  <c r="M199" i="13"/>
  <c r="M261" i="13" s="1"/>
  <c r="L245" i="13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B245" i="13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182" i="13"/>
  <c r="B183" i="13" s="1"/>
  <c r="B125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150" i="13" s="1"/>
  <c r="C207" i="13" s="1"/>
  <c r="C269" i="13" s="1"/>
  <c r="C91" i="13"/>
  <c r="C149" i="13" s="1"/>
  <c r="C206" i="13" s="1"/>
  <c r="C268" i="13" s="1"/>
  <c r="C90" i="13"/>
  <c r="C148" i="13" s="1"/>
  <c r="C205" i="13" s="1"/>
  <c r="C267" i="13" s="1"/>
  <c r="C89" i="13"/>
  <c r="C147" i="13" s="1"/>
  <c r="C204" i="13" s="1"/>
  <c r="C266" i="13" s="1"/>
  <c r="C88" i="13"/>
  <c r="C146" i="13" s="1"/>
  <c r="C203" i="13" s="1"/>
  <c r="C265" i="13" s="1"/>
  <c r="C87" i="13"/>
  <c r="C145" i="13" s="1"/>
  <c r="C202" i="13" s="1"/>
  <c r="C264" i="13" s="1"/>
  <c r="C86" i="13"/>
  <c r="C144" i="13" s="1"/>
  <c r="C201" i="13" s="1"/>
  <c r="C263" i="13" s="1"/>
  <c r="C85" i="13"/>
  <c r="C143" i="13" s="1"/>
  <c r="C200" i="13" s="1"/>
  <c r="C262" i="13" s="1"/>
  <c r="C84" i="13"/>
  <c r="C142" i="13" s="1"/>
  <c r="C199" i="13" s="1"/>
  <c r="C261" i="13" s="1"/>
  <c r="C83" i="13"/>
  <c r="C141" i="13" s="1"/>
  <c r="C198" i="13" s="1"/>
  <c r="C260" i="13" s="1"/>
  <c r="C82" i="13"/>
  <c r="C140" i="13" s="1"/>
  <c r="C197" i="13" s="1"/>
  <c r="C259" i="13" s="1"/>
  <c r="C81" i="13"/>
  <c r="C139" i="13" s="1"/>
  <c r="C196" i="13" s="1"/>
  <c r="C258" i="13" s="1"/>
  <c r="C80" i="13"/>
  <c r="C138" i="13" s="1"/>
  <c r="C195" i="13" s="1"/>
  <c r="C257" i="13" s="1"/>
  <c r="C79" i="13"/>
  <c r="C137" i="13" s="1"/>
  <c r="C194" i="13" s="1"/>
  <c r="C256" i="13" s="1"/>
  <c r="C78" i="13"/>
  <c r="C136" i="13" s="1"/>
  <c r="C193" i="13" s="1"/>
  <c r="C255" i="13" s="1"/>
  <c r="C77" i="13"/>
  <c r="C135" i="13" s="1"/>
  <c r="C192" i="13" s="1"/>
  <c r="C254" i="13" s="1"/>
  <c r="C76" i="13"/>
  <c r="C134" i="13" s="1"/>
  <c r="C191" i="13" s="1"/>
  <c r="C253" i="13" s="1"/>
  <c r="C75" i="13"/>
  <c r="C133" i="13" s="1"/>
  <c r="C190" i="13" s="1"/>
  <c r="C252" i="13" s="1"/>
  <c r="C74" i="13"/>
  <c r="C132" i="13" s="1"/>
  <c r="C189" i="13" s="1"/>
  <c r="C251" i="13" s="1"/>
  <c r="C73" i="13"/>
  <c r="C131" i="13" s="1"/>
  <c r="C188" i="13" s="1"/>
  <c r="C250" i="13" s="1"/>
  <c r="C72" i="13"/>
  <c r="C130" i="13" s="1"/>
  <c r="C187" i="13" s="1"/>
  <c r="C249" i="13" s="1"/>
  <c r="C71" i="13"/>
  <c r="C129" i="13" s="1"/>
  <c r="C186" i="13" s="1"/>
  <c r="C248" i="13" s="1"/>
  <c r="C70" i="13"/>
  <c r="C128" i="13" s="1"/>
  <c r="C185" i="13" s="1"/>
  <c r="C247" i="13" s="1"/>
  <c r="C69" i="13"/>
  <c r="C127" i="13" s="1"/>
  <c r="C184" i="13" s="1"/>
  <c r="C246" i="13" s="1"/>
  <c r="C68" i="13"/>
  <c r="C126" i="13" s="1"/>
  <c r="C183" i="13" s="1"/>
  <c r="C245" i="13" s="1"/>
  <c r="C67" i="13"/>
  <c r="C125" i="13" s="1"/>
  <c r="C182" i="13" s="1"/>
  <c r="C244" i="13" s="1"/>
  <c r="B67" i="13"/>
  <c r="H67" i="13" s="1"/>
  <c r="I66" i="13"/>
  <c r="H66" i="13"/>
  <c r="G66" i="13"/>
  <c r="F66" i="13"/>
  <c r="E66" i="13"/>
  <c r="D66" i="13"/>
  <c r="C66" i="13"/>
  <c r="C124" i="13" s="1"/>
  <c r="C181" i="13" s="1"/>
  <c r="C243" i="13" s="1"/>
  <c r="I65" i="13"/>
  <c r="I123" i="13" s="1"/>
  <c r="I180" i="13" s="1"/>
  <c r="H65" i="13"/>
  <c r="H123" i="13" s="1"/>
  <c r="H180" i="13" s="1"/>
  <c r="G65" i="13"/>
  <c r="G123" i="13" s="1"/>
  <c r="G180" i="13" s="1"/>
  <c r="F65" i="13"/>
  <c r="F123" i="13" s="1"/>
  <c r="F180" i="13" s="1"/>
  <c r="E65" i="13"/>
  <c r="E123" i="13" s="1"/>
  <c r="E180" i="13" s="1"/>
  <c r="D65" i="13"/>
  <c r="D123" i="13" s="1"/>
  <c r="D180" i="13" s="1"/>
  <c r="C65" i="13"/>
  <c r="C123" i="13" s="1"/>
  <c r="E67" i="13" l="1"/>
  <c r="V126" i="13"/>
  <c r="X67" i="13"/>
  <c r="AB67" i="13"/>
  <c r="Y67" i="13"/>
  <c r="AC67" i="13"/>
  <c r="Z67" i="13"/>
  <c r="AA67" i="13"/>
  <c r="V68" i="13"/>
  <c r="V183" i="13"/>
  <c r="L184" i="13"/>
  <c r="N67" i="13"/>
  <c r="R67" i="13"/>
  <c r="O67" i="13"/>
  <c r="S67" i="13"/>
  <c r="P67" i="13"/>
  <c r="Q67" i="13"/>
  <c r="L68" i="13"/>
  <c r="L127" i="13"/>
  <c r="I67" i="13"/>
  <c r="G67" i="13"/>
  <c r="B126" i="13"/>
  <c r="B184" i="13"/>
  <c r="F67" i="13"/>
  <c r="B68" i="13"/>
  <c r="D67" i="13"/>
  <c r="V127" i="13" l="1"/>
  <c r="V184" i="13"/>
  <c r="X68" i="13"/>
  <c r="AB68" i="13"/>
  <c r="Y68" i="13"/>
  <c r="AC68" i="13"/>
  <c r="Z68" i="13"/>
  <c r="V69" i="13"/>
  <c r="AA68" i="13"/>
  <c r="L185" i="13"/>
  <c r="L128" i="13"/>
  <c r="N68" i="13"/>
  <c r="R68" i="13"/>
  <c r="O68" i="13"/>
  <c r="S68" i="13"/>
  <c r="P68" i="13"/>
  <c r="Q68" i="13"/>
  <c r="L69" i="13"/>
  <c r="B127" i="13"/>
  <c r="H68" i="13"/>
  <c r="D68" i="13"/>
  <c r="G68" i="13"/>
  <c r="B69" i="13"/>
  <c r="F68" i="13"/>
  <c r="I68" i="13"/>
  <c r="E68" i="13"/>
  <c r="B185" i="13"/>
  <c r="V128" i="13" l="1"/>
  <c r="V185" i="13"/>
  <c r="X69" i="13"/>
  <c r="AB69" i="13"/>
  <c r="Y69" i="13"/>
  <c r="AC69" i="13"/>
  <c r="Z69" i="13"/>
  <c r="V70" i="13"/>
  <c r="AA69" i="13"/>
  <c r="L186" i="13"/>
  <c r="N69" i="13"/>
  <c r="R69" i="13"/>
  <c r="O69" i="13"/>
  <c r="S69" i="13"/>
  <c r="P69" i="13"/>
  <c r="Q69" i="13"/>
  <c r="L70" i="13"/>
  <c r="L129" i="13"/>
  <c r="B128" i="13"/>
  <c r="B186" i="13"/>
  <c r="H69" i="13"/>
  <c r="D69" i="13"/>
  <c r="G69" i="13"/>
  <c r="B70" i="13"/>
  <c r="F69" i="13"/>
  <c r="E69" i="13"/>
  <c r="I69" i="13"/>
  <c r="V129" i="13" l="1"/>
  <c r="X70" i="13"/>
  <c r="AB70" i="13"/>
  <c r="Y70" i="13"/>
  <c r="AC70" i="13"/>
  <c r="Z70" i="13"/>
  <c r="AA70" i="13"/>
  <c r="V71" i="13"/>
  <c r="V186" i="13"/>
  <c r="N70" i="13"/>
  <c r="R70" i="13"/>
  <c r="O70" i="13"/>
  <c r="S70" i="13"/>
  <c r="P70" i="13"/>
  <c r="Q70" i="13"/>
  <c r="L71" i="13"/>
  <c r="L130" i="13"/>
  <c r="L187" i="13"/>
  <c r="H70" i="13"/>
  <c r="D70" i="13"/>
  <c r="G70" i="13"/>
  <c r="B71" i="13"/>
  <c r="F70" i="13"/>
  <c r="I70" i="13"/>
  <c r="E70" i="13"/>
  <c r="B129" i="13"/>
  <c r="B187" i="13"/>
  <c r="V187" i="13" l="1"/>
  <c r="V130" i="13"/>
  <c r="X71" i="13"/>
  <c r="AB71" i="13"/>
  <c r="Y71" i="13"/>
  <c r="AC71" i="13"/>
  <c r="Z71" i="13"/>
  <c r="AA71" i="13"/>
  <c r="V72" i="13"/>
  <c r="L131" i="13"/>
  <c r="L188" i="13"/>
  <c r="N71" i="13"/>
  <c r="R71" i="13"/>
  <c r="O71" i="13"/>
  <c r="S71" i="13"/>
  <c r="P71" i="13"/>
  <c r="Q71" i="13"/>
  <c r="L72" i="13"/>
  <c r="B188" i="13"/>
  <c r="B130" i="13"/>
  <c r="H71" i="13"/>
  <c r="D71" i="13"/>
  <c r="G71" i="13"/>
  <c r="B72" i="13"/>
  <c r="F71" i="13"/>
  <c r="E71" i="13"/>
  <c r="I71" i="13"/>
  <c r="V131" i="13" l="1"/>
  <c r="X72" i="13"/>
  <c r="AB72" i="13"/>
  <c r="Y72" i="13"/>
  <c r="AC72" i="13"/>
  <c r="Z72" i="13"/>
  <c r="V73" i="13"/>
  <c r="AA72" i="13"/>
  <c r="V188" i="13"/>
  <c r="L189" i="13"/>
  <c r="L132" i="13"/>
  <c r="N72" i="13"/>
  <c r="R72" i="13"/>
  <c r="O72" i="13"/>
  <c r="S72" i="13"/>
  <c r="P72" i="13"/>
  <c r="Q72" i="13"/>
  <c r="L73" i="13"/>
  <c r="B131" i="13"/>
  <c r="H72" i="13"/>
  <c r="D72" i="13"/>
  <c r="G72" i="13"/>
  <c r="B73" i="13"/>
  <c r="F72" i="13"/>
  <c r="I72" i="13"/>
  <c r="E72" i="13"/>
  <c r="B189" i="13"/>
  <c r="V189" i="13" l="1"/>
  <c r="V132" i="13"/>
  <c r="X73" i="13"/>
  <c r="AB73" i="13"/>
  <c r="Y73" i="13"/>
  <c r="AC73" i="13"/>
  <c r="Z73" i="13"/>
  <c r="V74" i="13"/>
  <c r="AA73" i="13"/>
  <c r="N73" i="13"/>
  <c r="R73" i="13"/>
  <c r="O73" i="13"/>
  <c r="S73" i="13"/>
  <c r="P73" i="13"/>
  <c r="Q73" i="13"/>
  <c r="L74" i="13"/>
  <c r="L133" i="13"/>
  <c r="L190" i="13"/>
  <c r="H73" i="13"/>
  <c r="D73" i="13"/>
  <c r="G73" i="13"/>
  <c r="B74" i="13"/>
  <c r="F73" i="13"/>
  <c r="E73" i="13"/>
  <c r="I73" i="13"/>
  <c r="B190" i="13"/>
  <c r="B132" i="13"/>
  <c r="X74" i="13" l="1"/>
  <c r="AB74" i="13"/>
  <c r="Y74" i="13"/>
  <c r="AC74" i="13"/>
  <c r="Z74" i="13"/>
  <c r="AA74" i="13"/>
  <c r="V75" i="13"/>
  <c r="V133" i="13"/>
  <c r="V190" i="13"/>
  <c r="L134" i="13"/>
  <c r="N74" i="13"/>
  <c r="R74" i="13"/>
  <c r="O74" i="13"/>
  <c r="S74" i="13"/>
  <c r="P74" i="13"/>
  <c r="Q74" i="13"/>
  <c r="L75" i="13"/>
  <c r="L191" i="13"/>
  <c r="B191" i="13"/>
  <c r="H74" i="13"/>
  <c r="D74" i="13"/>
  <c r="G74" i="13"/>
  <c r="B75" i="13"/>
  <c r="F74" i="13"/>
  <c r="I74" i="13"/>
  <c r="E74" i="13"/>
  <c r="B133" i="13"/>
  <c r="X75" i="13" l="1"/>
  <c r="AB75" i="13"/>
  <c r="Y75" i="13"/>
  <c r="AC75" i="13"/>
  <c r="Z75" i="13"/>
  <c r="AA75" i="13"/>
  <c r="V76" i="13"/>
  <c r="V134" i="13"/>
  <c r="V191" i="13"/>
  <c r="L135" i="13"/>
  <c r="N75" i="13"/>
  <c r="R75" i="13"/>
  <c r="O75" i="13"/>
  <c r="S75" i="13"/>
  <c r="P75" i="13"/>
  <c r="Q75" i="13"/>
  <c r="L76" i="13"/>
  <c r="L192" i="13"/>
  <c r="H75" i="13"/>
  <c r="D75" i="13"/>
  <c r="G75" i="13"/>
  <c r="B76" i="13"/>
  <c r="F75" i="13"/>
  <c r="I75" i="13"/>
  <c r="E75" i="13"/>
  <c r="B134" i="13"/>
  <c r="B192" i="13"/>
  <c r="V192" i="13" l="1"/>
  <c r="V135" i="13"/>
  <c r="X76" i="13"/>
  <c r="AB76" i="13"/>
  <c r="Y76" i="13"/>
  <c r="AC76" i="13"/>
  <c r="Z76" i="13"/>
  <c r="V77" i="13"/>
  <c r="AA76" i="13"/>
  <c r="L193" i="13"/>
  <c r="L136" i="13"/>
  <c r="N76" i="13"/>
  <c r="R76" i="13"/>
  <c r="O76" i="13"/>
  <c r="S76" i="13"/>
  <c r="P76" i="13"/>
  <c r="Q76" i="13"/>
  <c r="L77" i="13"/>
  <c r="B135" i="13"/>
  <c r="H76" i="13"/>
  <c r="D76" i="13"/>
  <c r="G76" i="13"/>
  <c r="B77" i="13"/>
  <c r="F76" i="13"/>
  <c r="I76" i="13"/>
  <c r="E76" i="13"/>
  <c r="B193" i="13"/>
  <c r="V193" i="13" l="1"/>
  <c r="V136" i="13"/>
  <c r="X77" i="13"/>
  <c r="AB77" i="13"/>
  <c r="Y77" i="13"/>
  <c r="AC77" i="13"/>
  <c r="Z77" i="13"/>
  <c r="V78" i="13"/>
  <c r="AA77" i="13"/>
  <c r="L137" i="13"/>
  <c r="N77" i="13"/>
  <c r="R77" i="13"/>
  <c r="O77" i="13"/>
  <c r="S77" i="13"/>
  <c r="P77" i="13"/>
  <c r="Q77" i="13"/>
  <c r="L78" i="13"/>
  <c r="L194" i="13"/>
  <c r="B194" i="13"/>
  <c r="H77" i="13"/>
  <c r="D77" i="13"/>
  <c r="G77" i="13"/>
  <c r="B78" i="13"/>
  <c r="F77" i="13"/>
  <c r="E77" i="13"/>
  <c r="I77" i="13"/>
  <c r="B136" i="13"/>
  <c r="V137" i="13" l="1"/>
  <c r="V194" i="13"/>
  <c r="X78" i="13"/>
  <c r="AB78" i="13"/>
  <c r="Y78" i="13"/>
  <c r="AC78" i="13"/>
  <c r="Z78" i="13"/>
  <c r="AA78" i="13"/>
  <c r="V79" i="13"/>
  <c r="L138" i="13"/>
  <c r="L195" i="13"/>
  <c r="N78" i="13"/>
  <c r="R78" i="13"/>
  <c r="O78" i="13"/>
  <c r="S78" i="13"/>
  <c r="P78" i="13"/>
  <c r="Q78" i="13"/>
  <c r="L79" i="13"/>
  <c r="B137" i="13"/>
  <c r="H78" i="13"/>
  <c r="D78" i="13"/>
  <c r="G78" i="13"/>
  <c r="B79" i="13"/>
  <c r="F78" i="13"/>
  <c r="I78" i="13"/>
  <c r="E78" i="13"/>
  <c r="B195" i="13"/>
  <c r="V195" i="13" l="1"/>
  <c r="V138" i="13"/>
  <c r="X79" i="13"/>
  <c r="AB79" i="13"/>
  <c r="Y79" i="13"/>
  <c r="AC79" i="13"/>
  <c r="Z79" i="13"/>
  <c r="AA79" i="13"/>
  <c r="V80" i="13"/>
  <c r="L196" i="13"/>
  <c r="N79" i="13"/>
  <c r="R79" i="13"/>
  <c r="O79" i="13"/>
  <c r="S79" i="13"/>
  <c r="P79" i="13"/>
  <c r="Q79" i="13"/>
  <c r="L80" i="13"/>
  <c r="L139" i="13"/>
  <c r="B138" i="13"/>
  <c r="B196" i="13"/>
  <c r="H79" i="13"/>
  <c r="D79" i="13"/>
  <c r="G79" i="13"/>
  <c r="B80" i="13"/>
  <c r="F79" i="13"/>
  <c r="E79" i="13"/>
  <c r="I79" i="13"/>
  <c r="X80" i="13" l="1"/>
  <c r="AB80" i="13"/>
  <c r="Y80" i="13"/>
  <c r="AC80" i="13"/>
  <c r="Z80" i="13"/>
  <c r="V81" i="13"/>
  <c r="AA80" i="13"/>
  <c r="V196" i="13"/>
  <c r="V139" i="13"/>
  <c r="L140" i="13"/>
  <c r="N80" i="13"/>
  <c r="R80" i="13"/>
  <c r="O80" i="13"/>
  <c r="S80" i="13"/>
  <c r="P80" i="13"/>
  <c r="Q80" i="13"/>
  <c r="L81" i="13"/>
  <c r="L197" i="13"/>
  <c r="H80" i="13"/>
  <c r="D80" i="13"/>
  <c r="G80" i="13"/>
  <c r="B81" i="13"/>
  <c r="F80" i="13"/>
  <c r="I80" i="13"/>
  <c r="E80" i="13"/>
  <c r="B197" i="13"/>
  <c r="B139" i="13"/>
  <c r="V140" i="13" l="1"/>
  <c r="X81" i="13"/>
  <c r="AB81" i="13"/>
  <c r="Y81" i="13"/>
  <c r="AC81" i="13"/>
  <c r="Z81" i="13"/>
  <c r="V82" i="13"/>
  <c r="AA81" i="13"/>
  <c r="V197" i="13"/>
  <c r="N81" i="13"/>
  <c r="R81" i="13"/>
  <c r="O81" i="13"/>
  <c r="S81" i="13"/>
  <c r="P81" i="13"/>
  <c r="Q81" i="13"/>
  <c r="L82" i="13"/>
  <c r="L198" i="13"/>
  <c r="L141" i="13"/>
  <c r="B140" i="13"/>
  <c r="B198" i="13"/>
  <c r="H81" i="13"/>
  <c r="D81" i="13"/>
  <c r="G81" i="13"/>
  <c r="B82" i="13"/>
  <c r="F81" i="13"/>
  <c r="E81" i="13"/>
  <c r="I81" i="13"/>
  <c r="V198" i="13" l="1"/>
  <c r="X82" i="13"/>
  <c r="AB82" i="13"/>
  <c r="Y82" i="13"/>
  <c r="AC82" i="13"/>
  <c r="Z82" i="13"/>
  <c r="AA82" i="13"/>
  <c r="V83" i="13"/>
  <c r="V141" i="13"/>
  <c r="L199" i="13"/>
  <c r="N82" i="13"/>
  <c r="R82" i="13"/>
  <c r="O82" i="13"/>
  <c r="S82" i="13"/>
  <c r="P82" i="13"/>
  <c r="Q82" i="13"/>
  <c r="L83" i="13"/>
  <c r="L142" i="13"/>
  <c r="H82" i="13"/>
  <c r="D82" i="13"/>
  <c r="G82" i="13"/>
  <c r="B83" i="13"/>
  <c r="F82" i="13"/>
  <c r="I82" i="13"/>
  <c r="E82" i="13"/>
  <c r="B141" i="13"/>
  <c r="B199" i="13"/>
  <c r="X83" i="13" l="1"/>
  <c r="AB83" i="13"/>
  <c r="Y83" i="13"/>
  <c r="AC83" i="13"/>
  <c r="Z83" i="13"/>
  <c r="AA83" i="13"/>
  <c r="V84" i="13"/>
  <c r="V142" i="13"/>
  <c r="V199" i="13"/>
  <c r="L143" i="13"/>
  <c r="N83" i="13"/>
  <c r="R83" i="13"/>
  <c r="O83" i="13"/>
  <c r="S83" i="13"/>
  <c r="P83" i="13"/>
  <c r="Q83" i="13"/>
  <c r="L84" i="13"/>
  <c r="L200" i="13"/>
  <c r="B200" i="13"/>
  <c r="H83" i="13"/>
  <c r="D83" i="13"/>
  <c r="G83" i="13"/>
  <c r="B84" i="13"/>
  <c r="F83" i="13"/>
  <c r="E83" i="13"/>
  <c r="I83" i="13"/>
  <c r="B142" i="13"/>
  <c r="X84" i="13" l="1"/>
  <c r="AB84" i="13"/>
  <c r="Y84" i="13"/>
  <c r="AC84" i="13"/>
  <c r="Z84" i="13"/>
  <c r="V85" i="13"/>
  <c r="AA84" i="13"/>
  <c r="V200" i="13"/>
  <c r="V143" i="13"/>
  <c r="L201" i="13"/>
  <c r="N84" i="13"/>
  <c r="R84" i="13"/>
  <c r="O84" i="13"/>
  <c r="S84" i="13"/>
  <c r="P84" i="13"/>
  <c r="Q84" i="13"/>
  <c r="L85" i="13"/>
  <c r="L144" i="13"/>
  <c r="H84" i="13"/>
  <c r="D84" i="13"/>
  <c r="G84" i="13"/>
  <c r="B85" i="13"/>
  <c r="F84" i="13"/>
  <c r="I84" i="13"/>
  <c r="E84" i="13"/>
  <c r="B201" i="13"/>
  <c r="B143" i="13"/>
  <c r="X85" i="13" l="1"/>
  <c r="AB85" i="13"/>
  <c r="Y85" i="13"/>
  <c r="AC85" i="13"/>
  <c r="Z85" i="13"/>
  <c r="V86" i="13"/>
  <c r="AA85" i="13"/>
  <c r="V144" i="13"/>
  <c r="V201" i="13"/>
  <c r="L145" i="13"/>
  <c r="L202" i="13"/>
  <c r="N85" i="13"/>
  <c r="R85" i="13"/>
  <c r="O85" i="13"/>
  <c r="S85" i="13"/>
  <c r="P85" i="13"/>
  <c r="Q85" i="13"/>
  <c r="L86" i="13"/>
  <c r="B202" i="13"/>
  <c r="H85" i="13"/>
  <c r="D85" i="13"/>
  <c r="G85" i="13"/>
  <c r="B86" i="13"/>
  <c r="F85" i="13"/>
  <c r="E85" i="13"/>
  <c r="I85" i="13"/>
  <c r="B144" i="13"/>
  <c r="V202" i="13" l="1"/>
  <c r="X86" i="13"/>
  <c r="AB86" i="13"/>
  <c r="Y86" i="13"/>
  <c r="AC86" i="13"/>
  <c r="Z86" i="13"/>
  <c r="AA86" i="13"/>
  <c r="V87" i="13"/>
  <c r="V145" i="13"/>
  <c r="L146" i="13"/>
  <c r="N86" i="13"/>
  <c r="R86" i="13"/>
  <c r="O86" i="13"/>
  <c r="S86" i="13"/>
  <c r="P86" i="13"/>
  <c r="Q86" i="13"/>
  <c r="L87" i="13"/>
  <c r="L203" i="13"/>
  <c r="B145" i="13"/>
  <c r="H86" i="13"/>
  <c r="D86" i="13"/>
  <c r="G86" i="13"/>
  <c r="B87" i="13"/>
  <c r="F86" i="13"/>
  <c r="I86" i="13"/>
  <c r="E86" i="13"/>
  <c r="B203" i="13"/>
  <c r="X87" i="13" l="1"/>
  <c r="AB87" i="13"/>
  <c r="Y87" i="13"/>
  <c r="AC87" i="13"/>
  <c r="Z87" i="13"/>
  <c r="AA87" i="13"/>
  <c r="V88" i="13"/>
  <c r="V203" i="13"/>
  <c r="V146" i="13"/>
  <c r="L204" i="13"/>
  <c r="N87" i="13"/>
  <c r="R87" i="13"/>
  <c r="O87" i="13"/>
  <c r="S87" i="13"/>
  <c r="P87" i="13"/>
  <c r="Q87" i="13"/>
  <c r="L88" i="13"/>
  <c r="L147" i="13"/>
  <c r="B204" i="13"/>
  <c r="B146" i="13"/>
  <c r="H87" i="13"/>
  <c r="D87" i="13"/>
  <c r="G87" i="13"/>
  <c r="B88" i="13"/>
  <c r="F87" i="13"/>
  <c r="I87" i="13"/>
  <c r="E87" i="13"/>
  <c r="X88" i="13" l="1"/>
  <c r="AB88" i="13"/>
  <c r="Y88" i="13"/>
  <c r="AC88" i="13"/>
  <c r="Z88" i="13"/>
  <c r="V89" i="13"/>
  <c r="AA88" i="13"/>
  <c r="V204" i="13"/>
  <c r="V147" i="13"/>
  <c r="N88" i="13"/>
  <c r="R88" i="13"/>
  <c r="O88" i="13"/>
  <c r="S88" i="13"/>
  <c r="P88" i="13"/>
  <c r="Q88" i="13"/>
  <c r="L89" i="13"/>
  <c r="L148" i="13"/>
  <c r="L205" i="13"/>
  <c r="H88" i="13"/>
  <c r="D88" i="13"/>
  <c r="G88" i="13"/>
  <c r="B89" i="13"/>
  <c r="F88" i="13"/>
  <c r="I88" i="13"/>
  <c r="E88" i="13"/>
  <c r="B147" i="13"/>
  <c r="B205" i="13"/>
  <c r="V148" i="13" l="1"/>
  <c r="X89" i="13"/>
  <c r="AB89" i="13"/>
  <c r="Y89" i="13"/>
  <c r="AC89" i="13"/>
  <c r="Z89" i="13"/>
  <c r="V90" i="13"/>
  <c r="AA89" i="13"/>
  <c r="V205" i="13"/>
  <c r="L206" i="13"/>
  <c r="N89" i="13"/>
  <c r="R89" i="13"/>
  <c r="O89" i="13"/>
  <c r="S89" i="13"/>
  <c r="P89" i="13"/>
  <c r="Q89" i="13"/>
  <c r="L90" i="13"/>
  <c r="L149" i="13"/>
  <c r="B206" i="13"/>
  <c r="B148" i="13"/>
  <c r="H89" i="13"/>
  <c r="D89" i="13"/>
  <c r="G89" i="13"/>
  <c r="B90" i="13"/>
  <c r="F89" i="13"/>
  <c r="E89" i="13"/>
  <c r="I89" i="13"/>
  <c r="V149" i="13" l="1"/>
  <c r="X90" i="13"/>
  <c r="AB90" i="13"/>
  <c r="Y90" i="13"/>
  <c r="AC90" i="13"/>
  <c r="Z90" i="13"/>
  <c r="AA90" i="13"/>
  <c r="V91" i="13"/>
  <c r="V206" i="13"/>
  <c r="L150" i="13"/>
  <c r="N90" i="13"/>
  <c r="R90" i="13"/>
  <c r="O90" i="13"/>
  <c r="S90" i="13"/>
  <c r="P90" i="13"/>
  <c r="Q90" i="13"/>
  <c r="L91" i="13"/>
  <c r="L207" i="13"/>
  <c r="H90" i="13"/>
  <c r="D90" i="13"/>
  <c r="G90" i="13"/>
  <c r="B91" i="13"/>
  <c r="F90" i="13"/>
  <c r="I90" i="13"/>
  <c r="E90" i="13"/>
  <c r="B149" i="13"/>
  <c r="B207" i="13"/>
  <c r="V207" i="13" l="1"/>
  <c r="V150" i="13"/>
  <c r="X91" i="13"/>
  <c r="AB91" i="13"/>
  <c r="Y91" i="13"/>
  <c r="AC91" i="13"/>
  <c r="Z91" i="13"/>
  <c r="AA91" i="13"/>
  <c r="V92" i="13"/>
  <c r="N91" i="13"/>
  <c r="R91" i="13"/>
  <c r="O91" i="13"/>
  <c r="S91" i="13"/>
  <c r="P91" i="13"/>
  <c r="Q91" i="13"/>
  <c r="L92" i="13"/>
  <c r="B150" i="13"/>
  <c r="H91" i="13"/>
  <c r="D91" i="13"/>
  <c r="G91" i="13"/>
  <c r="B92" i="13"/>
  <c r="F91" i="13"/>
  <c r="E91" i="13"/>
  <c r="I91" i="13"/>
  <c r="X92" i="13" l="1"/>
  <c r="AB92" i="13"/>
  <c r="Y92" i="13"/>
  <c r="AC92" i="13"/>
  <c r="Z92" i="13"/>
  <c r="V93" i="13"/>
  <c r="AA92" i="13"/>
  <c r="N92" i="13"/>
  <c r="R92" i="13"/>
  <c r="O92" i="13"/>
  <c r="S92" i="13"/>
  <c r="P92" i="13"/>
  <c r="Q92" i="13"/>
  <c r="L93" i="13"/>
  <c r="H92" i="13"/>
  <c r="D92" i="13"/>
  <c r="G92" i="13"/>
  <c r="B93" i="13"/>
  <c r="F92" i="13"/>
  <c r="I92" i="13"/>
  <c r="E92" i="13"/>
  <c r="X93" i="13" l="1"/>
  <c r="AB93" i="13"/>
  <c r="Y93" i="13"/>
  <c r="AC93" i="13"/>
  <c r="Z93" i="13"/>
  <c r="V94" i="13"/>
  <c r="AA93" i="13"/>
  <c r="N93" i="13"/>
  <c r="R93" i="13"/>
  <c r="O93" i="13"/>
  <c r="S93" i="13"/>
  <c r="P93" i="13"/>
  <c r="Q93" i="13"/>
  <c r="L94" i="13"/>
  <c r="H93" i="13"/>
  <c r="D93" i="13"/>
  <c r="G93" i="13"/>
  <c r="B94" i="13"/>
  <c r="F93" i="13"/>
  <c r="E93" i="13"/>
  <c r="I93" i="13"/>
  <c r="X94" i="13" l="1"/>
  <c r="AB94" i="13"/>
  <c r="Y94" i="13"/>
  <c r="AC94" i="13"/>
  <c r="Z94" i="13"/>
  <c r="AA94" i="13"/>
  <c r="V95" i="13"/>
  <c r="N94" i="13"/>
  <c r="R94" i="13"/>
  <c r="O94" i="13"/>
  <c r="S94" i="13"/>
  <c r="P94" i="13"/>
  <c r="Q94" i="13"/>
  <c r="L95" i="13"/>
  <c r="H94" i="13"/>
  <c r="D94" i="13"/>
  <c r="G94" i="13"/>
  <c r="B95" i="13"/>
  <c r="F94" i="13"/>
  <c r="I94" i="13"/>
  <c r="E94" i="13"/>
  <c r="X95" i="13" l="1"/>
  <c r="AB95" i="13"/>
  <c r="Y95" i="13"/>
  <c r="AC95" i="13"/>
  <c r="Z95" i="13"/>
  <c r="AA95" i="13"/>
  <c r="V96" i="13"/>
  <c r="N95" i="13"/>
  <c r="R95" i="13"/>
  <c r="O95" i="13"/>
  <c r="S95" i="13"/>
  <c r="P95" i="13"/>
  <c r="Q95" i="13"/>
  <c r="L96" i="13"/>
  <c r="H95" i="13"/>
  <c r="D95" i="13"/>
  <c r="G95" i="13"/>
  <c r="B96" i="13"/>
  <c r="F95" i="13"/>
  <c r="I95" i="13"/>
  <c r="E95" i="13"/>
  <c r="X96" i="13" l="1"/>
  <c r="AB96" i="13"/>
  <c r="Y96" i="13"/>
  <c r="AC96" i="13"/>
  <c r="Z96" i="13"/>
  <c r="V97" i="13"/>
  <c r="AA96" i="13"/>
  <c r="N96" i="13"/>
  <c r="R96" i="13"/>
  <c r="O96" i="13"/>
  <c r="S96" i="13"/>
  <c r="P96" i="13"/>
  <c r="Q96" i="13"/>
  <c r="L97" i="13"/>
  <c r="H96" i="13"/>
  <c r="D96" i="13"/>
  <c r="G96" i="13"/>
  <c r="B97" i="13"/>
  <c r="F96" i="13"/>
  <c r="I96" i="13"/>
  <c r="E96" i="13"/>
  <c r="X97" i="13" l="1"/>
  <c r="AB97" i="13"/>
  <c r="Y97" i="13"/>
  <c r="AC97" i="13"/>
  <c r="Z97" i="13"/>
  <c r="V98" i="13"/>
  <c r="AA97" i="13"/>
  <c r="N97" i="13"/>
  <c r="R97" i="13"/>
  <c r="O97" i="13"/>
  <c r="S97" i="13"/>
  <c r="P97" i="13"/>
  <c r="Q97" i="13"/>
  <c r="L98" i="13"/>
  <c r="H97" i="13"/>
  <c r="D97" i="13"/>
  <c r="G97" i="13"/>
  <c r="B98" i="13"/>
  <c r="F97" i="13"/>
  <c r="E97" i="13"/>
  <c r="I97" i="13"/>
  <c r="X98" i="13" l="1"/>
  <c r="AB98" i="13"/>
  <c r="Y98" i="13"/>
  <c r="AC98" i="13"/>
  <c r="Z98" i="13"/>
  <c r="AA98" i="13"/>
  <c r="V99" i="13"/>
  <c r="N98" i="13"/>
  <c r="R98" i="13"/>
  <c r="O98" i="13"/>
  <c r="S98" i="13"/>
  <c r="P98" i="13"/>
  <c r="Q98" i="13"/>
  <c r="L99" i="13"/>
  <c r="H98" i="13"/>
  <c r="D98" i="13"/>
  <c r="G98" i="13"/>
  <c r="B99" i="13"/>
  <c r="F98" i="13"/>
  <c r="I98" i="13"/>
  <c r="E98" i="13"/>
  <c r="X99" i="13" l="1"/>
  <c r="AB99" i="13"/>
  <c r="Y99" i="13"/>
  <c r="AC99" i="13"/>
  <c r="Z99" i="13"/>
  <c r="AA99" i="13"/>
  <c r="V100" i="13"/>
  <c r="N99" i="13"/>
  <c r="R99" i="13"/>
  <c r="O99" i="13"/>
  <c r="S99" i="13"/>
  <c r="P99" i="13"/>
  <c r="Q99" i="13"/>
  <c r="L100" i="13"/>
  <c r="H99" i="13"/>
  <c r="D99" i="13"/>
  <c r="G99" i="13"/>
  <c r="B100" i="13"/>
  <c r="F99" i="13"/>
  <c r="I99" i="13"/>
  <c r="E99" i="13"/>
  <c r="X100" i="13" l="1"/>
  <c r="AB100" i="13"/>
  <c r="Y100" i="13"/>
  <c r="AC100" i="13"/>
  <c r="Z100" i="13"/>
  <c r="V101" i="13"/>
  <c r="AA100" i="13"/>
  <c r="N100" i="13"/>
  <c r="R100" i="13"/>
  <c r="O100" i="13"/>
  <c r="S100" i="13"/>
  <c r="P100" i="13"/>
  <c r="Q100" i="13"/>
  <c r="L101" i="13"/>
  <c r="H100" i="13"/>
  <c r="D100" i="13"/>
  <c r="G100" i="13"/>
  <c r="B101" i="13"/>
  <c r="F100" i="13"/>
  <c r="I100" i="13"/>
  <c r="E100" i="13"/>
  <c r="X101" i="13" l="1"/>
  <c r="AB101" i="13"/>
  <c r="Y101" i="13"/>
  <c r="AC101" i="13"/>
  <c r="Z101" i="13"/>
  <c r="V102" i="13"/>
  <c r="AA101" i="13"/>
  <c r="N101" i="13"/>
  <c r="R101" i="13"/>
  <c r="O101" i="13"/>
  <c r="S101" i="13"/>
  <c r="P101" i="13"/>
  <c r="Q101" i="13"/>
  <c r="L102" i="13"/>
  <c r="H101" i="13"/>
  <c r="D101" i="13"/>
  <c r="G101" i="13"/>
  <c r="B102" i="13"/>
  <c r="F101" i="13"/>
  <c r="E101" i="13"/>
  <c r="I101" i="13"/>
  <c r="X102" i="13" l="1"/>
  <c r="AB102" i="13"/>
  <c r="Y102" i="13"/>
  <c r="AC102" i="13"/>
  <c r="Z102" i="13"/>
  <c r="AA102" i="13"/>
  <c r="V103" i="13"/>
  <c r="N102" i="13"/>
  <c r="R102" i="13"/>
  <c r="O102" i="13"/>
  <c r="S102" i="13"/>
  <c r="P102" i="13"/>
  <c r="Q102" i="13"/>
  <c r="L103" i="13"/>
  <c r="H102" i="13"/>
  <c r="D102" i="13"/>
  <c r="G102" i="13"/>
  <c r="B103" i="13"/>
  <c r="F102" i="13"/>
  <c r="I102" i="13"/>
  <c r="E102" i="13"/>
  <c r="X103" i="13" l="1"/>
  <c r="AB103" i="13"/>
  <c r="Y103" i="13"/>
  <c r="AC103" i="13"/>
  <c r="Z103" i="13"/>
  <c r="AA103" i="13"/>
  <c r="V104" i="13"/>
  <c r="N103" i="13"/>
  <c r="R103" i="13"/>
  <c r="O103" i="13"/>
  <c r="S103" i="13"/>
  <c r="P103" i="13"/>
  <c r="Q103" i="13"/>
  <c r="L104" i="13"/>
  <c r="H103" i="13"/>
  <c r="D103" i="13"/>
  <c r="G103" i="13"/>
  <c r="B104" i="13"/>
  <c r="F103" i="13"/>
  <c r="E103" i="13"/>
  <c r="I103" i="13"/>
  <c r="X104" i="13" l="1"/>
  <c r="AB104" i="13"/>
  <c r="Y104" i="13"/>
  <c r="AC104" i="13"/>
  <c r="Z104" i="13"/>
  <c r="V105" i="13"/>
  <c r="AA104" i="13"/>
  <c r="N104" i="13"/>
  <c r="R104" i="13"/>
  <c r="O104" i="13"/>
  <c r="S104" i="13"/>
  <c r="P104" i="13"/>
  <c r="Q104" i="13"/>
  <c r="L105" i="13"/>
  <c r="H104" i="13"/>
  <c r="D104" i="13"/>
  <c r="G104" i="13"/>
  <c r="B105" i="13"/>
  <c r="F104" i="13"/>
  <c r="I104" i="13"/>
  <c r="E104" i="13"/>
  <c r="X105" i="13" l="1"/>
  <c r="AB105" i="13"/>
  <c r="Y105" i="13"/>
  <c r="V106" i="13"/>
  <c r="AC105" i="13"/>
  <c r="AA105" i="13"/>
  <c r="Z105" i="13"/>
  <c r="N105" i="13"/>
  <c r="R105" i="13"/>
  <c r="O105" i="13"/>
  <c r="S105" i="13"/>
  <c r="P105" i="13"/>
  <c r="Q105" i="13"/>
  <c r="L106" i="13"/>
  <c r="H105" i="13"/>
  <c r="D105" i="13"/>
  <c r="G105" i="13"/>
  <c r="B106" i="13"/>
  <c r="F105" i="13"/>
  <c r="E105" i="13"/>
  <c r="I105" i="13"/>
  <c r="X106" i="13" l="1"/>
  <c r="AB106" i="13"/>
  <c r="AA106" i="13"/>
  <c r="Z106" i="13"/>
  <c r="V107" i="13"/>
  <c r="Y106" i="13"/>
  <c r="AC106" i="13"/>
  <c r="N106" i="13"/>
  <c r="R106" i="13"/>
  <c r="O106" i="13"/>
  <c r="S106" i="13"/>
  <c r="P106" i="13"/>
  <c r="Q106" i="13"/>
  <c r="L107" i="13"/>
  <c r="H106" i="13"/>
  <c r="D106" i="13"/>
  <c r="G106" i="13"/>
  <c r="B107" i="13"/>
  <c r="F106" i="13"/>
  <c r="I106" i="13"/>
  <c r="E106" i="13"/>
  <c r="X107" i="13" l="1"/>
  <c r="AB107" i="13"/>
  <c r="Y107" i="13"/>
  <c r="V108" i="13"/>
  <c r="AC107" i="13"/>
  <c r="Z107" i="13"/>
  <c r="AA107" i="13"/>
  <c r="N107" i="13"/>
  <c r="R107" i="13"/>
  <c r="O107" i="13"/>
  <c r="S107" i="13"/>
  <c r="P107" i="13"/>
  <c r="Q107" i="13"/>
  <c r="L108" i="13"/>
  <c r="H107" i="13"/>
  <c r="D107" i="13"/>
  <c r="G107" i="13"/>
  <c r="B108" i="13"/>
  <c r="F107" i="13"/>
  <c r="I107" i="13"/>
  <c r="E107" i="13"/>
  <c r="X108" i="13" l="1"/>
  <c r="AB108" i="13"/>
  <c r="AA108" i="13"/>
  <c r="Z108" i="13"/>
  <c r="Y108" i="13"/>
  <c r="V109" i="13"/>
  <c r="AC108" i="13"/>
  <c r="N108" i="13"/>
  <c r="R108" i="13"/>
  <c r="O108" i="13"/>
  <c r="S108" i="13"/>
  <c r="P108" i="13"/>
  <c r="Q108" i="13"/>
  <c r="L109" i="13"/>
  <c r="H108" i="13"/>
  <c r="D108" i="13"/>
  <c r="G108" i="13"/>
  <c r="B109" i="13"/>
  <c r="F108" i="13"/>
  <c r="I108" i="13"/>
  <c r="E108" i="13"/>
  <c r="X109" i="13" l="1"/>
  <c r="Y109" i="13"/>
  <c r="AC109" i="13"/>
  <c r="AB109" i="13"/>
  <c r="Z109" i="13"/>
  <c r="V110" i="13"/>
  <c r="AA109" i="13"/>
  <c r="N109" i="13"/>
  <c r="O109" i="13"/>
  <c r="P109" i="13"/>
  <c r="L110" i="13"/>
  <c r="Q109" i="13"/>
  <c r="R109" i="13"/>
  <c r="S109" i="13"/>
  <c r="H109" i="13"/>
  <c r="D109" i="13"/>
  <c r="G109" i="13"/>
  <c r="B110" i="13"/>
  <c r="F109" i="13"/>
  <c r="E109" i="13"/>
  <c r="I109" i="13"/>
  <c r="Y110" i="13" l="1"/>
  <c r="AC110" i="13"/>
  <c r="X110" i="13"/>
  <c r="AB110" i="13"/>
  <c r="Z110" i="13"/>
  <c r="AA110" i="13"/>
  <c r="V111" i="13"/>
  <c r="P110" i="13"/>
  <c r="L111" i="13"/>
  <c r="Q110" i="13"/>
  <c r="O110" i="13"/>
  <c r="N110" i="13"/>
  <c r="R110" i="13"/>
  <c r="S110" i="13"/>
  <c r="H110" i="13"/>
  <c r="D110" i="13"/>
  <c r="G110" i="13"/>
  <c r="B111" i="13"/>
  <c r="F110" i="13"/>
  <c r="I110" i="13"/>
  <c r="E110" i="13"/>
  <c r="Y111" i="13" l="1"/>
  <c r="AC111" i="13"/>
  <c r="X111" i="13"/>
  <c r="AB111" i="13"/>
  <c r="Z111" i="13"/>
  <c r="AA111" i="13"/>
  <c r="V112" i="13"/>
  <c r="P111" i="13"/>
  <c r="L112" i="13"/>
  <c r="Q111" i="13"/>
  <c r="N111" i="13"/>
  <c r="S111" i="13"/>
  <c r="O111" i="13"/>
  <c r="R111" i="13"/>
  <c r="H111" i="13"/>
  <c r="D111" i="13"/>
  <c r="G111" i="13"/>
  <c r="B112" i="13"/>
  <c r="F111" i="13"/>
  <c r="E111" i="13"/>
  <c r="I111" i="13"/>
  <c r="Y112" i="13" l="1"/>
  <c r="AC112" i="13"/>
  <c r="X112" i="13"/>
  <c r="AB112" i="13"/>
  <c r="Z112" i="13"/>
  <c r="V113" i="13"/>
  <c r="AA112" i="13"/>
  <c r="P112" i="13"/>
  <c r="L113" i="13"/>
  <c r="Q112" i="13"/>
  <c r="S112" i="13"/>
  <c r="R112" i="13"/>
  <c r="O112" i="13"/>
  <c r="N112" i="13"/>
  <c r="H112" i="13"/>
  <c r="D112" i="13"/>
  <c r="G112" i="13"/>
  <c r="B113" i="13"/>
  <c r="F112" i="13"/>
  <c r="I112" i="13"/>
  <c r="E112" i="13"/>
  <c r="Y113" i="13" l="1"/>
  <c r="AC113" i="13"/>
  <c r="X113" i="13"/>
  <c r="AB113" i="13"/>
  <c r="Z113" i="13"/>
  <c r="V114" i="13"/>
  <c r="AA113" i="13"/>
  <c r="P113" i="13"/>
  <c r="L114" i="13"/>
  <c r="Q113" i="13"/>
  <c r="R113" i="13"/>
  <c r="O113" i="13"/>
  <c r="N113" i="13"/>
  <c r="S113" i="13"/>
  <c r="H113" i="13"/>
  <c r="D113" i="13"/>
  <c r="G113" i="13"/>
  <c r="B114" i="13"/>
  <c r="F113" i="13"/>
  <c r="E113" i="13"/>
  <c r="I113" i="13"/>
  <c r="Y114" i="13" l="1"/>
  <c r="AC114" i="13"/>
  <c r="X114" i="13"/>
  <c r="AB114" i="13"/>
  <c r="Z114" i="13"/>
  <c r="AA114" i="13"/>
  <c r="V115" i="13"/>
  <c r="P114" i="13"/>
  <c r="L115" i="13"/>
  <c r="Q114" i="13"/>
  <c r="O114" i="13"/>
  <c r="N114" i="13"/>
  <c r="R114" i="13"/>
  <c r="S114" i="13"/>
  <c r="H114" i="13"/>
  <c r="D114" i="13"/>
  <c r="G114" i="13"/>
  <c r="B115" i="13"/>
  <c r="F114" i="13"/>
  <c r="I114" i="13"/>
  <c r="E114" i="13"/>
  <c r="Y115" i="13" l="1"/>
  <c r="AC115" i="13"/>
  <c r="X115" i="13"/>
  <c r="AB115" i="13"/>
  <c r="Z115" i="13"/>
  <c r="AA115" i="13"/>
  <c r="V116" i="13"/>
  <c r="P115" i="13"/>
  <c r="L116" i="13"/>
  <c r="Q115" i="13"/>
  <c r="N115" i="13"/>
  <c r="S115" i="13"/>
  <c r="O115" i="13"/>
  <c r="R115" i="13"/>
  <c r="H115" i="13"/>
  <c r="D115" i="13"/>
  <c r="G115" i="13"/>
  <c r="B116" i="13"/>
  <c r="F115" i="13"/>
  <c r="I115" i="13"/>
  <c r="E115" i="13"/>
  <c r="Y116" i="13" l="1"/>
  <c r="AC116" i="13"/>
  <c r="X116" i="13"/>
  <c r="AB116" i="13"/>
  <c r="Z116" i="13"/>
  <c r="V117" i="13"/>
  <c r="AA116" i="13"/>
  <c r="P116" i="13"/>
  <c r="L117" i="13"/>
  <c r="Q116" i="13"/>
  <c r="S116" i="13"/>
  <c r="R116" i="13"/>
  <c r="O116" i="13"/>
  <c r="N116" i="13"/>
  <c r="H116" i="13"/>
  <c r="D116" i="13"/>
  <c r="G116" i="13"/>
  <c r="B117" i="13"/>
  <c r="F116" i="13"/>
  <c r="I116" i="13"/>
  <c r="E116" i="13"/>
  <c r="Y117" i="13" l="1"/>
  <c r="AC117" i="13"/>
  <c r="X117" i="13"/>
  <c r="AB117" i="13"/>
  <c r="Z117" i="13"/>
  <c r="V118" i="13"/>
  <c r="AA117" i="13"/>
  <c r="P117" i="13"/>
  <c r="L118" i="13"/>
  <c r="Q117" i="13"/>
  <c r="R117" i="13"/>
  <c r="O117" i="13"/>
  <c r="N117" i="13"/>
  <c r="S117" i="13"/>
  <c r="H117" i="13"/>
  <c r="D117" i="13"/>
  <c r="G117" i="13"/>
  <c r="B118" i="13"/>
  <c r="F117" i="13"/>
  <c r="E117" i="13"/>
  <c r="I117" i="13"/>
  <c r="Y118" i="13" l="1"/>
  <c r="AC118" i="13"/>
  <c r="X118" i="13"/>
  <c r="AB118" i="13"/>
  <c r="Z118" i="13"/>
  <c r="AA118" i="13"/>
  <c r="V119" i="13"/>
  <c r="P118" i="13"/>
  <c r="L119" i="13"/>
  <c r="Q118" i="13"/>
  <c r="O118" i="13"/>
  <c r="N118" i="13"/>
  <c r="R118" i="13"/>
  <c r="S118" i="13"/>
  <c r="H118" i="13"/>
  <c r="D118" i="13"/>
  <c r="G118" i="13"/>
  <c r="B119" i="13"/>
  <c r="F118" i="13"/>
  <c r="I118" i="13"/>
  <c r="E118" i="13"/>
  <c r="Y119" i="13" l="1"/>
  <c r="AC119" i="13"/>
  <c r="X119" i="13"/>
  <c r="AB119" i="13"/>
  <c r="Z119" i="13"/>
  <c r="AA119" i="13"/>
  <c r="P119" i="13"/>
  <c r="Q119" i="13"/>
  <c r="N119" i="13"/>
  <c r="S119" i="13"/>
  <c r="O119" i="13"/>
  <c r="R119" i="13"/>
  <c r="H119" i="13"/>
  <c r="D119" i="13"/>
  <c r="G119" i="13"/>
  <c r="F119" i="13"/>
  <c r="I119" i="13"/>
  <c r="E119" i="13"/>
  <c r="AC234" i="8" l="1"/>
  <c r="AB234" i="8"/>
  <c r="AA234" i="8"/>
  <c r="Z234" i="8"/>
  <c r="Y234" i="8"/>
  <c r="X234" i="8"/>
  <c r="S234" i="8"/>
  <c r="R234" i="8"/>
  <c r="Q234" i="8"/>
  <c r="P234" i="8"/>
  <c r="O234" i="8"/>
  <c r="N234" i="8"/>
  <c r="I234" i="8"/>
  <c r="H234" i="8"/>
  <c r="G234" i="8"/>
  <c r="F234" i="8"/>
  <c r="E234" i="8"/>
  <c r="D234" i="8"/>
  <c r="AC176" i="8"/>
  <c r="AB176" i="8"/>
  <c r="AA176" i="8"/>
  <c r="Z176" i="8"/>
  <c r="Y176" i="8"/>
  <c r="X176" i="8"/>
  <c r="S176" i="8"/>
  <c r="R176" i="8"/>
  <c r="Q176" i="8"/>
  <c r="P176" i="8"/>
  <c r="O176" i="8"/>
  <c r="N176" i="8"/>
  <c r="I176" i="8"/>
  <c r="H176" i="8"/>
  <c r="G176" i="8"/>
  <c r="F176" i="8"/>
  <c r="E176" i="8"/>
  <c r="D176" i="8"/>
  <c r="AC175" i="8"/>
  <c r="AB175" i="8"/>
  <c r="AA175" i="8"/>
  <c r="Z175" i="8"/>
  <c r="Y175" i="8"/>
  <c r="X175" i="8"/>
  <c r="S175" i="8"/>
  <c r="R175" i="8"/>
  <c r="Q175" i="8"/>
  <c r="P175" i="8"/>
  <c r="O175" i="8"/>
  <c r="N175" i="8"/>
  <c r="I175" i="8"/>
  <c r="H175" i="8"/>
  <c r="G175" i="8"/>
  <c r="F175" i="8"/>
  <c r="E175" i="8"/>
  <c r="D175" i="8"/>
  <c r="AC174" i="8"/>
  <c r="AB174" i="8"/>
  <c r="AA174" i="8"/>
  <c r="Z174" i="8"/>
  <c r="Y174" i="8"/>
  <c r="X174" i="8"/>
  <c r="S174" i="8"/>
  <c r="R174" i="8"/>
  <c r="Q174" i="8"/>
  <c r="P174" i="8"/>
  <c r="O174" i="8"/>
  <c r="N174" i="8"/>
  <c r="I174" i="8"/>
  <c r="H174" i="8"/>
  <c r="G174" i="8"/>
  <c r="F174" i="8"/>
  <c r="E174" i="8"/>
  <c r="D174" i="8"/>
  <c r="AC173" i="8"/>
  <c r="AB173" i="8"/>
  <c r="AA173" i="8"/>
  <c r="Z173" i="8"/>
  <c r="Y173" i="8"/>
  <c r="X173" i="8"/>
  <c r="S173" i="8"/>
  <c r="R173" i="8"/>
  <c r="Q173" i="8"/>
  <c r="P173" i="8"/>
  <c r="O173" i="8"/>
  <c r="N173" i="8"/>
  <c r="I173" i="8"/>
  <c r="H173" i="8"/>
  <c r="G173" i="8"/>
  <c r="F173" i="8"/>
  <c r="E173" i="8"/>
  <c r="D173" i="8"/>
  <c r="AC172" i="8"/>
  <c r="AB172" i="8"/>
  <c r="AA172" i="8"/>
  <c r="Z172" i="8"/>
  <c r="Y172" i="8"/>
  <c r="X172" i="8"/>
  <c r="S172" i="8"/>
  <c r="R172" i="8"/>
  <c r="Q172" i="8"/>
  <c r="P172" i="8"/>
  <c r="O172" i="8"/>
  <c r="N172" i="8"/>
  <c r="I172" i="8"/>
  <c r="H172" i="8"/>
  <c r="G172" i="8"/>
  <c r="F172" i="8"/>
  <c r="E172" i="8"/>
  <c r="D172" i="8"/>
  <c r="AC171" i="8"/>
  <c r="AB171" i="8"/>
  <c r="AA171" i="8"/>
  <c r="Z171" i="8"/>
  <c r="Y171" i="8"/>
  <c r="X171" i="8"/>
  <c r="S171" i="8"/>
  <c r="R171" i="8"/>
  <c r="Q171" i="8"/>
  <c r="P171" i="8"/>
  <c r="O171" i="8"/>
  <c r="N171" i="8"/>
  <c r="I171" i="8"/>
  <c r="H171" i="8"/>
  <c r="G171" i="8"/>
  <c r="F171" i="8"/>
  <c r="E171" i="8"/>
  <c r="D171" i="8"/>
  <c r="AC170" i="8"/>
  <c r="AB170" i="8"/>
  <c r="AA170" i="8"/>
  <c r="Z170" i="8"/>
  <c r="Y170" i="8"/>
  <c r="X170" i="8"/>
  <c r="S170" i="8"/>
  <c r="R170" i="8"/>
  <c r="Q170" i="8"/>
  <c r="P170" i="8"/>
  <c r="O170" i="8"/>
  <c r="N170" i="8"/>
  <c r="I170" i="8"/>
  <c r="H170" i="8"/>
  <c r="G170" i="8"/>
  <c r="F170" i="8"/>
  <c r="E170" i="8"/>
  <c r="D170" i="8"/>
  <c r="AC169" i="8"/>
  <c r="AB169" i="8"/>
  <c r="AA169" i="8"/>
  <c r="Z169" i="8"/>
  <c r="Y169" i="8"/>
  <c r="X169" i="8"/>
  <c r="S169" i="8"/>
  <c r="R169" i="8"/>
  <c r="Q169" i="8"/>
  <c r="P169" i="8"/>
  <c r="O169" i="8"/>
  <c r="N169" i="8"/>
  <c r="I169" i="8"/>
  <c r="H169" i="8"/>
  <c r="G169" i="8"/>
  <c r="F169" i="8"/>
  <c r="E169" i="8"/>
  <c r="D169" i="8"/>
  <c r="AC168" i="8"/>
  <c r="AB168" i="8"/>
  <c r="AA168" i="8"/>
  <c r="Z168" i="8"/>
  <c r="Y168" i="8"/>
  <c r="X168" i="8"/>
  <c r="S168" i="8"/>
  <c r="R168" i="8"/>
  <c r="Q168" i="8"/>
  <c r="P168" i="8"/>
  <c r="O168" i="8"/>
  <c r="N168" i="8"/>
  <c r="I168" i="8"/>
  <c r="H168" i="8"/>
  <c r="G168" i="8"/>
  <c r="F168" i="8"/>
  <c r="E168" i="8"/>
  <c r="D168" i="8"/>
  <c r="AC167" i="8"/>
  <c r="AB167" i="8"/>
  <c r="AA167" i="8"/>
  <c r="Z167" i="8"/>
  <c r="Y167" i="8"/>
  <c r="X167" i="8"/>
  <c r="S167" i="8"/>
  <c r="R167" i="8"/>
  <c r="Q167" i="8"/>
  <c r="P167" i="8"/>
  <c r="O167" i="8"/>
  <c r="N167" i="8"/>
  <c r="I167" i="8"/>
  <c r="H167" i="8"/>
  <c r="G167" i="8"/>
  <c r="F167" i="8"/>
  <c r="E167" i="8"/>
  <c r="D167" i="8"/>
  <c r="AC166" i="8"/>
  <c r="AB166" i="8"/>
  <c r="AA166" i="8"/>
  <c r="Z166" i="8"/>
  <c r="Y166" i="8"/>
  <c r="X166" i="8"/>
  <c r="S166" i="8"/>
  <c r="R166" i="8"/>
  <c r="Q166" i="8"/>
  <c r="P166" i="8"/>
  <c r="O166" i="8"/>
  <c r="N166" i="8"/>
  <c r="I166" i="8"/>
  <c r="H166" i="8"/>
  <c r="G166" i="8"/>
  <c r="F166" i="8"/>
  <c r="E166" i="8"/>
  <c r="D166" i="8"/>
  <c r="AC165" i="8"/>
  <c r="AB165" i="8"/>
  <c r="AA165" i="8"/>
  <c r="Z165" i="8"/>
  <c r="Y165" i="8"/>
  <c r="X165" i="8"/>
  <c r="S165" i="8"/>
  <c r="R165" i="8"/>
  <c r="Q165" i="8"/>
  <c r="P165" i="8"/>
  <c r="O165" i="8"/>
  <c r="N165" i="8"/>
  <c r="I165" i="8"/>
  <c r="H165" i="8"/>
  <c r="G165" i="8"/>
  <c r="F165" i="8"/>
  <c r="E165" i="8"/>
  <c r="D165" i="8"/>
  <c r="AC164" i="8"/>
  <c r="AB164" i="8"/>
  <c r="AA164" i="8"/>
  <c r="Z164" i="8"/>
  <c r="Y164" i="8"/>
  <c r="X164" i="8"/>
  <c r="S164" i="8"/>
  <c r="R164" i="8"/>
  <c r="Q164" i="8"/>
  <c r="P164" i="8"/>
  <c r="O164" i="8"/>
  <c r="N164" i="8"/>
  <c r="I164" i="8"/>
  <c r="H164" i="8"/>
  <c r="G164" i="8"/>
  <c r="F164" i="8"/>
  <c r="E164" i="8"/>
  <c r="D164" i="8"/>
  <c r="AC163" i="8"/>
  <c r="AB163" i="8"/>
  <c r="AA163" i="8"/>
  <c r="Z163" i="8"/>
  <c r="Y163" i="8"/>
  <c r="X163" i="8"/>
  <c r="S163" i="8"/>
  <c r="R163" i="8"/>
  <c r="Q163" i="8"/>
  <c r="P163" i="8"/>
  <c r="O163" i="8"/>
  <c r="N163" i="8"/>
  <c r="I163" i="8"/>
  <c r="H163" i="8"/>
  <c r="G163" i="8"/>
  <c r="F163" i="8"/>
  <c r="E163" i="8"/>
  <c r="D163" i="8"/>
  <c r="AC162" i="8"/>
  <c r="AB162" i="8"/>
  <c r="AA162" i="8"/>
  <c r="Z162" i="8"/>
  <c r="Y162" i="8"/>
  <c r="X162" i="8"/>
  <c r="S162" i="8"/>
  <c r="R162" i="8"/>
  <c r="Q162" i="8"/>
  <c r="P162" i="8"/>
  <c r="O162" i="8"/>
  <c r="N162" i="8"/>
  <c r="I162" i="8"/>
  <c r="H162" i="8"/>
  <c r="G162" i="8"/>
  <c r="F162" i="8"/>
  <c r="E162" i="8"/>
  <c r="D162" i="8"/>
  <c r="AC161" i="8"/>
  <c r="AB161" i="8"/>
  <c r="AA161" i="8"/>
  <c r="Z161" i="8"/>
  <c r="Y161" i="8"/>
  <c r="X161" i="8"/>
  <c r="S161" i="8"/>
  <c r="R161" i="8"/>
  <c r="Q161" i="8"/>
  <c r="P161" i="8"/>
  <c r="O161" i="8"/>
  <c r="N161" i="8"/>
  <c r="I161" i="8"/>
  <c r="H161" i="8"/>
  <c r="G161" i="8"/>
  <c r="F161" i="8"/>
  <c r="E161" i="8"/>
  <c r="D161" i="8"/>
  <c r="AC160" i="8"/>
  <c r="AB160" i="8"/>
  <c r="AA160" i="8"/>
  <c r="Z160" i="8"/>
  <c r="Y160" i="8"/>
  <c r="X160" i="8"/>
  <c r="S160" i="8"/>
  <c r="R160" i="8"/>
  <c r="Q160" i="8"/>
  <c r="P160" i="8"/>
  <c r="O160" i="8"/>
  <c r="N160" i="8"/>
  <c r="I160" i="8"/>
  <c r="H160" i="8"/>
  <c r="G160" i="8"/>
  <c r="F160" i="8"/>
  <c r="E160" i="8"/>
  <c r="D160" i="8"/>
  <c r="AC159" i="8"/>
  <c r="AB159" i="8"/>
  <c r="AA159" i="8"/>
  <c r="Z159" i="8"/>
  <c r="Y159" i="8"/>
  <c r="X159" i="8"/>
  <c r="S159" i="8"/>
  <c r="R159" i="8"/>
  <c r="Q159" i="8"/>
  <c r="P159" i="8"/>
  <c r="O159" i="8"/>
  <c r="N159" i="8"/>
  <c r="I159" i="8"/>
  <c r="H159" i="8"/>
  <c r="G159" i="8"/>
  <c r="F159" i="8"/>
  <c r="E159" i="8"/>
  <c r="D159" i="8"/>
  <c r="AC158" i="8"/>
  <c r="AB158" i="8"/>
  <c r="AA158" i="8"/>
  <c r="Z158" i="8"/>
  <c r="Y158" i="8"/>
  <c r="X158" i="8"/>
  <c r="S158" i="8"/>
  <c r="R158" i="8"/>
  <c r="Q158" i="8"/>
  <c r="P158" i="8"/>
  <c r="O158" i="8"/>
  <c r="N158" i="8"/>
  <c r="I158" i="8"/>
  <c r="H158" i="8"/>
  <c r="G158" i="8"/>
  <c r="F158" i="8"/>
  <c r="E158" i="8"/>
  <c r="D158" i="8"/>
  <c r="AC157" i="8"/>
  <c r="AB157" i="8"/>
  <c r="AA157" i="8"/>
  <c r="Z157" i="8"/>
  <c r="Y157" i="8"/>
  <c r="X157" i="8"/>
  <c r="S157" i="8"/>
  <c r="R157" i="8"/>
  <c r="Q157" i="8"/>
  <c r="P157" i="8"/>
  <c r="O157" i="8"/>
  <c r="N157" i="8"/>
  <c r="I157" i="8"/>
  <c r="H157" i="8"/>
  <c r="G157" i="8"/>
  <c r="F157" i="8"/>
  <c r="E157" i="8"/>
  <c r="D157" i="8"/>
  <c r="AC156" i="8"/>
  <c r="AB156" i="8"/>
  <c r="AA156" i="8"/>
  <c r="Z156" i="8"/>
  <c r="Y156" i="8"/>
  <c r="X156" i="8"/>
  <c r="S156" i="8"/>
  <c r="R156" i="8"/>
  <c r="Q156" i="8"/>
  <c r="P156" i="8"/>
  <c r="O156" i="8"/>
  <c r="N156" i="8"/>
  <c r="I156" i="8"/>
  <c r="H156" i="8"/>
  <c r="G156" i="8"/>
  <c r="F156" i="8"/>
  <c r="E156" i="8"/>
  <c r="D156" i="8"/>
  <c r="AC155" i="8"/>
  <c r="AB155" i="8"/>
  <c r="AA155" i="8"/>
  <c r="Z155" i="8"/>
  <c r="Y155" i="8"/>
  <c r="X155" i="8"/>
  <c r="S155" i="8"/>
  <c r="R155" i="8"/>
  <c r="Q155" i="8"/>
  <c r="P155" i="8"/>
  <c r="O155" i="8"/>
  <c r="N155" i="8"/>
  <c r="I155" i="8"/>
  <c r="H155" i="8"/>
  <c r="G155" i="8"/>
  <c r="F155" i="8"/>
  <c r="E155" i="8"/>
  <c r="D155" i="8"/>
  <c r="AC154" i="8"/>
  <c r="AB154" i="8"/>
  <c r="AA154" i="8"/>
  <c r="Z154" i="8"/>
  <c r="Y154" i="8"/>
  <c r="X154" i="8"/>
  <c r="S154" i="8"/>
  <c r="R154" i="8"/>
  <c r="Q154" i="8"/>
  <c r="P154" i="8"/>
  <c r="O154" i="8"/>
  <c r="N154" i="8"/>
  <c r="I154" i="8"/>
  <c r="H154" i="8"/>
  <c r="G154" i="8"/>
  <c r="F154" i="8"/>
  <c r="E154" i="8"/>
  <c r="D154" i="8"/>
  <c r="AC153" i="8"/>
  <c r="AB153" i="8"/>
  <c r="AA153" i="8"/>
  <c r="Z153" i="8"/>
  <c r="Y153" i="8"/>
  <c r="X153" i="8"/>
  <c r="S153" i="8"/>
  <c r="R153" i="8"/>
  <c r="Q153" i="8"/>
  <c r="P153" i="8"/>
  <c r="O153" i="8"/>
  <c r="N153" i="8"/>
  <c r="I153" i="8"/>
  <c r="H153" i="8"/>
  <c r="G153" i="8"/>
  <c r="F153" i="8"/>
  <c r="E153" i="8"/>
  <c r="D153" i="8"/>
  <c r="AC152" i="8"/>
  <c r="AB152" i="8"/>
  <c r="AA152" i="8"/>
  <c r="Z152" i="8"/>
  <c r="Y152" i="8"/>
  <c r="X152" i="8"/>
  <c r="S152" i="8"/>
  <c r="R152" i="8"/>
  <c r="Q152" i="8"/>
  <c r="P152" i="8"/>
  <c r="O152" i="8"/>
  <c r="N152" i="8"/>
  <c r="I152" i="8"/>
  <c r="H152" i="8"/>
  <c r="G152" i="8"/>
  <c r="F152" i="8"/>
  <c r="E152" i="8"/>
  <c r="D152" i="8"/>
  <c r="AC151" i="8"/>
  <c r="AB151" i="8"/>
  <c r="AA151" i="8"/>
  <c r="Z151" i="8"/>
  <c r="Y151" i="8"/>
  <c r="X151" i="8"/>
  <c r="S151" i="8"/>
  <c r="R151" i="8"/>
  <c r="Q151" i="8"/>
  <c r="P151" i="8"/>
  <c r="O151" i="8"/>
  <c r="N151" i="8"/>
  <c r="I151" i="8"/>
  <c r="H151" i="8"/>
  <c r="G151" i="8"/>
  <c r="F151" i="8"/>
  <c r="E151" i="8"/>
  <c r="D151" i="8"/>
  <c r="AC150" i="8"/>
  <c r="AB150" i="8"/>
  <c r="AA150" i="8"/>
  <c r="Z150" i="8"/>
  <c r="Y150" i="8"/>
  <c r="X150" i="8"/>
  <c r="S150" i="8"/>
  <c r="R150" i="8"/>
  <c r="Q150" i="8"/>
  <c r="P150" i="8"/>
  <c r="O150" i="8"/>
  <c r="N150" i="8"/>
  <c r="I150" i="8"/>
  <c r="H150" i="8"/>
  <c r="G150" i="8"/>
  <c r="F150" i="8"/>
  <c r="E150" i="8"/>
  <c r="D150" i="8"/>
  <c r="AC119" i="8"/>
  <c r="AB119" i="8"/>
  <c r="AA119" i="8"/>
  <c r="Z119" i="8"/>
  <c r="Y119" i="8"/>
  <c r="X119" i="8"/>
  <c r="S119" i="8"/>
  <c r="R119" i="8"/>
  <c r="Q119" i="8"/>
  <c r="P119" i="8"/>
  <c r="O119" i="8"/>
  <c r="N119" i="8"/>
  <c r="I119" i="8"/>
  <c r="H119" i="8"/>
  <c r="G119" i="8"/>
  <c r="F119" i="8"/>
  <c r="E119" i="8"/>
  <c r="D119" i="8"/>
  <c r="AC118" i="8"/>
  <c r="AB118" i="8"/>
  <c r="AA118" i="8"/>
  <c r="Z118" i="8"/>
  <c r="Y118" i="8"/>
  <c r="X118" i="8"/>
  <c r="S118" i="8"/>
  <c r="R118" i="8"/>
  <c r="Q118" i="8"/>
  <c r="P118" i="8"/>
  <c r="O118" i="8"/>
  <c r="N118" i="8"/>
  <c r="I118" i="8"/>
  <c r="H118" i="8"/>
  <c r="G118" i="8"/>
  <c r="F118" i="8"/>
  <c r="E118" i="8"/>
  <c r="D118" i="8"/>
  <c r="AC117" i="8"/>
  <c r="AB117" i="8"/>
  <c r="AA117" i="8"/>
  <c r="Z117" i="8"/>
  <c r="Y117" i="8"/>
  <c r="X117" i="8"/>
  <c r="S117" i="8"/>
  <c r="R117" i="8"/>
  <c r="Q117" i="8"/>
  <c r="P117" i="8"/>
  <c r="O117" i="8"/>
  <c r="N117" i="8"/>
  <c r="I117" i="8"/>
  <c r="H117" i="8"/>
  <c r="G117" i="8"/>
  <c r="F117" i="8"/>
  <c r="E117" i="8"/>
  <c r="D117" i="8"/>
  <c r="AC116" i="8"/>
  <c r="AB116" i="8"/>
  <c r="AA116" i="8"/>
  <c r="Z116" i="8"/>
  <c r="Y116" i="8"/>
  <c r="X116" i="8"/>
  <c r="S116" i="8"/>
  <c r="R116" i="8"/>
  <c r="Q116" i="8"/>
  <c r="P116" i="8"/>
  <c r="O116" i="8"/>
  <c r="N116" i="8"/>
  <c r="I116" i="8"/>
  <c r="H116" i="8"/>
  <c r="G116" i="8"/>
  <c r="F116" i="8"/>
  <c r="E116" i="8"/>
  <c r="D116" i="8"/>
  <c r="AC115" i="8"/>
  <c r="AB115" i="8"/>
  <c r="AA115" i="8"/>
  <c r="Z115" i="8"/>
  <c r="Y115" i="8"/>
  <c r="X115" i="8"/>
  <c r="S115" i="8"/>
  <c r="R115" i="8"/>
  <c r="Q115" i="8"/>
  <c r="P115" i="8"/>
  <c r="O115" i="8"/>
  <c r="N115" i="8"/>
  <c r="I115" i="8"/>
  <c r="H115" i="8"/>
  <c r="G115" i="8"/>
  <c r="F115" i="8"/>
  <c r="E115" i="8"/>
  <c r="D115" i="8"/>
  <c r="AC114" i="8"/>
  <c r="AB114" i="8"/>
  <c r="AA114" i="8"/>
  <c r="Z114" i="8"/>
  <c r="Y114" i="8"/>
  <c r="X114" i="8"/>
  <c r="S114" i="8"/>
  <c r="R114" i="8"/>
  <c r="Q114" i="8"/>
  <c r="P114" i="8"/>
  <c r="O114" i="8"/>
  <c r="N114" i="8"/>
  <c r="I114" i="8"/>
  <c r="H114" i="8"/>
  <c r="G114" i="8"/>
  <c r="F114" i="8"/>
  <c r="E114" i="8"/>
  <c r="D114" i="8"/>
  <c r="AC113" i="8"/>
  <c r="AB113" i="8"/>
  <c r="AA113" i="8"/>
  <c r="Z113" i="8"/>
  <c r="Y113" i="8"/>
  <c r="X113" i="8"/>
  <c r="S113" i="8"/>
  <c r="R113" i="8"/>
  <c r="Q113" i="8"/>
  <c r="P113" i="8"/>
  <c r="O113" i="8"/>
  <c r="N113" i="8"/>
  <c r="I113" i="8"/>
  <c r="H113" i="8"/>
  <c r="G113" i="8"/>
  <c r="F113" i="8"/>
  <c r="E113" i="8"/>
  <c r="D113" i="8"/>
  <c r="AC112" i="8"/>
  <c r="AB112" i="8"/>
  <c r="AA112" i="8"/>
  <c r="Z112" i="8"/>
  <c r="Y112" i="8"/>
  <c r="X112" i="8"/>
  <c r="S112" i="8"/>
  <c r="R112" i="8"/>
  <c r="Q112" i="8"/>
  <c r="P112" i="8"/>
  <c r="O112" i="8"/>
  <c r="N112" i="8"/>
  <c r="I112" i="8"/>
  <c r="H112" i="8"/>
  <c r="G112" i="8"/>
  <c r="F112" i="8"/>
  <c r="E112" i="8"/>
  <c r="D112" i="8"/>
  <c r="AC111" i="8"/>
  <c r="AB111" i="8"/>
  <c r="AA111" i="8"/>
  <c r="Z111" i="8"/>
  <c r="Y111" i="8"/>
  <c r="X111" i="8"/>
  <c r="S111" i="8"/>
  <c r="R111" i="8"/>
  <c r="Q111" i="8"/>
  <c r="P111" i="8"/>
  <c r="O111" i="8"/>
  <c r="N111" i="8"/>
  <c r="I111" i="8"/>
  <c r="H111" i="8"/>
  <c r="G111" i="8"/>
  <c r="F111" i="8"/>
  <c r="E111" i="8"/>
  <c r="D111" i="8"/>
  <c r="AC110" i="8"/>
  <c r="AB110" i="8"/>
  <c r="AA110" i="8"/>
  <c r="Z110" i="8"/>
  <c r="Y110" i="8"/>
  <c r="X110" i="8"/>
  <c r="S110" i="8"/>
  <c r="R110" i="8"/>
  <c r="Q110" i="8"/>
  <c r="P110" i="8"/>
  <c r="O110" i="8"/>
  <c r="N110" i="8"/>
  <c r="I110" i="8"/>
  <c r="H110" i="8"/>
  <c r="G110" i="8"/>
  <c r="F110" i="8"/>
  <c r="E110" i="8"/>
  <c r="D110" i="8"/>
  <c r="AC109" i="8"/>
  <c r="AB109" i="8"/>
  <c r="AA109" i="8"/>
  <c r="Z109" i="8"/>
  <c r="Y109" i="8"/>
  <c r="X109" i="8"/>
  <c r="S109" i="8"/>
  <c r="R109" i="8"/>
  <c r="Q109" i="8"/>
  <c r="P109" i="8"/>
  <c r="O109" i="8"/>
  <c r="N109" i="8"/>
  <c r="I109" i="8"/>
  <c r="H109" i="8"/>
  <c r="G109" i="8"/>
  <c r="F109" i="8"/>
  <c r="E109" i="8"/>
  <c r="D109" i="8"/>
  <c r="AC108" i="8"/>
  <c r="AB108" i="8"/>
  <c r="AA108" i="8"/>
  <c r="Z108" i="8"/>
  <c r="Y108" i="8"/>
  <c r="X108" i="8"/>
  <c r="S108" i="8"/>
  <c r="R108" i="8"/>
  <c r="Q108" i="8"/>
  <c r="P108" i="8"/>
  <c r="O108" i="8"/>
  <c r="N108" i="8"/>
  <c r="I108" i="8"/>
  <c r="H108" i="8"/>
  <c r="G108" i="8"/>
  <c r="F108" i="8"/>
  <c r="E108" i="8"/>
  <c r="D108" i="8"/>
  <c r="AC107" i="8"/>
  <c r="AB107" i="8"/>
  <c r="AA107" i="8"/>
  <c r="Z107" i="8"/>
  <c r="Y107" i="8"/>
  <c r="X107" i="8"/>
  <c r="S107" i="8"/>
  <c r="R107" i="8"/>
  <c r="Q107" i="8"/>
  <c r="P107" i="8"/>
  <c r="O107" i="8"/>
  <c r="N107" i="8"/>
  <c r="I107" i="8"/>
  <c r="H107" i="8"/>
  <c r="G107" i="8"/>
  <c r="F107" i="8"/>
  <c r="E107" i="8"/>
  <c r="D107" i="8"/>
  <c r="AC106" i="8"/>
  <c r="AB106" i="8"/>
  <c r="AA106" i="8"/>
  <c r="Z106" i="8"/>
  <c r="Y106" i="8"/>
  <c r="X106" i="8"/>
  <c r="S106" i="8"/>
  <c r="R106" i="8"/>
  <c r="Q106" i="8"/>
  <c r="P106" i="8"/>
  <c r="O106" i="8"/>
  <c r="N106" i="8"/>
  <c r="I106" i="8"/>
  <c r="H106" i="8"/>
  <c r="G106" i="8"/>
  <c r="F106" i="8"/>
  <c r="E106" i="8"/>
  <c r="D106" i="8"/>
  <c r="AC105" i="8"/>
  <c r="AB105" i="8"/>
  <c r="AA105" i="8"/>
  <c r="Z105" i="8"/>
  <c r="Y105" i="8"/>
  <c r="X105" i="8"/>
  <c r="S105" i="8"/>
  <c r="R105" i="8"/>
  <c r="Q105" i="8"/>
  <c r="P105" i="8"/>
  <c r="O105" i="8"/>
  <c r="N105" i="8"/>
  <c r="I105" i="8"/>
  <c r="H105" i="8"/>
  <c r="G105" i="8"/>
  <c r="F105" i="8"/>
  <c r="E105" i="8"/>
  <c r="D105" i="8"/>
  <c r="AC104" i="8"/>
  <c r="AB104" i="8"/>
  <c r="AA104" i="8"/>
  <c r="Z104" i="8"/>
  <c r="Y104" i="8"/>
  <c r="X104" i="8"/>
  <c r="S104" i="8"/>
  <c r="R104" i="8"/>
  <c r="Q104" i="8"/>
  <c r="P104" i="8"/>
  <c r="O104" i="8"/>
  <c r="N104" i="8"/>
  <c r="I104" i="8"/>
  <c r="H104" i="8"/>
  <c r="G104" i="8"/>
  <c r="F104" i="8"/>
  <c r="E104" i="8"/>
  <c r="D104" i="8"/>
  <c r="AC103" i="8"/>
  <c r="AB103" i="8"/>
  <c r="AA103" i="8"/>
  <c r="Z103" i="8"/>
  <c r="Y103" i="8"/>
  <c r="X103" i="8"/>
  <c r="S103" i="8"/>
  <c r="R103" i="8"/>
  <c r="Q103" i="8"/>
  <c r="P103" i="8"/>
  <c r="O103" i="8"/>
  <c r="N103" i="8"/>
  <c r="I103" i="8"/>
  <c r="H103" i="8"/>
  <c r="G103" i="8"/>
  <c r="F103" i="8"/>
  <c r="E103" i="8"/>
  <c r="D103" i="8"/>
  <c r="AC102" i="8"/>
  <c r="AB102" i="8"/>
  <c r="AA102" i="8"/>
  <c r="Z102" i="8"/>
  <c r="Y102" i="8"/>
  <c r="X102" i="8"/>
  <c r="S102" i="8"/>
  <c r="R102" i="8"/>
  <c r="Q102" i="8"/>
  <c r="P102" i="8"/>
  <c r="O102" i="8"/>
  <c r="N102" i="8"/>
  <c r="I102" i="8"/>
  <c r="H102" i="8"/>
  <c r="G102" i="8"/>
  <c r="F102" i="8"/>
  <c r="E102" i="8"/>
  <c r="D102" i="8"/>
  <c r="AC101" i="8"/>
  <c r="AB101" i="8"/>
  <c r="AA101" i="8"/>
  <c r="Z101" i="8"/>
  <c r="Y101" i="8"/>
  <c r="X101" i="8"/>
  <c r="S101" i="8"/>
  <c r="R101" i="8"/>
  <c r="Q101" i="8"/>
  <c r="P101" i="8"/>
  <c r="O101" i="8"/>
  <c r="N101" i="8"/>
  <c r="I101" i="8"/>
  <c r="H101" i="8"/>
  <c r="G101" i="8"/>
  <c r="F101" i="8"/>
  <c r="E101" i="8"/>
  <c r="D101" i="8"/>
  <c r="AC100" i="8"/>
  <c r="AB100" i="8"/>
  <c r="AA100" i="8"/>
  <c r="Z100" i="8"/>
  <c r="Y100" i="8"/>
  <c r="X100" i="8"/>
  <c r="S100" i="8"/>
  <c r="R100" i="8"/>
  <c r="Q100" i="8"/>
  <c r="P100" i="8"/>
  <c r="O100" i="8"/>
  <c r="N100" i="8"/>
  <c r="I100" i="8"/>
  <c r="H100" i="8"/>
  <c r="G100" i="8"/>
  <c r="F100" i="8"/>
  <c r="E100" i="8"/>
  <c r="D100" i="8"/>
  <c r="AC99" i="8"/>
  <c r="AB99" i="8"/>
  <c r="AA99" i="8"/>
  <c r="Z99" i="8"/>
  <c r="Y99" i="8"/>
  <c r="X99" i="8"/>
  <c r="S99" i="8"/>
  <c r="R99" i="8"/>
  <c r="Q99" i="8"/>
  <c r="P99" i="8"/>
  <c r="O99" i="8"/>
  <c r="N99" i="8"/>
  <c r="I99" i="8"/>
  <c r="H99" i="8"/>
  <c r="G99" i="8"/>
  <c r="F99" i="8"/>
  <c r="E99" i="8"/>
  <c r="D99" i="8"/>
  <c r="AC98" i="8"/>
  <c r="AB98" i="8"/>
  <c r="AA98" i="8"/>
  <c r="Z98" i="8"/>
  <c r="Y98" i="8"/>
  <c r="X98" i="8"/>
  <c r="S98" i="8"/>
  <c r="R98" i="8"/>
  <c r="Q98" i="8"/>
  <c r="P98" i="8"/>
  <c r="O98" i="8"/>
  <c r="N98" i="8"/>
  <c r="I98" i="8"/>
  <c r="H98" i="8"/>
  <c r="G98" i="8"/>
  <c r="F98" i="8"/>
  <c r="E98" i="8"/>
  <c r="D98" i="8"/>
  <c r="AC97" i="8"/>
  <c r="AB97" i="8"/>
  <c r="AA97" i="8"/>
  <c r="Z97" i="8"/>
  <c r="Y97" i="8"/>
  <c r="X97" i="8"/>
  <c r="S97" i="8"/>
  <c r="R97" i="8"/>
  <c r="Q97" i="8"/>
  <c r="P97" i="8"/>
  <c r="O97" i="8"/>
  <c r="N97" i="8"/>
  <c r="I97" i="8"/>
  <c r="H97" i="8"/>
  <c r="G97" i="8"/>
  <c r="F97" i="8"/>
  <c r="E97" i="8"/>
  <c r="D97" i="8"/>
  <c r="AC96" i="8"/>
  <c r="AB96" i="8"/>
  <c r="AA96" i="8"/>
  <c r="Z96" i="8"/>
  <c r="Y96" i="8"/>
  <c r="X96" i="8"/>
  <c r="S96" i="8"/>
  <c r="R96" i="8"/>
  <c r="Q96" i="8"/>
  <c r="P96" i="8"/>
  <c r="O96" i="8"/>
  <c r="N96" i="8"/>
  <c r="I96" i="8"/>
  <c r="H96" i="8"/>
  <c r="G96" i="8"/>
  <c r="F96" i="8"/>
  <c r="E96" i="8"/>
  <c r="D96" i="8"/>
  <c r="AC95" i="8"/>
  <c r="AB95" i="8"/>
  <c r="AA95" i="8"/>
  <c r="Z95" i="8"/>
  <c r="Y95" i="8"/>
  <c r="X95" i="8"/>
  <c r="S95" i="8"/>
  <c r="R95" i="8"/>
  <c r="Q95" i="8"/>
  <c r="P95" i="8"/>
  <c r="O95" i="8"/>
  <c r="N95" i="8"/>
  <c r="I95" i="8"/>
  <c r="H95" i="8"/>
  <c r="G95" i="8"/>
  <c r="F95" i="8"/>
  <c r="E95" i="8"/>
  <c r="D95" i="8"/>
  <c r="AC94" i="8"/>
  <c r="AB94" i="8"/>
  <c r="AA94" i="8"/>
  <c r="Z94" i="8"/>
  <c r="Y94" i="8"/>
  <c r="X94" i="8"/>
  <c r="S94" i="8"/>
  <c r="R94" i="8"/>
  <c r="Q94" i="8"/>
  <c r="P94" i="8"/>
  <c r="O94" i="8"/>
  <c r="N94" i="8"/>
  <c r="I94" i="8"/>
  <c r="H94" i="8"/>
  <c r="G94" i="8"/>
  <c r="F94" i="8"/>
  <c r="E94" i="8"/>
  <c r="D94" i="8"/>
  <c r="AC93" i="8"/>
  <c r="AB93" i="8"/>
  <c r="AA93" i="8"/>
  <c r="Z93" i="8"/>
  <c r="Y93" i="8"/>
  <c r="X93" i="8"/>
  <c r="S93" i="8"/>
  <c r="R93" i="8"/>
  <c r="Q93" i="8"/>
  <c r="P93" i="8"/>
  <c r="O93" i="8"/>
  <c r="N93" i="8"/>
  <c r="I93" i="8"/>
  <c r="H93" i="8"/>
  <c r="G93" i="8"/>
  <c r="F93" i="8"/>
  <c r="E93" i="8"/>
  <c r="D93" i="8"/>
  <c r="AC92" i="8"/>
  <c r="AB92" i="8"/>
  <c r="AA92" i="8"/>
  <c r="Z92" i="8"/>
  <c r="Y92" i="8"/>
  <c r="X92" i="8"/>
  <c r="S92" i="8"/>
  <c r="R92" i="8"/>
  <c r="Q92" i="8"/>
  <c r="P92" i="8"/>
  <c r="O92" i="8"/>
  <c r="N92" i="8"/>
  <c r="I92" i="8"/>
  <c r="H92" i="8"/>
  <c r="G92" i="8"/>
  <c r="F92" i="8"/>
  <c r="E92" i="8"/>
  <c r="D92" i="8"/>
  <c r="AC91" i="8"/>
  <c r="AB91" i="8"/>
  <c r="AA91" i="8"/>
  <c r="Z91" i="8"/>
  <c r="Y91" i="8"/>
  <c r="X91" i="8"/>
  <c r="S91" i="8"/>
  <c r="R91" i="8"/>
  <c r="Q91" i="8"/>
  <c r="P91" i="8"/>
  <c r="O91" i="8"/>
  <c r="N91" i="8"/>
  <c r="I91" i="8"/>
  <c r="H91" i="8"/>
  <c r="G91" i="8"/>
  <c r="F91" i="8"/>
  <c r="E91" i="8"/>
  <c r="D91" i="8"/>
  <c r="AC90" i="8"/>
  <c r="AB90" i="8"/>
  <c r="AA90" i="8"/>
  <c r="Z90" i="8"/>
  <c r="Y90" i="8"/>
  <c r="X90" i="8"/>
  <c r="S90" i="8"/>
  <c r="R90" i="8"/>
  <c r="Q90" i="8"/>
  <c r="P90" i="8"/>
  <c r="O90" i="8"/>
  <c r="N90" i="8"/>
  <c r="I90" i="8"/>
  <c r="H90" i="8"/>
  <c r="G90" i="8"/>
  <c r="F90" i="8"/>
  <c r="E90" i="8"/>
  <c r="D90" i="8"/>
  <c r="AC89" i="8"/>
  <c r="AB89" i="8"/>
  <c r="AA89" i="8"/>
  <c r="Z89" i="8"/>
  <c r="Y89" i="8"/>
  <c r="X89" i="8"/>
  <c r="S89" i="8"/>
  <c r="R89" i="8"/>
  <c r="Q89" i="8"/>
  <c r="P89" i="8"/>
  <c r="O89" i="8"/>
  <c r="N89" i="8"/>
  <c r="I89" i="8"/>
  <c r="H89" i="8"/>
  <c r="G89" i="8"/>
  <c r="F89" i="8"/>
  <c r="E89" i="8"/>
  <c r="D89" i="8"/>
  <c r="AC88" i="8"/>
  <c r="AB88" i="8"/>
  <c r="AA88" i="8"/>
  <c r="Z88" i="8"/>
  <c r="Y88" i="8"/>
  <c r="X88" i="8"/>
  <c r="S88" i="8"/>
  <c r="R88" i="8"/>
  <c r="Q88" i="8"/>
  <c r="P88" i="8"/>
  <c r="O88" i="8"/>
  <c r="N88" i="8"/>
  <c r="I88" i="8"/>
  <c r="H88" i="8"/>
  <c r="G88" i="8"/>
  <c r="F88" i="8"/>
  <c r="E88" i="8"/>
  <c r="D88" i="8"/>
  <c r="AC87" i="8"/>
  <c r="AB87" i="8"/>
  <c r="AA87" i="8"/>
  <c r="Z87" i="8"/>
  <c r="Y87" i="8"/>
  <c r="X87" i="8"/>
  <c r="S87" i="8"/>
  <c r="R87" i="8"/>
  <c r="Q87" i="8"/>
  <c r="P87" i="8"/>
  <c r="O87" i="8"/>
  <c r="N87" i="8"/>
  <c r="I87" i="8"/>
  <c r="H87" i="8"/>
  <c r="G87" i="8"/>
  <c r="F87" i="8"/>
  <c r="E87" i="8"/>
  <c r="D87" i="8"/>
  <c r="AC86" i="8"/>
  <c r="AB86" i="8"/>
  <c r="AA86" i="8"/>
  <c r="Z86" i="8"/>
  <c r="Y86" i="8"/>
  <c r="X86" i="8"/>
  <c r="S86" i="8"/>
  <c r="R86" i="8"/>
  <c r="Q86" i="8"/>
  <c r="P86" i="8"/>
  <c r="O86" i="8"/>
  <c r="N86" i="8"/>
  <c r="I86" i="8"/>
  <c r="H86" i="8"/>
  <c r="G86" i="8"/>
  <c r="F86" i="8"/>
  <c r="E86" i="8"/>
  <c r="D86" i="8"/>
  <c r="AC85" i="8"/>
  <c r="AB85" i="8"/>
  <c r="AA85" i="8"/>
  <c r="Z85" i="8"/>
  <c r="Y85" i="8"/>
  <c r="X85" i="8"/>
  <c r="S85" i="8"/>
  <c r="R85" i="8"/>
  <c r="Q85" i="8"/>
  <c r="P85" i="8"/>
  <c r="O85" i="8"/>
  <c r="N85" i="8"/>
  <c r="I85" i="8"/>
  <c r="H85" i="8"/>
  <c r="G85" i="8"/>
  <c r="F85" i="8"/>
  <c r="E85" i="8"/>
  <c r="D85" i="8"/>
  <c r="AC84" i="8"/>
  <c r="AB84" i="8"/>
  <c r="AA84" i="8"/>
  <c r="Z84" i="8"/>
  <c r="Y84" i="8"/>
  <c r="X84" i="8"/>
  <c r="S84" i="8"/>
  <c r="R84" i="8"/>
  <c r="Q84" i="8"/>
  <c r="P84" i="8"/>
  <c r="O84" i="8"/>
  <c r="N84" i="8"/>
  <c r="I84" i="8"/>
  <c r="H84" i="8"/>
  <c r="G84" i="8"/>
  <c r="F84" i="8"/>
  <c r="E84" i="8"/>
  <c r="D84" i="8"/>
  <c r="AC83" i="8"/>
  <c r="AB83" i="8"/>
  <c r="AA83" i="8"/>
  <c r="Z83" i="8"/>
  <c r="Y83" i="8"/>
  <c r="X83" i="8"/>
  <c r="S83" i="8"/>
  <c r="R83" i="8"/>
  <c r="Q83" i="8"/>
  <c r="P83" i="8"/>
  <c r="O83" i="8"/>
  <c r="N83" i="8"/>
  <c r="I83" i="8"/>
  <c r="H83" i="8"/>
  <c r="G83" i="8"/>
  <c r="F83" i="8"/>
  <c r="E83" i="8"/>
  <c r="D83" i="8"/>
  <c r="AC82" i="8"/>
  <c r="AB82" i="8"/>
  <c r="AA82" i="8"/>
  <c r="Z82" i="8"/>
  <c r="Y82" i="8"/>
  <c r="X82" i="8"/>
  <c r="S82" i="8"/>
  <c r="R82" i="8"/>
  <c r="Q82" i="8"/>
  <c r="P82" i="8"/>
  <c r="O82" i="8"/>
  <c r="N82" i="8"/>
  <c r="I82" i="8"/>
  <c r="H82" i="8"/>
  <c r="G82" i="8"/>
  <c r="F82" i="8"/>
  <c r="E82" i="8"/>
  <c r="D82" i="8"/>
  <c r="AC81" i="8"/>
  <c r="AB81" i="8"/>
  <c r="AA81" i="8"/>
  <c r="Z81" i="8"/>
  <c r="Y81" i="8"/>
  <c r="X81" i="8"/>
  <c r="S81" i="8"/>
  <c r="R81" i="8"/>
  <c r="Q81" i="8"/>
  <c r="P81" i="8"/>
  <c r="O81" i="8"/>
  <c r="N81" i="8"/>
  <c r="I81" i="8"/>
  <c r="H81" i="8"/>
  <c r="G81" i="8"/>
  <c r="F81" i="8"/>
  <c r="E81" i="8"/>
  <c r="D81" i="8"/>
  <c r="AC80" i="8"/>
  <c r="AB80" i="8"/>
  <c r="AA80" i="8"/>
  <c r="Z80" i="8"/>
  <c r="Y80" i="8"/>
  <c r="X80" i="8"/>
  <c r="S80" i="8"/>
  <c r="R80" i="8"/>
  <c r="Q80" i="8"/>
  <c r="P80" i="8"/>
  <c r="O80" i="8"/>
  <c r="N80" i="8"/>
  <c r="I80" i="8"/>
  <c r="H80" i="8"/>
  <c r="G80" i="8"/>
  <c r="F80" i="8"/>
  <c r="E80" i="8"/>
  <c r="D80" i="8"/>
  <c r="AC79" i="8"/>
  <c r="AB79" i="8"/>
  <c r="AA79" i="8"/>
  <c r="Z79" i="8"/>
  <c r="Y79" i="8"/>
  <c r="X79" i="8"/>
  <c r="S79" i="8"/>
  <c r="R79" i="8"/>
  <c r="Q79" i="8"/>
  <c r="P79" i="8"/>
  <c r="O79" i="8"/>
  <c r="N79" i="8"/>
  <c r="I79" i="8"/>
  <c r="H79" i="8"/>
  <c r="G79" i="8"/>
  <c r="F79" i="8"/>
  <c r="E79" i="8"/>
  <c r="D79" i="8"/>
  <c r="AC78" i="8"/>
  <c r="AB78" i="8"/>
  <c r="AA78" i="8"/>
  <c r="Z78" i="8"/>
  <c r="Y78" i="8"/>
  <c r="X78" i="8"/>
  <c r="S78" i="8"/>
  <c r="R78" i="8"/>
  <c r="Q78" i="8"/>
  <c r="P78" i="8"/>
  <c r="O78" i="8"/>
  <c r="N78" i="8"/>
  <c r="I78" i="8"/>
  <c r="H78" i="8"/>
  <c r="G78" i="8"/>
  <c r="F78" i="8"/>
  <c r="E78" i="8"/>
  <c r="D78" i="8"/>
  <c r="AC77" i="8"/>
  <c r="AB77" i="8"/>
  <c r="AA77" i="8"/>
  <c r="Z77" i="8"/>
  <c r="Y77" i="8"/>
  <c r="X77" i="8"/>
  <c r="S77" i="8"/>
  <c r="R77" i="8"/>
  <c r="Q77" i="8"/>
  <c r="P77" i="8"/>
  <c r="O77" i="8"/>
  <c r="N77" i="8"/>
  <c r="I77" i="8"/>
  <c r="H77" i="8"/>
  <c r="G77" i="8"/>
  <c r="F77" i="8"/>
  <c r="E77" i="8"/>
  <c r="D77" i="8"/>
  <c r="AC76" i="8"/>
  <c r="AB76" i="8"/>
  <c r="AA76" i="8"/>
  <c r="Z76" i="8"/>
  <c r="Y76" i="8"/>
  <c r="X76" i="8"/>
  <c r="S76" i="8"/>
  <c r="R76" i="8"/>
  <c r="Q76" i="8"/>
  <c r="P76" i="8"/>
  <c r="O76" i="8"/>
  <c r="N76" i="8"/>
  <c r="I76" i="8"/>
  <c r="H76" i="8"/>
  <c r="G76" i="8"/>
  <c r="F76" i="8"/>
  <c r="E76" i="8"/>
  <c r="D76" i="8"/>
  <c r="AC75" i="8"/>
  <c r="AB75" i="8"/>
  <c r="AA75" i="8"/>
  <c r="Z75" i="8"/>
  <c r="Y75" i="8"/>
  <c r="X75" i="8"/>
  <c r="S75" i="8"/>
  <c r="R75" i="8"/>
  <c r="Q75" i="8"/>
  <c r="P75" i="8"/>
  <c r="O75" i="8"/>
  <c r="N75" i="8"/>
  <c r="I75" i="8"/>
  <c r="H75" i="8"/>
  <c r="G75" i="8"/>
  <c r="F75" i="8"/>
  <c r="E75" i="8"/>
  <c r="D75" i="8"/>
  <c r="AC74" i="8"/>
  <c r="AB74" i="8"/>
  <c r="AA74" i="8"/>
  <c r="Z74" i="8"/>
  <c r="Y74" i="8"/>
  <c r="X74" i="8"/>
  <c r="S74" i="8"/>
  <c r="R74" i="8"/>
  <c r="Q74" i="8"/>
  <c r="P74" i="8"/>
  <c r="O74" i="8"/>
  <c r="N74" i="8"/>
  <c r="I74" i="8"/>
  <c r="H74" i="8"/>
  <c r="G74" i="8"/>
  <c r="F74" i="8"/>
  <c r="E74" i="8"/>
  <c r="D74" i="8"/>
  <c r="AC73" i="8"/>
  <c r="AB73" i="8"/>
  <c r="AA73" i="8"/>
  <c r="Z73" i="8"/>
  <c r="Y73" i="8"/>
  <c r="X73" i="8"/>
  <c r="S73" i="8"/>
  <c r="R73" i="8"/>
  <c r="Q73" i="8"/>
  <c r="P73" i="8"/>
  <c r="O73" i="8"/>
  <c r="N73" i="8"/>
  <c r="I73" i="8"/>
  <c r="H73" i="8"/>
  <c r="G73" i="8"/>
  <c r="F73" i="8"/>
  <c r="E73" i="8"/>
  <c r="D73" i="8"/>
  <c r="AC72" i="8"/>
  <c r="AB72" i="8"/>
  <c r="AA72" i="8"/>
  <c r="Z72" i="8"/>
  <c r="Y72" i="8"/>
  <c r="X72" i="8"/>
  <c r="S72" i="8"/>
  <c r="R72" i="8"/>
  <c r="Q72" i="8"/>
  <c r="P72" i="8"/>
  <c r="O72" i="8"/>
  <c r="N72" i="8"/>
  <c r="I72" i="8"/>
  <c r="H72" i="8"/>
  <c r="G72" i="8"/>
  <c r="F72" i="8"/>
  <c r="E72" i="8"/>
  <c r="D72" i="8"/>
  <c r="AC71" i="8"/>
  <c r="AB71" i="8"/>
  <c r="AA71" i="8"/>
  <c r="Z71" i="8"/>
  <c r="Y71" i="8"/>
  <c r="X71" i="8"/>
  <c r="S71" i="8"/>
  <c r="R71" i="8"/>
  <c r="Q71" i="8"/>
  <c r="P71" i="8"/>
  <c r="O71" i="8"/>
  <c r="N71" i="8"/>
  <c r="I71" i="8"/>
  <c r="H71" i="8"/>
  <c r="G71" i="8"/>
  <c r="F71" i="8"/>
  <c r="E71" i="8"/>
  <c r="D71" i="8"/>
  <c r="AC70" i="8"/>
  <c r="AB70" i="8"/>
  <c r="AA70" i="8"/>
  <c r="Z70" i="8"/>
  <c r="Y70" i="8"/>
  <c r="X70" i="8"/>
  <c r="S70" i="8"/>
  <c r="R70" i="8"/>
  <c r="Q70" i="8"/>
  <c r="P70" i="8"/>
  <c r="O70" i="8"/>
  <c r="N70" i="8"/>
  <c r="I70" i="8"/>
  <c r="H70" i="8"/>
  <c r="G70" i="8"/>
  <c r="F70" i="8"/>
  <c r="E70" i="8"/>
  <c r="D70" i="8"/>
  <c r="AC69" i="8"/>
  <c r="AB69" i="8"/>
  <c r="AA69" i="8"/>
  <c r="Z69" i="8"/>
  <c r="Y69" i="8"/>
  <c r="X69" i="8"/>
  <c r="S69" i="8"/>
  <c r="R69" i="8"/>
  <c r="Q69" i="8"/>
  <c r="P69" i="8"/>
  <c r="O69" i="8"/>
  <c r="N69" i="8"/>
  <c r="I69" i="8"/>
  <c r="H69" i="8"/>
  <c r="G69" i="8"/>
  <c r="F69" i="8"/>
  <c r="E69" i="8"/>
  <c r="D69" i="8"/>
  <c r="AC68" i="8"/>
  <c r="AB68" i="8"/>
  <c r="AA68" i="8"/>
  <c r="Z68" i="8"/>
  <c r="Y68" i="8"/>
  <c r="X68" i="8"/>
  <c r="S68" i="8"/>
  <c r="R68" i="8"/>
  <c r="Q68" i="8"/>
  <c r="P68" i="8"/>
  <c r="O68" i="8"/>
  <c r="N68" i="8"/>
  <c r="I68" i="8"/>
  <c r="H68" i="8"/>
  <c r="G68" i="8"/>
  <c r="F68" i="8"/>
  <c r="E68" i="8"/>
  <c r="D68" i="8"/>
  <c r="AC67" i="8"/>
  <c r="AB67" i="8"/>
  <c r="AA67" i="8"/>
  <c r="Z67" i="8"/>
  <c r="Y67" i="8"/>
  <c r="X67" i="8"/>
  <c r="S67" i="8"/>
  <c r="R67" i="8"/>
  <c r="Q67" i="8"/>
  <c r="P67" i="8"/>
  <c r="O67" i="8"/>
  <c r="N67" i="8"/>
  <c r="I67" i="8"/>
  <c r="H67" i="8"/>
  <c r="G67" i="8"/>
  <c r="F67" i="8"/>
  <c r="E67" i="8"/>
  <c r="D67" i="8"/>
  <c r="AC66" i="8"/>
  <c r="AB66" i="8"/>
  <c r="AA66" i="8"/>
  <c r="Z66" i="8"/>
  <c r="Y66" i="8"/>
  <c r="X66" i="8"/>
  <c r="S66" i="8"/>
  <c r="R66" i="8"/>
  <c r="Q66" i="8"/>
  <c r="P66" i="8"/>
  <c r="O66" i="8"/>
  <c r="N66" i="8"/>
  <c r="I66" i="8"/>
  <c r="H66" i="8"/>
  <c r="G66" i="8"/>
  <c r="F66" i="8"/>
  <c r="E66" i="8"/>
  <c r="D66" i="8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AC234" i="7"/>
  <c r="AB234" i="7"/>
  <c r="AA234" i="7"/>
  <c r="Z234" i="7"/>
  <c r="Y234" i="7"/>
  <c r="X234" i="7"/>
  <c r="S234" i="7"/>
  <c r="R234" i="7"/>
  <c r="Q234" i="7"/>
  <c r="P234" i="7"/>
  <c r="O234" i="7"/>
  <c r="N234" i="7"/>
  <c r="I234" i="7"/>
  <c r="H234" i="7"/>
  <c r="G234" i="7"/>
  <c r="F234" i="7"/>
  <c r="E234" i="7"/>
  <c r="D234" i="7"/>
  <c r="AC176" i="7"/>
  <c r="AB176" i="7"/>
  <c r="AA176" i="7"/>
  <c r="Z176" i="7"/>
  <c r="Y176" i="7"/>
  <c r="X176" i="7"/>
  <c r="S176" i="7"/>
  <c r="R176" i="7"/>
  <c r="Q176" i="7"/>
  <c r="P176" i="7"/>
  <c r="O176" i="7"/>
  <c r="N176" i="7"/>
  <c r="I176" i="7"/>
  <c r="H176" i="7"/>
  <c r="G176" i="7"/>
  <c r="F176" i="7"/>
  <c r="E176" i="7"/>
  <c r="D176" i="7"/>
  <c r="AC175" i="7"/>
  <c r="AB175" i="7"/>
  <c r="AA175" i="7"/>
  <c r="Z175" i="7"/>
  <c r="Y175" i="7"/>
  <c r="X175" i="7"/>
  <c r="S175" i="7"/>
  <c r="R175" i="7"/>
  <c r="Q175" i="7"/>
  <c r="P175" i="7"/>
  <c r="O175" i="7"/>
  <c r="N175" i="7"/>
  <c r="I175" i="7"/>
  <c r="H175" i="7"/>
  <c r="G175" i="7"/>
  <c r="F175" i="7"/>
  <c r="E175" i="7"/>
  <c r="D175" i="7"/>
  <c r="AC174" i="7"/>
  <c r="AB174" i="7"/>
  <c r="AA174" i="7"/>
  <c r="Z174" i="7"/>
  <c r="Y174" i="7"/>
  <c r="X174" i="7"/>
  <c r="S174" i="7"/>
  <c r="R174" i="7"/>
  <c r="Q174" i="7"/>
  <c r="P174" i="7"/>
  <c r="O174" i="7"/>
  <c r="N174" i="7"/>
  <c r="I174" i="7"/>
  <c r="H174" i="7"/>
  <c r="G174" i="7"/>
  <c r="F174" i="7"/>
  <c r="E174" i="7"/>
  <c r="D174" i="7"/>
  <c r="AC173" i="7"/>
  <c r="AB173" i="7"/>
  <c r="AA173" i="7"/>
  <c r="Z173" i="7"/>
  <c r="Y173" i="7"/>
  <c r="X173" i="7"/>
  <c r="S173" i="7"/>
  <c r="R173" i="7"/>
  <c r="Q173" i="7"/>
  <c r="P173" i="7"/>
  <c r="O173" i="7"/>
  <c r="N173" i="7"/>
  <c r="I173" i="7"/>
  <c r="H173" i="7"/>
  <c r="G173" i="7"/>
  <c r="F173" i="7"/>
  <c r="E173" i="7"/>
  <c r="D173" i="7"/>
  <c r="AC172" i="7"/>
  <c r="AB172" i="7"/>
  <c r="AA172" i="7"/>
  <c r="Z172" i="7"/>
  <c r="Y172" i="7"/>
  <c r="X172" i="7"/>
  <c r="S172" i="7"/>
  <c r="R172" i="7"/>
  <c r="Q172" i="7"/>
  <c r="P172" i="7"/>
  <c r="O172" i="7"/>
  <c r="N172" i="7"/>
  <c r="I172" i="7"/>
  <c r="H172" i="7"/>
  <c r="G172" i="7"/>
  <c r="F172" i="7"/>
  <c r="E172" i="7"/>
  <c r="D172" i="7"/>
  <c r="AC171" i="7"/>
  <c r="AB171" i="7"/>
  <c r="AA171" i="7"/>
  <c r="Z171" i="7"/>
  <c r="Y171" i="7"/>
  <c r="X171" i="7"/>
  <c r="S171" i="7"/>
  <c r="R171" i="7"/>
  <c r="Q171" i="7"/>
  <c r="P171" i="7"/>
  <c r="O171" i="7"/>
  <c r="N171" i="7"/>
  <c r="I171" i="7"/>
  <c r="H171" i="7"/>
  <c r="G171" i="7"/>
  <c r="F171" i="7"/>
  <c r="E171" i="7"/>
  <c r="D171" i="7"/>
  <c r="AC170" i="7"/>
  <c r="AB170" i="7"/>
  <c r="AA170" i="7"/>
  <c r="Z170" i="7"/>
  <c r="Y170" i="7"/>
  <c r="X170" i="7"/>
  <c r="S170" i="7"/>
  <c r="R170" i="7"/>
  <c r="Q170" i="7"/>
  <c r="P170" i="7"/>
  <c r="O170" i="7"/>
  <c r="N170" i="7"/>
  <c r="I170" i="7"/>
  <c r="H170" i="7"/>
  <c r="G170" i="7"/>
  <c r="F170" i="7"/>
  <c r="E170" i="7"/>
  <c r="D170" i="7"/>
  <c r="AC119" i="7"/>
  <c r="AB119" i="7"/>
  <c r="AA119" i="7"/>
  <c r="Z119" i="7"/>
  <c r="Y119" i="7"/>
  <c r="X119" i="7"/>
  <c r="S119" i="7"/>
  <c r="R119" i="7"/>
  <c r="Q119" i="7"/>
  <c r="P119" i="7"/>
  <c r="O119" i="7"/>
  <c r="N119" i="7"/>
  <c r="I119" i="7"/>
  <c r="H119" i="7"/>
  <c r="G119" i="7"/>
  <c r="F119" i="7"/>
  <c r="E119" i="7"/>
  <c r="D119" i="7"/>
  <c r="AC118" i="7"/>
  <c r="AB118" i="7"/>
  <c r="AA118" i="7"/>
  <c r="Z118" i="7"/>
  <c r="Y118" i="7"/>
  <c r="X118" i="7"/>
  <c r="S118" i="7"/>
  <c r="R118" i="7"/>
  <c r="Q118" i="7"/>
  <c r="P118" i="7"/>
  <c r="O118" i="7"/>
  <c r="N118" i="7"/>
  <c r="I118" i="7"/>
  <c r="H118" i="7"/>
  <c r="G118" i="7"/>
  <c r="F118" i="7"/>
  <c r="E118" i="7"/>
  <c r="D118" i="7"/>
  <c r="AC117" i="7"/>
  <c r="AB117" i="7"/>
  <c r="AA117" i="7"/>
  <c r="Z117" i="7"/>
  <c r="Y117" i="7"/>
  <c r="X117" i="7"/>
  <c r="S117" i="7"/>
  <c r="R117" i="7"/>
  <c r="Q117" i="7"/>
  <c r="P117" i="7"/>
  <c r="O117" i="7"/>
  <c r="N117" i="7"/>
  <c r="I117" i="7"/>
  <c r="H117" i="7"/>
  <c r="G117" i="7"/>
  <c r="F117" i="7"/>
  <c r="E117" i="7"/>
  <c r="D117" i="7"/>
  <c r="AC116" i="7"/>
  <c r="AB116" i="7"/>
  <c r="AA116" i="7"/>
  <c r="Z116" i="7"/>
  <c r="Y116" i="7"/>
  <c r="X116" i="7"/>
  <c r="S116" i="7"/>
  <c r="R116" i="7"/>
  <c r="Q116" i="7"/>
  <c r="P116" i="7"/>
  <c r="O116" i="7"/>
  <c r="N116" i="7"/>
  <c r="I116" i="7"/>
  <c r="H116" i="7"/>
  <c r="G116" i="7"/>
  <c r="F116" i="7"/>
  <c r="E116" i="7"/>
  <c r="D116" i="7"/>
  <c r="AC115" i="7"/>
  <c r="AB115" i="7"/>
  <c r="AA115" i="7"/>
  <c r="Z115" i="7"/>
  <c r="Y115" i="7"/>
  <c r="X115" i="7"/>
  <c r="S115" i="7"/>
  <c r="R115" i="7"/>
  <c r="Q115" i="7"/>
  <c r="P115" i="7"/>
  <c r="O115" i="7"/>
  <c r="N115" i="7"/>
  <c r="I115" i="7"/>
  <c r="H115" i="7"/>
  <c r="G115" i="7"/>
  <c r="F115" i="7"/>
  <c r="E115" i="7"/>
  <c r="D115" i="7"/>
  <c r="AC114" i="7"/>
  <c r="AB114" i="7"/>
  <c r="AA114" i="7"/>
  <c r="Z114" i="7"/>
  <c r="Y114" i="7"/>
  <c r="X114" i="7"/>
  <c r="S114" i="7"/>
  <c r="R114" i="7"/>
  <c r="Q114" i="7"/>
  <c r="P114" i="7"/>
  <c r="O114" i="7"/>
  <c r="N114" i="7"/>
  <c r="I114" i="7"/>
  <c r="H114" i="7"/>
  <c r="G114" i="7"/>
  <c r="F114" i="7"/>
  <c r="E114" i="7"/>
  <c r="D114" i="7"/>
  <c r="AC113" i="7"/>
  <c r="AB113" i="7"/>
  <c r="AA113" i="7"/>
  <c r="Z113" i="7"/>
  <c r="Y113" i="7"/>
  <c r="X113" i="7"/>
  <c r="S113" i="7"/>
  <c r="R113" i="7"/>
  <c r="Q113" i="7"/>
  <c r="P113" i="7"/>
  <c r="O113" i="7"/>
  <c r="N113" i="7"/>
  <c r="I113" i="7"/>
  <c r="H113" i="7"/>
  <c r="G113" i="7"/>
  <c r="F113" i="7"/>
  <c r="E113" i="7"/>
  <c r="D113" i="7"/>
  <c r="AC112" i="7"/>
  <c r="AB112" i="7"/>
  <c r="AA112" i="7"/>
  <c r="Z112" i="7"/>
  <c r="Y112" i="7"/>
  <c r="X112" i="7"/>
  <c r="S112" i="7"/>
  <c r="R112" i="7"/>
  <c r="Q112" i="7"/>
  <c r="P112" i="7"/>
  <c r="O112" i="7"/>
  <c r="I112" i="7"/>
  <c r="H112" i="7"/>
  <c r="G112" i="7"/>
  <c r="F112" i="7"/>
  <c r="E112" i="7"/>
  <c r="D112" i="7"/>
  <c r="AC111" i="7"/>
  <c r="AB111" i="7"/>
  <c r="AA111" i="7"/>
  <c r="Z111" i="7"/>
  <c r="Y111" i="7"/>
  <c r="X111" i="7"/>
  <c r="S111" i="7"/>
  <c r="R111" i="7"/>
  <c r="Q111" i="7"/>
  <c r="P111" i="7"/>
  <c r="O111" i="7"/>
  <c r="I111" i="7"/>
  <c r="H111" i="7"/>
  <c r="G111" i="7"/>
  <c r="F111" i="7"/>
  <c r="E111" i="7"/>
  <c r="D111" i="7"/>
  <c r="AC110" i="7"/>
  <c r="AB110" i="7"/>
  <c r="AA110" i="7"/>
  <c r="Z110" i="7"/>
  <c r="Y110" i="7"/>
  <c r="X110" i="7"/>
  <c r="S110" i="7"/>
  <c r="R110" i="7"/>
  <c r="Q110" i="7"/>
  <c r="P110" i="7"/>
  <c r="O110" i="7"/>
  <c r="I110" i="7"/>
  <c r="H110" i="7"/>
  <c r="G110" i="7"/>
  <c r="F110" i="7"/>
  <c r="E110" i="7"/>
  <c r="D110" i="7"/>
  <c r="AC109" i="7"/>
  <c r="AB109" i="7"/>
  <c r="AA109" i="7"/>
  <c r="Z109" i="7"/>
  <c r="Y109" i="7"/>
  <c r="X109" i="7"/>
  <c r="S109" i="7"/>
  <c r="R109" i="7"/>
  <c r="Q109" i="7"/>
  <c r="P109" i="7"/>
  <c r="O109" i="7"/>
  <c r="I109" i="7"/>
  <c r="H109" i="7"/>
  <c r="G109" i="7"/>
  <c r="F109" i="7"/>
  <c r="E109" i="7"/>
  <c r="D109" i="7"/>
  <c r="AC108" i="7"/>
  <c r="AB108" i="7"/>
  <c r="AA108" i="7"/>
  <c r="Z108" i="7"/>
  <c r="Y108" i="7"/>
  <c r="X108" i="7"/>
  <c r="S108" i="7"/>
  <c r="R108" i="7"/>
  <c r="Q108" i="7"/>
  <c r="P108" i="7"/>
  <c r="O108" i="7"/>
  <c r="I108" i="7"/>
  <c r="H108" i="7"/>
  <c r="G108" i="7"/>
  <c r="F108" i="7"/>
  <c r="E108" i="7"/>
  <c r="D108" i="7"/>
  <c r="AC107" i="7"/>
  <c r="AB107" i="7"/>
  <c r="AA107" i="7"/>
  <c r="Z107" i="7"/>
  <c r="Y107" i="7"/>
  <c r="X107" i="7"/>
  <c r="S107" i="7"/>
  <c r="R107" i="7"/>
  <c r="Q107" i="7"/>
  <c r="P107" i="7"/>
  <c r="O107" i="7"/>
  <c r="I107" i="7"/>
  <c r="H107" i="7"/>
  <c r="G107" i="7"/>
  <c r="F107" i="7"/>
  <c r="E107" i="7"/>
  <c r="D107" i="7"/>
  <c r="AC106" i="7"/>
  <c r="AB106" i="7"/>
  <c r="AA106" i="7"/>
  <c r="Z106" i="7"/>
  <c r="Y106" i="7"/>
  <c r="X106" i="7"/>
  <c r="S106" i="7"/>
  <c r="R106" i="7"/>
  <c r="Q106" i="7"/>
  <c r="P106" i="7"/>
  <c r="O106" i="7"/>
  <c r="I106" i="7"/>
  <c r="H106" i="7"/>
  <c r="G106" i="7"/>
  <c r="F106" i="7"/>
  <c r="E106" i="7"/>
  <c r="D106" i="7"/>
  <c r="AC105" i="7"/>
  <c r="AB105" i="7"/>
  <c r="AA105" i="7"/>
  <c r="Z105" i="7"/>
  <c r="Y105" i="7"/>
  <c r="X105" i="7"/>
  <c r="S105" i="7"/>
  <c r="R105" i="7"/>
  <c r="Q105" i="7"/>
  <c r="P105" i="7"/>
  <c r="O105" i="7"/>
  <c r="I105" i="7"/>
  <c r="H105" i="7"/>
  <c r="G105" i="7"/>
  <c r="F105" i="7"/>
  <c r="E105" i="7"/>
  <c r="D105" i="7"/>
  <c r="AC104" i="7"/>
  <c r="AB104" i="7"/>
  <c r="AA104" i="7"/>
  <c r="Z104" i="7"/>
  <c r="Y104" i="7"/>
  <c r="X104" i="7"/>
  <c r="S104" i="7"/>
  <c r="R104" i="7"/>
  <c r="Q104" i="7"/>
  <c r="P104" i="7"/>
  <c r="O104" i="7"/>
  <c r="I104" i="7"/>
  <c r="H104" i="7"/>
  <c r="G104" i="7"/>
  <c r="F104" i="7"/>
  <c r="E104" i="7"/>
  <c r="D104" i="7"/>
  <c r="AC103" i="7"/>
  <c r="AB103" i="7"/>
  <c r="AA103" i="7"/>
  <c r="Z103" i="7"/>
  <c r="Y103" i="7"/>
  <c r="X103" i="7"/>
  <c r="S103" i="7"/>
  <c r="R103" i="7"/>
  <c r="Q103" i="7"/>
  <c r="P103" i="7"/>
  <c r="O103" i="7"/>
  <c r="I103" i="7"/>
  <c r="H103" i="7"/>
  <c r="G103" i="7"/>
  <c r="F103" i="7"/>
  <c r="E103" i="7"/>
  <c r="D103" i="7"/>
  <c r="AC102" i="7"/>
  <c r="AB102" i="7"/>
  <c r="AA102" i="7"/>
  <c r="Z102" i="7"/>
  <c r="Y102" i="7"/>
  <c r="X102" i="7"/>
  <c r="S102" i="7"/>
  <c r="R102" i="7"/>
  <c r="Q102" i="7"/>
  <c r="P102" i="7"/>
  <c r="O102" i="7"/>
  <c r="I102" i="7"/>
  <c r="H102" i="7"/>
  <c r="G102" i="7"/>
  <c r="F102" i="7"/>
  <c r="E102" i="7"/>
  <c r="D102" i="7"/>
  <c r="AC101" i="7"/>
  <c r="AB101" i="7"/>
  <c r="AA101" i="7"/>
  <c r="Z101" i="7"/>
  <c r="Y101" i="7"/>
  <c r="X101" i="7"/>
  <c r="S101" i="7"/>
  <c r="R101" i="7"/>
  <c r="Q101" i="7"/>
  <c r="P101" i="7"/>
  <c r="O101" i="7"/>
  <c r="I101" i="7"/>
  <c r="H101" i="7"/>
  <c r="G101" i="7"/>
  <c r="F101" i="7"/>
  <c r="E101" i="7"/>
  <c r="D101" i="7"/>
  <c r="AC100" i="7"/>
  <c r="AB100" i="7"/>
  <c r="AA100" i="7"/>
  <c r="Z100" i="7"/>
  <c r="Y100" i="7"/>
  <c r="X100" i="7"/>
  <c r="S100" i="7"/>
  <c r="R100" i="7"/>
  <c r="Q100" i="7"/>
  <c r="P100" i="7"/>
  <c r="O100" i="7"/>
  <c r="I100" i="7"/>
  <c r="H100" i="7"/>
  <c r="G100" i="7"/>
  <c r="F100" i="7"/>
  <c r="E100" i="7"/>
  <c r="D100" i="7"/>
  <c r="AC99" i="7"/>
  <c r="AB99" i="7"/>
  <c r="AA99" i="7"/>
  <c r="Z99" i="7"/>
  <c r="Y99" i="7"/>
  <c r="X99" i="7"/>
  <c r="S99" i="7"/>
  <c r="R99" i="7"/>
  <c r="Q99" i="7"/>
  <c r="P99" i="7"/>
  <c r="O99" i="7"/>
  <c r="I99" i="7"/>
  <c r="H99" i="7"/>
  <c r="G99" i="7"/>
  <c r="F99" i="7"/>
  <c r="E99" i="7"/>
  <c r="D99" i="7"/>
  <c r="AC98" i="7"/>
  <c r="AB98" i="7"/>
  <c r="AA98" i="7"/>
  <c r="Z98" i="7"/>
  <c r="Y98" i="7"/>
  <c r="X98" i="7"/>
  <c r="S98" i="7"/>
  <c r="R98" i="7"/>
  <c r="Q98" i="7"/>
  <c r="P98" i="7"/>
  <c r="O98" i="7"/>
  <c r="I98" i="7"/>
  <c r="H98" i="7"/>
  <c r="G98" i="7"/>
  <c r="F98" i="7"/>
  <c r="E98" i="7"/>
  <c r="D98" i="7"/>
  <c r="AC97" i="7"/>
  <c r="AB97" i="7"/>
  <c r="AA97" i="7"/>
  <c r="Z97" i="7"/>
  <c r="Y97" i="7"/>
  <c r="X97" i="7"/>
  <c r="S97" i="7"/>
  <c r="R97" i="7"/>
  <c r="Q97" i="7"/>
  <c r="P97" i="7"/>
  <c r="O97" i="7"/>
  <c r="I97" i="7"/>
  <c r="H97" i="7"/>
  <c r="G97" i="7"/>
  <c r="F97" i="7"/>
  <c r="E97" i="7"/>
  <c r="D97" i="7"/>
  <c r="AC96" i="7"/>
  <c r="AB96" i="7"/>
  <c r="AA96" i="7"/>
  <c r="Z96" i="7"/>
  <c r="Y96" i="7"/>
  <c r="X96" i="7"/>
  <c r="S96" i="7"/>
  <c r="R96" i="7"/>
  <c r="Q96" i="7"/>
  <c r="P96" i="7"/>
  <c r="O96" i="7"/>
  <c r="I96" i="7"/>
  <c r="H96" i="7"/>
  <c r="G96" i="7"/>
  <c r="F96" i="7"/>
  <c r="E96" i="7"/>
  <c r="D96" i="7"/>
  <c r="AC95" i="7"/>
  <c r="AB95" i="7"/>
  <c r="AA95" i="7"/>
  <c r="Z95" i="7"/>
  <c r="Y95" i="7"/>
  <c r="X95" i="7"/>
  <c r="S95" i="7"/>
  <c r="R95" i="7"/>
  <c r="Q95" i="7"/>
  <c r="P95" i="7"/>
  <c r="O95" i="7"/>
  <c r="I95" i="7"/>
  <c r="H95" i="7"/>
  <c r="G95" i="7"/>
  <c r="F95" i="7"/>
  <c r="E95" i="7"/>
  <c r="D95" i="7"/>
  <c r="AC94" i="7"/>
  <c r="AB94" i="7"/>
  <c r="AA94" i="7"/>
  <c r="Z94" i="7"/>
  <c r="Y94" i="7"/>
  <c r="X94" i="7"/>
  <c r="S94" i="7"/>
  <c r="R94" i="7"/>
  <c r="Q94" i="7"/>
  <c r="P94" i="7"/>
  <c r="O94" i="7"/>
  <c r="I94" i="7"/>
  <c r="H94" i="7"/>
  <c r="G94" i="7"/>
  <c r="F94" i="7"/>
  <c r="E94" i="7"/>
  <c r="D94" i="7"/>
  <c r="AC93" i="7"/>
  <c r="AB93" i="7"/>
  <c r="AA93" i="7"/>
  <c r="Z93" i="7"/>
  <c r="Y93" i="7"/>
  <c r="X93" i="7"/>
  <c r="S93" i="7"/>
  <c r="R93" i="7"/>
  <c r="Q93" i="7"/>
  <c r="P93" i="7"/>
  <c r="O93" i="7"/>
  <c r="I93" i="7"/>
  <c r="H93" i="7"/>
  <c r="G93" i="7"/>
  <c r="F93" i="7"/>
  <c r="E93" i="7"/>
  <c r="D93" i="7"/>
  <c r="AC92" i="7"/>
  <c r="AB92" i="7"/>
  <c r="AA92" i="7"/>
  <c r="Z92" i="7"/>
  <c r="Y92" i="7"/>
  <c r="X92" i="7"/>
  <c r="S92" i="7"/>
  <c r="R92" i="7"/>
  <c r="Q92" i="7"/>
  <c r="P92" i="7"/>
  <c r="O92" i="7"/>
  <c r="I92" i="7"/>
  <c r="H92" i="7"/>
  <c r="G92" i="7"/>
  <c r="F92" i="7"/>
  <c r="E92" i="7"/>
  <c r="D92" i="7"/>
  <c r="AC91" i="7"/>
  <c r="AB91" i="7"/>
  <c r="AA91" i="7"/>
  <c r="Z91" i="7"/>
  <c r="Y91" i="7"/>
  <c r="X91" i="7"/>
  <c r="S91" i="7"/>
  <c r="R91" i="7"/>
  <c r="Q91" i="7"/>
  <c r="P91" i="7"/>
  <c r="O91" i="7"/>
  <c r="I91" i="7"/>
  <c r="H91" i="7"/>
  <c r="G91" i="7"/>
  <c r="F91" i="7"/>
  <c r="E91" i="7"/>
  <c r="D91" i="7"/>
  <c r="AC90" i="7"/>
  <c r="AB90" i="7"/>
  <c r="AA90" i="7"/>
  <c r="Z90" i="7"/>
  <c r="Y90" i="7"/>
  <c r="X90" i="7"/>
  <c r="S90" i="7"/>
  <c r="R90" i="7"/>
  <c r="Q90" i="7"/>
  <c r="P90" i="7"/>
  <c r="O90" i="7"/>
  <c r="I90" i="7"/>
  <c r="H90" i="7"/>
  <c r="G90" i="7"/>
  <c r="F90" i="7"/>
  <c r="E90" i="7"/>
  <c r="D90" i="7"/>
  <c r="AC89" i="7"/>
  <c r="AB89" i="7"/>
  <c r="AA89" i="7"/>
  <c r="Z89" i="7"/>
  <c r="Y89" i="7"/>
  <c r="X89" i="7"/>
  <c r="S89" i="7"/>
  <c r="R89" i="7"/>
  <c r="Q89" i="7"/>
  <c r="P89" i="7"/>
  <c r="O89" i="7"/>
  <c r="I89" i="7"/>
  <c r="H89" i="7"/>
  <c r="G89" i="7"/>
  <c r="F89" i="7"/>
  <c r="E89" i="7"/>
  <c r="D89" i="7"/>
  <c r="AC88" i="7"/>
  <c r="AB88" i="7"/>
  <c r="AA88" i="7"/>
  <c r="Z88" i="7"/>
  <c r="Y88" i="7"/>
  <c r="X88" i="7"/>
  <c r="S88" i="7"/>
  <c r="R88" i="7"/>
  <c r="Q88" i="7"/>
  <c r="P88" i="7"/>
  <c r="O88" i="7"/>
  <c r="I88" i="7"/>
  <c r="H88" i="7"/>
  <c r="G88" i="7"/>
  <c r="F88" i="7"/>
  <c r="E88" i="7"/>
  <c r="D88" i="7"/>
  <c r="AC87" i="7"/>
  <c r="AB87" i="7"/>
  <c r="AA87" i="7"/>
  <c r="Z87" i="7"/>
  <c r="Y87" i="7"/>
  <c r="X87" i="7"/>
  <c r="S87" i="7"/>
  <c r="R87" i="7"/>
  <c r="Q87" i="7"/>
  <c r="P87" i="7"/>
  <c r="O87" i="7"/>
  <c r="I87" i="7"/>
  <c r="H87" i="7"/>
  <c r="G87" i="7"/>
  <c r="F87" i="7"/>
  <c r="E87" i="7"/>
  <c r="D87" i="7"/>
  <c r="AC86" i="7"/>
  <c r="AB86" i="7"/>
  <c r="AA86" i="7"/>
  <c r="Z86" i="7"/>
  <c r="Y86" i="7"/>
  <c r="X86" i="7"/>
  <c r="S86" i="7"/>
  <c r="R86" i="7"/>
  <c r="Q86" i="7"/>
  <c r="P86" i="7"/>
  <c r="O86" i="7"/>
  <c r="I86" i="7"/>
  <c r="H86" i="7"/>
  <c r="G86" i="7"/>
  <c r="F86" i="7"/>
  <c r="E86" i="7"/>
  <c r="D86" i="7"/>
  <c r="AC85" i="7"/>
  <c r="AB85" i="7"/>
  <c r="AA85" i="7"/>
  <c r="Z85" i="7"/>
  <c r="Y85" i="7"/>
  <c r="X85" i="7"/>
  <c r="S85" i="7"/>
  <c r="R85" i="7"/>
  <c r="Q85" i="7"/>
  <c r="P85" i="7"/>
  <c r="O85" i="7"/>
  <c r="I85" i="7"/>
  <c r="H85" i="7"/>
  <c r="G85" i="7"/>
  <c r="F85" i="7"/>
  <c r="E85" i="7"/>
  <c r="D85" i="7"/>
  <c r="AC84" i="7"/>
  <c r="AB84" i="7"/>
  <c r="AA84" i="7"/>
  <c r="Z84" i="7"/>
  <c r="Y84" i="7"/>
  <c r="X84" i="7"/>
  <c r="S84" i="7"/>
  <c r="R84" i="7"/>
  <c r="Q84" i="7"/>
  <c r="P84" i="7"/>
  <c r="O84" i="7"/>
  <c r="I84" i="7"/>
  <c r="H84" i="7"/>
  <c r="G84" i="7"/>
  <c r="F84" i="7"/>
  <c r="E84" i="7"/>
  <c r="D84" i="7"/>
  <c r="AC83" i="7"/>
  <c r="AB83" i="7"/>
  <c r="AA83" i="7"/>
  <c r="Z83" i="7"/>
  <c r="Y83" i="7"/>
  <c r="X83" i="7"/>
  <c r="S83" i="7"/>
  <c r="R83" i="7"/>
  <c r="Q83" i="7"/>
  <c r="P83" i="7"/>
  <c r="O83" i="7"/>
  <c r="I83" i="7"/>
  <c r="H83" i="7"/>
  <c r="G83" i="7"/>
  <c r="F83" i="7"/>
  <c r="E83" i="7"/>
  <c r="D83" i="7"/>
  <c r="AC82" i="7"/>
  <c r="AB82" i="7"/>
  <c r="AA82" i="7"/>
  <c r="Z82" i="7"/>
  <c r="Y82" i="7"/>
  <c r="X82" i="7"/>
  <c r="S82" i="7"/>
  <c r="R82" i="7"/>
  <c r="Q82" i="7"/>
  <c r="P82" i="7"/>
  <c r="O82" i="7"/>
  <c r="I82" i="7"/>
  <c r="H82" i="7"/>
  <c r="G82" i="7"/>
  <c r="F82" i="7"/>
  <c r="E82" i="7"/>
  <c r="D82" i="7"/>
  <c r="AC81" i="7"/>
  <c r="AB81" i="7"/>
  <c r="AA81" i="7"/>
  <c r="Z81" i="7"/>
  <c r="Y81" i="7"/>
  <c r="X81" i="7"/>
  <c r="S81" i="7"/>
  <c r="R81" i="7"/>
  <c r="Q81" i="7"/>
  <c r="P81" i="7"/>
  <c r="O81" i="7"/>
  <c r="I81" i="7"/>
  <c r="H81" i="7"/>
  <c r="G81" i="7"/>
  <c r="F81" i="7"/>
  <c r="E81" i="7"/>
  <c r="D81" i="7"/>
  <c r="AC80" i="7"/>
  <c r="AB80" i="7"/>
  <c r="AA80" i="7"/>
  <c r="Z80" i="7"/>
  <c r="Y80" i="7"/>
  <c r="X80" i="7"/>
  <c r="S80" i="7"/>
  <c r="R80" i="7"/>
  <c r="Q80" i="7"/>
  <c r="P80" i="7"/>
  <c r="O80" i="7"/>
  <c r="I80" i="7"/>
  <c r="H80" i="7"/>
  <c r="G80" i="7"/>
  <c r="F80" i="7"/>
  <c r="E80" i="7"/>
  <c r="D80" i="7"/>
  <c r="AC79" i="7"/>
  <c r="AB79" i="7"/>
  <c r="AA79" i="7"/>
  <c r="Z79" i="7"/>
  <c r="Y79" i="7"/>
  <c r="X79" i="7"/>
  <c r="S79" i="7"/>
  <c r="R79" i="7"/>
  <c r="Q79" i="7"/>
  <c r="P79" i="7"/>
  <c r="O79" i="7"/>
  <c r="I79" i="7"/>
  <c r="H79" i="7"/>
  <c r="G79" i="7"/>
  <c r="F79" i="7"/>
  <c r="E79" i="7"/>
  <c r="D79" i="7"/>
  <c r="AC78" i="7"/>
  <c r="AB78" i="7"/>
  <c r="AA78" i="7"/>
  <c r="Z78" i="7"/>
  <c r="Y78" i="7"/>
  <c r="X78" i="7"/>
  <c r="S78" i="7"/>
  <c r="R78" i="7"/>
  <c r="Q78" i="7"/>
  <c r="P78" i="7"/>
  <c r="O78" i="7"/>
  <c r="I78" i="7"/>
  <c r="H78" i="7"/>
  <c r="G78" i="7"/>
  <c r="F78" i="7"/>
  <c r="E78" i="7"/>
  <c r="D78" i="7"/>
  <c r="AC77" i="7"/>
  <c r="AB77" i="7"/>
  <c r="AA77" i="7"/>
  <c r="Z77" i="7"/>
  <c r="Y77" i="7"/>
  <c r="X77" i="7"/>
  <c r="S77" i="7"/>
  <c r="R77" i="7"/>
  <c r="Q77" i="7"/>
  <c r="P77" i="7"/>
  <c r="O77" i="7"/>
  <c r="I77" i="7"/>
  <c r="H77" i="7"/>
  <c r="G77" i="7"/>
  <c r="F77" i="7"/>
  <c r="E77" i="7"/>
  <c r="D77" i="7"/>
  <c r="AC76" i="7"/>
  <c r="AB76" i="7"/>
  <c r="AA76" i="7"/>
  <c r="Z76" i="7"/>
  <c r="Y76" i="7"/>
  <c r="X76" i="7"/>
  <c r="S76" i="7"/>
  <c r="R76" i="7"/>
  <c r="Q76" i="7"/>
  <c r="P76" i="7"/>
  <c r="O76" i="7"/>
  <c r="I76" i="7"/>
  <c r="H76" i="7"/>
  <c r="G76" i="7"/>
  <c r="F76" i="7"/>
  <c r="E76" i="7"/>
  <c r="D76" i="7"/>
  <c r="AC75" i="7"/>
  <c r="AB75" i="7"/>
  <c r="AA75" i="7"/>
  <c r="Z75" i="7"/>
  <c r="Y75" i="7"/>
  <c r="X75" i="7"/>
  <c r="S75" i="7"/>
  <c r="R75" i="7"/>
  <c r="Q75" i="7"/>
  <c r="P75" i="7"/>
  <c r="O75" i="7"/>
  <c r="I75" i="7"/>
  <c r="H75" i="7"/>
  <c r="G75" i="7"/>
  <c r="F75" i="7"/>
  <c r="E75" i="7"/>
  <c r="D75" i="7"/>
  <c r="AC74" i="7"/>
  <c r="AB74" i="7"/>
  <c r="AA74" i="7"/>
  <c r="Z74" i="7"/>
  <c r="Y74" i="7"/>
  <c r="X74" i="7"/>
  <c r="S74" i="7"/>
  <c r="R74" i="7"/>
  <c r="Q74" i="7"/>
  <c r="P74" i="7"/>
  <c r="O74" i="7"/>
  <c r="I74" i="7"/>
  <c r="H74" i="7"/>
  <c r="G74" i="7"/>
  <c r="F74" i="7"/>
  <c r="E74" i="7"/>
  <c r="D74" i="7"/>
  <c r="AC73" i="7"/>
  <c r="AB73" i="7"/>
  <c r="AA73" i="7"/>
  <c r="Z73" i="7"/>
  <c r="Y73" i="7"/>
  <c r="X73" i="7"/>
  <c r="S73" i="7"/>
  <c r="R73" i="7"/>
  <c r="Q73" i="7"/>
  <c r="P73" i="7"/>
  <c r="O73" i="7"/>
  <c r="I73" i="7"/>
  <c r="H73" i="7"/>
  <c r="G73" i="7"/>
  <c r="F73" i="7"/>
  <c r="E73" i="7"/>
  <c r="D73" i="7"/>
  <c r="AC72" i="7"/>
  <c r="AB72" i="7"/>
  <c r="AA72" i="7"/>
  <c r="Z72" i="7"/>
  <c r="Y72" i="7"/>
  <c r="X72" i="7"/>
  <c r="S72" i="7"/>
  <c r="R72" i="7"/>
  <c r="Q72" i="7"/>
  <c r="P72" i="7"/>
  <c r="O72" i="7"/>
  <c r="I72" i="7"/>
  <c r="H72" i="7"/>
  <c r="G72" i="7"/>
  <c r="F72" i="7"/>
  <c r="E72" i="7"/>
  <c r="D72" i="7"/>
  <c r="AC71" i="7"/>
  <c r="AB71" i="7"/>
  <c r="AA71" i="7"/>
  <c r="Z71" i="7"/>
  <c r="Y71" i="7"/>
  <c r="X71" i="7"/>
  <c r="S71" i="7"/>
  <c r="R71" i="7"/>
  <c r="Q71" i="7"/>
  <c r="P71" i="7"/>
  <c r="O71" i="7"/>
  <c r="I71" i="7"/>
  <c r="H71" i="7"/>
  <c r="G71" i="7"/>
  <c r="F71" i="7"/>
  <c r="E71" i="7"/>
  <c r="D71" i="7"/>
  <c r="AC70" i="7"/>
  <c r="AB70" i="7"/>
  <c r="AA70" i="7"/>
  <c r="Z70" i="7"/>
  <c r="Y70" i="7"/>
  <c r="X70" i="7"/>
  <c r="S70" i="7"/>
  <c r="R70" i="7"/>
  <c r="Q70" i="7"/>
  <c r="P70" i="7"/>
  <c r="O70" i="7"/>
  <c r="I70" i="7"/>
  <c r="H70" i="7"/>
  <c r="G70" i="7"/>
  <c r="F70" i="7"/>
  <c r="E70" i="7"/>
  <c r="D70" i="7"/>
  <c r="AC69" i="7"/>
  <c r="AB69" i="7"/>
  <c r="AA69" i="7"/>
  <c r="Z69" i="7"/>
  <c r="Y69" i="7"/>
  <c r="X69" i="7"/>
  <c r="S69" i="7"/>
  <c r="R69" i="7"/>
  <c r="Q69" i="7"/>
  <c r="P69" i="7"/>
  <c r="O69" i="7"/>
  <c r="I69" i="7"/>
  <c r="H69" i="7"/>
  <c r="G69" i="7"/>
  <c r="F69" i="7"/>
  <c r="E69" i="7"/>
  <c r="D69" i="7"/>
  <c r="AC68" i="7"/>
  <c r="AB68" i="7"/>
  <c r="AA68" i="7"/>
  <c r="Z68" i="7"/>
  <c r="Y68" i="7"/>
  <c r="X68" i="7"/>
  <c r="S68" i="7"/>
  <c r="R68" i="7"/>
  <c r="Q68" i="7"/>
  <c r="P68" i="7"/>
  <c r="O68" i="7"/>
  <c r="I68" i="7"/>
  <c r="H68" i="7"/>
  <c r="G68" i="7"/>
  <c r="F68" i="7"/>
  <c r="E68" i="7"/>
  <c r="D68" i="7"/>
  <c r="AC67" i="7"/>
  <c r="AB67" i="7"/>
  <c r="AA67" i="7"/>
  <c r="Z67" i="7"/>
  <c r="Y67" i="7"/>
  <c r="X67" i="7"/>
  <c r="S67" i="7"/>
  <c r="R67" i="7"/>
  <c r="Q67" i="7"/>
  <c r="P67" i="7"/>
  <c r="O67" i="7"/>
  <c r="I67" i="7"/>
  <c r="H67" i="7"/>
  <c r="G67" i="7"/>
  <c r="F67" i="7"/>
  <c r="E67" i="7"/>
  <c r="D67" i="7"/>
  <c r="AC66" i="7"/>
  <c r="AB66" i="7"/>
  <c r="AA66" i="7"/>
  <c r="Z66" i="7"/>
  <c r="Y66" i="7"/>
  <c r="X66" i="7"/>
  <c r="S66" i="7"/>
  <c r="R66" i="7"/>
  <c r="Q66" i="7"/>
  <c r="P66" i="7"/>
  <c r="O66" i="7"/>
  <c r="N66" i="7"/>
  <c r="I66" i="7"/>
  <c r="H66" i="7"/>
  <c r="G66" i="7"/>
  <c r="F66" i="7"/>
  <c r="E66" i="7"/>
  <c r="D66" i="7"/>
  <c r="X66" i="3"/>
  <c r="Y66" i="3"/>
  <c r="Z66" i="3"/>
  <c r="AA66" i="3"/>
  <c r="AB66" i="3"/>
  <c r="AC66" i="3"/>
  <c r="X67" i="3"/>
  <c r="Y67" i="3"/>
  <c r="Z67" i="3"/>
  <c r="AA67" i="3"/>
  <c r="AB67" i="3"/>
  <c r="AC67" i="3"/>
  <c r="X68" i="3"/>
  <c r="Y68" i="3"/>
  <c r="Z68" i="3"/>
  <c r="AA68" i="3"/>
  <c r="AB68" i="3"/>
  <c r="AC68" i="3"/>
  <c r="X69" i="3"/>
  <c r="Y69" i="3"/>
  <c r="Z69" i="3"/>
  <c r="AA69" i="3"/>
  <c r="AB69" i="3"/>
  <c r="AC69" i="3"/>
  <c r="X70" i="3"/>
  <c r="Y70" i="3"/>
  <c r="Z70" i="3"/>
  <c r="AA70" i="3"/>
  <c r="AB70" i="3"/>
  <c r="AC70" i="3"/>
  <c r="X71" i="3"/>
  <c r="Y71" i="3"/>
  <c r="Z71" i="3"/>
  <c r="AA71" i="3"/>
  <c r="AB71" i="3"/>
  <c r="AC71" i="3"/>
  <c r="X72" i="3"/>
  <c r="Y72" i="3"/>
  <c r="Z72" i="3"/>
  <c r="AA72" i="3"/>
  <c r="AB72" i="3"/>
  <c r="AC72" i="3"/>
  <c r="X73" i="3"/>
  <c r="Y73" i="3"/>
  <c r="Z73" i="3"/>
  <c r="AA73" i="3"/>
  <c r="AB73" i="3"/>
  <c r="AC73" i="3"/>
  <c r="X74" i="3"/>
  <c r="Y74" i="3"/>
  <c r="Z74" i="3"/>
  <c r="AA74" i="3"/>
  <c r="AB74" i="3"/>
  <c r="AC74" i="3"/>
  <c r="X75" i="3"/>
  <c r="Y75" i="3"/>
  <c r="Z75" i="3"/>
  <c r="AA75" i="3"/>
  <c r="AB75" i="3"/>
  <c r="AC75" i="3"/>
  <c r="X76" i="3"/>
  <c r="Y76" i="3"/>
  <c r="Z76" i="3"/>
  <c r="AA76" i="3"/>
  <c r="AB76" i="3"/>
  <c r="AC76" i="3"/>
  <c r="X77" i="3"/>
  <c r="Y77" i="3"/>
  <c r="Z77" i="3"/>
  <c r="AA77" i="3"/>
  <c r="AB77" i="3"/>
  <c r="AC77" i="3"/>
  <c r="X78" i="3"/>
  <c r="Y78" i="3"/>
  <c r="Z78" i="3"/>
  <c r="AA78" i="3"/>
  <c r="AB78" i="3"/>
  <c r="AC78" i="3"/>
  <c r="X79" i="3"/>
  <c r="Y79" i="3"/>
  <c r="Z79" i="3"/>
  <c r="AA79" i="3"/>
  <c r="AB79" i="3"/>
  <c r="AC79" i="3"/>
  <c r="X80" i="3"/>
  <c r="Y80" i="3"/>
  <c r="Z80" i="3"/>
  <c r="AA80" i="3"/>
  <c r="AB80" i="3"/>
  <c r="AC80" i="3"/>
  <c r="X81" i="3"/>
  <c r="Y81" i="3"/>
  <c r="Z81" i="3"/>
  <c r="AA81" i="3"/>
  <c r="AB81" i="3"/>
  <c r="AC81" i="3"/>
  <c r="X82" i="3"/>
  <c r="Y82" i="3"/>
  <c r="Z82" i="3"/>
  <c r="AA82" i="3"/>
  <c r="AB82" i="3"/>
  <c r="AC82" i="3"/>
  <c r="X83" i="3"/>
  <c r="Y83" i="3"/>
  <c r="Z83" i="3"/>
  <c r="AA83" i="3"/>
  <c r="AB83" i="3"/>
  <c r="AC83" i="3"/>
  <c r="X84" i="3"/>
  <c r="Y84" i="3"/>
  <c r="Z84" i="3"/>
  <c r="AA84" i="3"/>
  <c r="AB84" i="3"/>
  <c r="AC84" i="3"/>
  <c r="X85" i="3"/>
  <c r="Y85" i="3"/>
  <c r="Z85" i="3"/>
  <c r="AA85" i="3"/>
  <c r="AB85" i="3"/>
  <c r="AC85" i="3"/>
  <c r="X86" i="3"/>
  <c r="Y86" i="3"/>
  <c r="Z86" i="3"/>
  <c r="AA86" i="3"/>
  <c r="AB86" i="3"/>
  <c r="AC86" i="3"/>
  <c r="X93" i="3"/>
  <c r="Y93" i="3"/>
  <c r="Z93" i="3"/>
  <c r="AA93" i="3"/>
  <c r="AB93" i="3"/>
  <c r="AC93" i="3"/>
  <c r="X94" i="3"/>
  <c r="Y94" i="3"/>
  <c r="Z94" i="3"/>
  <c r="AA94" i="3"/>
  <c r="AB94" i="3"/>
  <c r="AC94" i="3"/>
  <c r="X95" i="3"/>
  <c r="Y95" i="3"/>
  <c r="Z95" i="3"/>
  <c r="AA95" i="3"/>
  <c r="AB95" i="3"/>
  <c r="AC95" i="3"/>
  <c r="X96" i="3"/>
  <c r="Y96" i="3"/>
  <c r="Z96" i="3"/>
  <c r="AA96" i="3"/>
  <c r="AB96" i="3"/>
  <c r="AC96" i="3"/>
  <c r="X97" i="3"/>
  <c r="Y97" i="3"/>
  <c r="Z97" i="3"/>
  <c r="AA97" i="3"/>
  <c r="AB97" i="3"/>
  <c r="AC97" i="3"/>
  <c r="X98" i="3"/>
  <c r="Y98" i="3"/>
  <c r="Z98" i="3"/>
  <c r="AA98" i="3"/>
  <c r="AB98" i="3"/>
  <c r="AC98" i="3"/>
  <c r="X99" i="3"/>
  <c r="Y99" i="3"/>
  <c r="Z99" i="3"/>
  <c r="AA99" i="3"/>
  <c r="AB99" i="3"/>
  <c r="AC99" i="3"/>
  <c r="X100" i="3"/>
  <c r="Y100" i="3"/>
  <c r="Z100" i="3"/>
  <c r="AA100" i="3"/>
  <c r="AB100" i="3"/>
  <c r="AC100" i="3"/>
  <c r="X101" i="3"/>
  <c r="Y101" i="3"/>
  <c r="Z101" i="3"/>
  <c r="AA101" i="3"/>
  <c r="AB101" i="3"/>
  <c r="AC101" i="3"/>
  <c r="X102" i="3"/>
  <c r="Y102" i="3"/>
  <c r="Z102" i="3"/>
  <c r="AA102" i="3"/>
  <c r="AB102" i="3"/>
  <c r="AC102" i="3"/>
  <c r="X103" i="3"/>
  <c r="Y103" i="3"/>
  <c r="Z103" i="3"/>
  <c r="AA103" i="3"/>
  <c r="AB103" i="3"/>
  <c r="AC103" i="3"/>
  <c r="X104" i="3"/>
  <c r="Y104" i="3"/>
  <c r="Z104" i="3"/>
  <c r="AA104" i="3"/>
  <c r="AB104" i="3"/>
  <c r="AC104" i="3"/>
  <c r="X105" i="3"/>
  <c r="Y105" i="3"/>
  <c r="Z105" i="3"/>
  <c r="AA105" i="3"/>
  <c r="AB105" i="3"/>
  <c r="AC105" i="3"/>
  <c r="X106" i="3"/>
  <c r="Y106" i="3"/>
  <c r="Z106" i="3"/>
  <c r="AA106" i="3"/>
  <c r="AB106" i="3"/>
  <c r="AC106" i="3"/>
  <c r="X107" i="3"/>
  <c r="Y107" i="3"/>
  <c r="Z107" i="3"/>
  <c r="AA107" i="3"/>
  <c r="AB107" i="3"/>
  <c r="AC107" i="3"/>
  <c r="X108" i="3"/>
  <c r="Y108" i="3"/>
  <c r="Z108" i="3"/>
  <c r="AA108" i="3"/>
  <c r="AB108" i="3"/>
  <c r="AC108" i="3"/>
  <c r="X109" i="3"/>
  <c r="Y109" i="3"/>
  <c r="Z109" i="3"/>
  <c r="AA109" i="3"/>
  <c r="AB109" i="3"/>
  <c r="AC109" i="3"/>
  <c r="X110" i="3"/>
  <c r="Y110" i="3"/>
  <c r="Z110" i="3"/>
  <c r="AA110" i="3"/>
  <c r="AB110" i="3"/>
  <c r="AC110" i="3"/>
  <c r="X111" i="3"/>
  <c r="Y111" i="3"/>
  <c r="Z111" i="3"/>
  <c r="AA111" i="3"/>
  <c r="AB111" i="3"/>
  <c r="AC111" i="3"/>
  <c r="X112" i="3"/>
  <c r="Y112" i="3"/>
  <c r="Z112" i="3"/>
  <c r="AA112" i="3"/>
  <c r="AB112" i="3"/>
  <c r="AC112" i="3"/>
  <c r="X113" i="3"/>
  <c r="Y113" i="3"/>
  <c r="Z113" i="3"/>
  <c r="AA113" i="3"/>
  <c r="AB113" i="3"/>
  <c r="AC113" i="3"/>
  <c r="X114" i="3"/>
  <c r="Y114" i="3"/>
  <c r="Z114" i="3"/>
  <c r="AA114" i="3"/>
  <c r="AB114" i="3"/>
  <c r="AC114" i="3"/>
  <c r="X115" i="3"/>
  <c r="Y115" i="3"/>
  <c r="Z115" i="3"/>
  <c r="AA115" i="3"/>
  <c r="AB115" i="3"/>
  <c r="AC115" i="3"/>
  <c r="X116" i="3"/>
  <c r="Y116" i="3"/>
  <c r="Z116" i="3"/>
  <c r="AA116" i="3"/>
  <c r="AB116" i="3"/>
  <c r="AC116" i="3"/>
  <c r="X117" i="3"/>
  <c r="Y117" i="3"/>
  <c r="Z117" i="3"/>
  <c r="AA117" i="3"/>
  <c r="AB117" i="3"/>
  <c r="AC117" i="3"/>
  <c r="X118" i="3"/>
  <c r="Y118" i="3"/>
  <c r="Z118" i="3"/>
  <c r="AA118" i="3"/>
  <c r="AB118" i="3"/>
  <c r="AC118" i="3"/>
  <c r="X119" i="3"/>
  <c r="Y119" i="3"/>
  <c r="Z119" i="3"/>
  <c r="AA119" i="3"/>
  <c r="AB119" i="3"/>
  <c r="AC119" i="3"/>
  <c r="X150" i="3"/>
  <c r="Y150" i="3"/>
  <c r="Z150" i="3"/>
  <c r="AA150" i="3"/>
  <c r="AB150" i="3"/>
  <c r="AC150" i="3"/>
  <c r="X151" i="3"/>
  <c r="Y151" i="3"/>
  <c r="Z151" i="3"/>
  <c r="AA151" i="3"/>
  <c r="AB151" i="3"/>
  <c r="AC151" i="3"/>
  <c r="X152" i="3"/>
  <c r="Y152" i="3"/>
  <c r="Z152" i="3"/>
  <c r="AA152" i="3"/>
  <c r="AB152" i="3"/>
  <c r="AC152" i="3"/>
  <c r="X153" i="3"/>
  <c r="Y153" i="3"/>
  <c r="Z153" i="3"/>
  <c r="AA153" i="3"/>
  <c r="AB153" i="3"/>
  <c r="AC153" i="3"/>
  <c r="X154" i="3"/>
  <c r="Y154" i="3"/>
  <c r="Z154" i="3"/>
  <c r="AA154" i="3"/>
  <c r="AB154" i="3"/>
  <c r="AC154" i="3"/>
  <c r="X155" i="3"/>
  <c r="Y155" i="3"/>
  <c r="Z155" i="3"/>
  <c r="AA155" i="3"/>
  <c r="AB155" i="3"/>
  <c r="AC155" i="3"/>
  <c r="X156" i="3"/>
  <c r="Y156" i="3"/>
  <c r="Z156" i="3"/>
  <c r="AA156" i="3"/>
  <c r="AB156" i="3"/>
  <c r="AC156" i="3"/>
  <c r="X157" i="3"/>
  <c r="Y157" i="3"/>
  <c r="Z157" i="3"/>
  <c r="AA157" i="3"/>
  <c r="AB157" i="3"/>
  <c r="AC157" i="3"/>
  <c r="X158" i="3"/>
  <c r="Y158" i="3"/>
  <c r="Z158" i="3"/>
  <c r="AA158" i="3"/>
  <c r="AB158" i="3"/>
  <c r="AC158" i="3"/>
  <c r="X159" i="3"/>
  <c r="Y159" i="3"/>
  <c r="Z159" i="3"/>
  <c r="AA159" i="3"/>
  <c r="AB159" i="3"/>
  <c r="AC159" i="3"/>
  <c r="X160" i="3"/>
  <c r="Y160" i="3"/>
  <c r="Z160" i="3"/>
  <c r="AA160" i="3"/>
  <c r="AB160" i="3"/>
  <c r="AC160" i="3"/>
  <c r="X161" i="3"/>
  <c r="Y161" i="3"/>
  <c r="Z161" i="3"/>
  <c r="AA161" i="3"/>
  <c r="AB161" i="3"/>
  <c r="AC161" i="3"/>
  <c r="X162" i="3"/>
  <c r="Y162" i="3"/>
  <c r="Z162" i="3"/>
  <c r="AA162" i="3"/>
  <c r="AB162" i="3"/>
  <c r="AC162" i="3"/>
  <c r="X163" i="3"/>
  <c r="Y163" i="3"/>
  <c r="Z163" i="3"/>
  <c r="AA163" i="3"/>
  <c r="AB163" i="3"/>
  <c r="AC163" i="3"/>
  <c r="X164" i="3"/>
  <c r="Y164" i="3"/>
  <c r="Z164" i="3"/>
  <c r="AA164" i="3"/>
  <c r="AB164" i="3"/>
  <c r="AC164" i="3"/>
  <c r="X165" i="3"/>
  <c r="Y165" i="3"/>
  <c r="Z165" i="3"/>
  <c r="AA165" i="3"/>
  <c r="AB165" i="3"/>
  <c r="AC165" i="3"/>
  <c r="X166" i="3"/>
  <c r="Y166" i="3"/>
  <c r="Z166" i="3"/>
  <c r="AA166" i="3"/>
  <c r="AB166" i="3"/>
  <c r="AC166" i="3"/>
  <c r="X167" i="3"/>
  <c r="Y167" i="3"/>
  <c r="Z167" i="3"/>
  <c r="AA167" i="3"/>
  <c r="AB167" i="3"/>
  <c r="AC167" i="3"/>
  <c r="X168" i="3"/>
  <c r="Y168" i="3"/>
  <c r="Z168" i="3"/>
  <c r="AA168" i="3"/>
  <c r="AB168" i="3"/>
  <c r="AC168" i="3"/>
  <c r="X169" i="3"/>
  <c r="Y169" i="3"/>
  <c r="Z169" i="3"/>
  <c r="AA169" i="3"/>
  <c r="AB169" i="3"/>
  <c r="AC169" i="3"/>
  <c r="X170" i="3"/>
  <c r="Y170" i="3"/>
  <c r="Z170" i="3"/>
  <c r="AA170" i="3"/>
  <c r="AB170" i="3"/>
  <c r="AC170" i="3"/>
  <c r="X171" i="3"/>
  <c r="Y171" i="3"/>
  <c r="Z171" i="3"/>
  <c r="AA171" i="3"/>
  <c r="AB171" i="3"/>
  <c r="AC171" i="3"/>
  <c r="X172" i="3"/>
  <c r="Y172" i="3"/>
  <c r="Z172" i="3"/>
  <c r="AA172" i="3"/>
  <c r="AB172" i="3"/>
  <c r="AC172" i="3"/>
  <c r="X173" i="3"/>
  <c r="Y173" i="3"/>
  <c r="Z173" i="3"/>
  <c r="AA173" i="3"/>
  <c r="AB173" i="3"/>
  <c r="AC173" i="3"/>
  <c r="X174" i="3"/>
  <c r="Y174" i="3"/>
  <c r="Z174" i="3"/>
  <c r="AA174" i="3"/>
  <c r="AB174" i="3"/>
  <c r="AC174" i="3"/>
  <c r="X175" i="3"/>
  <c r="Y175" i="3"/>
  <c r="Z175" i="3"/>
  <c r="AA175" i="3"/>
  <c r="AB175" i="3"/>
  <c r="AC175" i="3"/>
  <c r="X176" i="3"/>
  <c r="Y176" i="3"/>
  <c r="Z176" i="3"/>
  <c r="AA176" i="3"/>
  <c r="AB176" i="3"/>
  <c r="AC176" i="3"/>
  <c r="X234" i="3"/>
  <c r="Y234" i="3"/>
  <c r="Z234" i="3"/>
  <c r="AA234" i="3"/>
  <c r="AB234" i="3"/>
  <c r="AC234" i="3"/>
  <c r="N66" i="3"/>
  <c r="O66" i="3"/>
  <c r="P66" i="3"/>
  <c r="Q66" i="3"/>
  <c r="R66" i="3"/>
  <c r="S66" i="3"/>
  <c r="N67" i="3"/>
  <c r="O67" i="3"/>
  <c r="P67" i="3"/>
  <c r="Q67" i="3"/>
  <c r="R67" i="3"/>
  <c r="S67" i="3"/>
  <c r="N68" i="3"/>
  <c r="O68" i="3"/>
  <c r="P68" i="3"/>
  <c r="Q68" i="3"/>
  <c r="R68" i="3"/>
  <c r="S68" i="3"/>
  <c r="N69" i="3"/>
  <c r="O69" i="3"/>
  <c r="P69" i="3"/>
  <c r="Q69" i="3"/>
  <c r="R69" i="3"/>
  <c r="S69" i="3"/>
  <c r="N70" i="3"/>
  <c r="O70" i="3"/>
  <c r="P70" i="3"/>
  <c r="Q70" i="3"/>
  <c r="R70" i="3"/>
  <c r="S70" i="3"/>
  <c r="N71" i="3"/>
  <c r="O71" i="3"/>
  <c r="P71" i="3"/>
  <c r="Q71" i="3"/>
  <c r="R71" i="3"/>
  <c r="S71" i="3"/>
  <c r="N72" i="3"/>
  <c r="O72" i="3"/>
  <c r="P72" i="3"/>
  <c r="Q72" i="3"/>
  <c r="R72" i="3"/>
  <c r="S72" i="3"/>
  <c r="N73" i="3"/>
  <c r="O73" i="3"/>
  <c r="P73" i="3"/>
  <c r="Q73" i="3"/>
  <c r="R73" i="3"/>
  <c r="S73" i="3"/>
  <c r="N74" i="3"/>
  <c r="O74" i="3"/>
  <c r="P74" i="3"/>
  <c r="Q74" i="3"/>
  <c r="R74" i="3"/>
  <c r="S74" i="3"/>
  <c r="N75" i="3"/>
  <c r="O75" i="3"/>
  <c r="P75" i="3"/>
  <c r="Q75" i="3"/>
  <c r="R75" i="3"/>
  <c r="S75" i="3"/>
  <c r="N76" i="3"/>
  <c r="O76" i="3"/>
  <c r="P76" i="3"/>
  <c r="Q76" i="3"/>
  <c r="R76" i="3"/>
  <c r="S76" i="3"/>
  <c r="N77" i="3"/>
  <c r="O77" i="3"/>
  <c r="P77" i="3"/>
  <c r="Q77" i="3"/>
  <c r="R77" i="3"/>
  <c r="S77" i="3"/>
  <c r="N78" i="3"/>
  <c r="O78" i="3"/>
  <c r="P78" i="3"/>
  <c r="Q78" i="3"/>
  <c r="R78" i="3"/>
  <c r="S78" i="3"/>
  <c r="N79" i="3"/>
  <c r="O79" i="3"/>
  <c r="P79" i="3"/>
  <c r="Q79" i="3"/>
  <c r="R79" i="3"/>
  <c r="S79" i="3"/>
  <c r="N80" i="3"/>
  <c r="O80" i="3"/>
  <c r="P80" i="3"/>
  <c r="Q80" i="3"/>
  <c r="R80" i="3"/>
  <c r="S80" i="3"/>
  <c r="N81" i="3"/>
  <c r="O81" i="3"/>
  <c r="P81" i="3"/>
  <c r="Q81" i="3"/>
  <c r="R81" i="3"/>
  <c r="S81" i="3"/>
  <c r="N82" i="3"/>
  <c r="O82" i="3"/>
  <c r="P82" i="3"/>
  <c r="Q82" i="3"/>
  <c r="R82" i="3"/>
  <c r="S82" i="3"/>
  <c r="N83" i="3"/>
  <c r="O83" i="3"/>
  <c r="P83" i="3"/>
  <c r="Q83" i="3"/>
  <c r="R83" i="3"/>
  <c r="S83" i="3"/>
  <c r="N84" i="3"/>
  <c r="O84" i="3"/>
  <c r="P84" i="3"/>
  <c r="Q84" i="3"/>
  <c r="R84" i="3"/>
  <c r="S84" i="3"/>
  <c r="N85" i="3"/>
  <c r="O85" i="3"/>
  <c r="P85" i="3"/>
  <c r="Q85" i="3"/>
  <c r="R85" i="3"/>
  <c r="S85" i="3"/>
  <c r="N86" i="3"/>
  <c r="O86" i="3"/>
  <c r="P86" i="3"/>
  <c r="Q86" i="3"/>
  <c r="R86" i="3"/>
  <c r="S86" i="3"/>
  <c r="N93" i="3"/>
  <c r="O93" i="3"/>
  <c r="P93" i="3"/>
  <c r="Q93" i="3"/>
  <c r="R93" i="3"/>
  <c r="S93" i="3"/>
  <c r="N94" i="3"/>
  <c r="O94" i="3"/>
  <c r="P94" i="3"/>
  <c r="Q94" i="3"/>
  <c r="R94" i="3"/>
  <c r="S94" i="3"/>
  <c r="N95" i="3"/>
  <c r="O95" i="3"/>
  <c r="P95" i="3"/>
  <c r="Q95" i="3"/>
  <c r="R95" i="3"/>
  <c r="S95" i="3"/>
  <c r="N96" i="3"/>
  <c r="O96" i="3"/>
  <c r="P96" i="3"/>
  <c r="Q96" i="3"/>
  <c r="R96" i="3"/>
  <c r="S96" i="3"/>
  <c r="N97" i="3"/>
  <c r="O97" i="3"/>
  <c r="P97" i="3"/>
  <c r="Q97" i="3"/>
  <c r="R97" i="3"/>
  <c r="S97" i="3"/>
  <c r="N98" i="3"/>
  <c r="O98" i="3"/>
  <c r="P98" i="3"/>
  <c r="Q98" i="3"/>
  <c r="R98" i="3"/>
  <c r="S98" i="3"/>
  <c r="N99" i="3"/>
  <c r="O99" i="3"/>
  <c r="P99" i="3"/>
  <c r="Q99" i="3"/>
  <c r="R99" i="3"/>
  <c r="S99" i="3"/>
  <c r="N100" i="3"/>
  <c r="O100" i="3"/>
  <c r="P100" i="3"/>
  <c r="Q100" i="3"/>
  <c r="R100" i="3"/>
  <c r="S100" i="3"/>
  <c r="N101" i="3"/>
  <c r="O101" i="3"/>
  <c r="P101" i="3"/>
  <c r="Q101" i="3"/>
  <c r="R101" i="3"/>
  <c r="S101" i="3"/>
  <c r="N102" i="3"/>
  <c r="O102" i="3"/>
  <c r="P102" i="3"/>
  <c r="Q102" i="3"/>
  <c r="R102" i="3"/>
  <c r="S102" i="3"/>
  <c r="N103" i="3"/>
  <c r="O103" i="3"/>
  <c r="P103" i="3"/>
  <c r="Q103" i="3"/>
  <c r="R103" i="3"/>
  <c r="S103" i="3"/>
  <c r="N104" i="3"/>
  <c r="O104" i="3"/>
  <c r="P104" i="3"/>
  <c r="Q104" i="3"/>
  <c r="R104" i="3"/>
  <c r="S104" i="3"/>
  <c r="N105" i="3"/>
  <c r="O105" i="3"/>
  <c r="P105" i="3"/>
  <c r="Q105" i="3"/>
  <c r="R105" i="3"/>
  <c r="S105" i="3"/>
  <c r="N106" i="3"/>
  <c r="O106" i="3"/>
  <c r="P106" i="3"/>
  <c r="Q106" i="3"/>
  <c r="R106" i="3"/>
  <c r="S106" i="3"/>
  <c r="N107" i="3"/>
  <c r="O107" i="3"/>
  <c r="P107" i="3"/>
  <c r="Q107" i="3"/>
  <c r="R107" i="3"/>
  <c r="S107" i="3"/>
  <c r="N108" i="3"/>
  <c r="O108" i="3"/>
  <c r="P108" i="3"/>
  <c r="Q108" i="3"/>
  <c r="R108" i="3"/>
  <c r="S108" i="3"/>
  <c r="N109" i="3"/>
  <c r="O109" i="3"/>
  <c r="P109" i="3"/>
  <c r="Q109" i="3"/>
  <c r="R109" i="3"/>
  <c r="S109" i="3"/>
  <c r="N110" i="3"/>
  <c r="O110" i="3"/>
  <c r="P110" i="3"/>
  <c r="Q110" i="3"/>
  <c r="R110" i="3"/>
  <c r="S110" i="3"/>
  <c r="N111" i="3"/>
  <c r="O111" i="3"/>
  <c r="P111" i="3"/>
  <c r="Q111" i="3"/>
  <c r="R111" i="3"/>
  <c r="S111" i="3"/>
  <c r="N112" i="3"/>
  <c r="O112" i="3"/>
  <c r="P112" i="3"/>
  <c r="Q112" i="3"/>
  <c r="R112" i="3"/>
  <c r="S112" i="3"/>
  <c r="N113" i="3"/>
  <c r="O113" i="3"/>
  <c r="P113" i="3"/>
  <c r="Q113" i="3"/>
  <c r="R113" i="3"/>
  <c r="S113" i="3"/>
  <c r="N114" i="3"/>
  <c r="O114" i="3"/>
  <c r="P114" i="3"/>
  <c r="Q114" i="3"/>
  <c r="R114" i="3"/>
  <c r="S114" i="3"/>
  <c r="N115" i="3"/>
  <c r="O115" i="3"/>
  <c r="P115" i="3"/>
  <c r="Q115" i="3"/>
  <c r="R115" i="3"/>
  <c r="S115" i="3"/>
  <c r="N116" i="3"/>
  <c r="O116" i="3"/>
  <c r="P116" i="3"/>
  <c r="Q116" i="3"/>
  <c r="R116" i="3"/>
  <c r="S116" i="3"/>
  <c r="N117" i="3"/>
  <c r="O117" i="3"/>
  <c r="P117" i="3"/>
  <c r="Q117" i="3"/>
  <c r="R117" i="3"/>
  <c r="S117" i="3"/>
  <c r="N118" i="3"/>
  <c r="O118" i="3"/>
  <c r="P118" i="3"/>
  <c r="Q118" i="3"/>
  <c r="R118" i="3"/>
  <c r="S118" i="3"/>
  <c r="N119" i="3"/>
  <c r="O119" i="3"/>
  <c r="P119" i="3"/>
  <c r="Q119" i="3"/>
  <c r="R119" i="3"/>
  <c r="S119" i="3"/>
  <c r="N150" i="3"/>
  <c r="O150" i="3"/>
  <c r="P150" i="3"/>
  <c r="Q150" i="3"/>
  <c r="R150" i="3"/>
  <c r="S150" i="3"/>
  <c r="N151" i="3"/>
  <c r="O151" i="3"/>
  <c r="P151" i="3"/>
  <c r="Q151" i="3"/>
  <c r="R151" i="3"/>
  <c r="S151" i="3"/>
  <c r="N152" i="3"/>
  <c r="O152" i="3"/>
  <c r="P152" i="3"/>
  <c r="Q152" i="3"/>
  <c r="R152" i="3"/>
  <c r="S152" i="3"/>
  <c r="N153" i="3"/>
  <c r="O153" i="3"/>
  <c r="P153" i="3"/>
  <c r="Q153" i="3"/>
  <c r="R153" i="3"/>
  <c r="S153" i="3"/>
  <c r="N154" i="3"/>
  <c r="O154" i="3"/>
  <c r="P154" i="3"/>
  <c r="Q154" i="3"/>
  <c r="R154" i="3"/>
  <c r="S154" i="3"/>
  <c r="N155" i="3"/>
  <c r="O155" i="3"/>
  <c r="P155" i="3"/>
  <c r="Q155" i="3"/>
  <c r="R155" i="3"/>
  <c r="S155" i="3"/>
  <c r="N156" i="3"/>
  <c r="O156" i="3"/>
  <c r="P156" i="3"/>
  <c r="Q156" i="3"/>
  <c r="R156" i="3"/>
  <c r="S156" i="3"/>
  <c r="N157" i="3"/>
  <c r="O157" i="3"/>
  <c r="P157" i="3"/>
  <c r="Q157" i="3"/>
  <c r="R157" i="3"/>
  <c r="S157" i="3"/>
  <c r="N158" i="3"/>
  <c r="O158" i="3"/>
  <c r="P158" i="3"/>
  <c r="Q158" i="3"/>
  <c r="R158" i="3"/>
  <c r="S158" i="3"/>
  <c r="N159" i="3"/>
  <c r="O159" i="3"/>
  <c r="P159" i="3"/>
  <c r="Q159" i="3"/>
  <c r="R159" i="3"/>
  <c r="S159" i="3"/>
  <c r="N160" i="3"/>
  <c r="O160" i="3"/>
  <c r="P160" i="3"/>
  <c r="Q160" i="3"/>
  <c r="R160" i="3"/>
  <c r="S160" i="3"/>
  <c r="N161" i="3"/>
  <c r="O161" i="3"/>
  <c r="P161" i="3"/>
  <c r="Q161" i="3"/>
  <c r="R161" i="3"/>
  <c r="S161" i="3"/>
  <c r="N162" i="3"/>
  <c r="O162" i="3"/>
  <c r="P162" i="3"/>
  <c r="Q162" i="3"/>
  <c r="R162" i="3"/>
  <c r="S162" i="3"/>
  <c r="N163" i="3"/>
  <c r="O163" i="3"/>
  <c r="P163" i="3"/>
  <c r="Q163" i="3"/>
  <c r="R163" i="3"/>
  <c r="S163" i="3"/>
  <c r="N164" i="3"/>
  <c r="O164" i="3"/>
  <c r="P164" i="3"/>
  <c r="Q164" i="3"/>
  <c r="R164" i="3"/>
  <c r="S164" i="3"/>
  <c r="N165" i="3"/>
  <c r="O165" i="3"/>
  <c r="P165" i="3"/>
  <c r="Q165" i="3"/>
  <c r="R165" i="3"/>
  <c r="S165" i="3"/>
  <c r="N166" i="3"/>
  <c r="O166" i="3"/>
  <c r="P166" i="3"/>
  <c r="Q166" i="3"/>
  <c r="R166" i="3"/>
  <c r="S166" i="3"/>
  <c r="N167" i="3"/>
  <c r="O167" i="3"/>
  <c r="P167" i="3"/>
  <c r="Q167" i="3"/>
  <c r="R167" i="3"/>
  <c r="S167" i="3"/>
  <c r="N168" i="3"/>
  <c r="O168" i="3"/>
  <c r="P168" i="3"/>
  <c r="Q168" i="3"/>
  <c r="R168" i="3"/>
  <c r="S168" i="3"/>
  <c r="N169" i="3"/>
  <c r="O169" i="3"/>
  <c r="P169" i="3"/>
  <c r="Q169" i="3"/>
  <c r="R169" i="3"/>
  <c r="S169" i="3"/>
  <c r="N170" i="3"/>
  <c r="O170" i="3"/>
  <c r="P170" i="3"/>
  <c r="Q170" i="3"/>
  <c r="R170" i="3"/>
  <c r="S170" i="3"/>
  <c r="N171" i="3"/>
  <c r="O171" i="3"/>
  <c r="P171" i="3"/>
  <c r="Q171" i="3"/>
  <c r="R171" i="3"/>
  <c r="S171" i="3"/>
  <c r="N172" i="3"/>
  <c r="O172" i="3"/>
  <c r="P172" i="3"/>
  <c r="Q172" i="3"/>
  <c r="R172" i="3"/>
  <c r="S172" i="3"/>
  <c r="N173" i="3"/>
  <c r="O173" i="3"/>
  <c r="P173" i="3"/>
  <c r="Q173" i="3"/>
  <c r="R173" i="3"/>
  <c r="S173" i="3"/>
  <c r="N174" i="3"/>
  <c r="O174" i="3"/>
  <c r="P174" i="3"/>
  <c r="Q174" i="3"/>
  <c r="R174" i="3"/>
  <c r="S174" i="3"/>
  <c r="N175" i="3"/>
  <c r="O175" i="3"/>
  <c r="P175" i="3"/>
  <c r="Q175" i="3"/>
  <c r="R175" i="3"/>
  <c r="S175" i="3"/>
  <c r="N176" i="3"/>
  <c r="O176" i="3"/>
  <c r="P176" i="3"/>
  <c r="Q176" i="3"/>
  <c r="R176" i="3"/>
  <c r="S176" i="3"/>
  <c r="N234" i="3"/>
  <c r="O234" i="3"/>
  <c r="P234" i="3"/>
  <c r="Q234" i="3"/>
  <c r="R234" i="3"/>
  <c r="S234" i="3"/>
  <c r="D150" i="3"/>
  <c r="E150" i="3"/>
  <c r="F150" i="3"/>
  <c r="G150" i="3"/>
  <c r="H150" i="3"/>
  <c r="I150" i="3"/>
  <c r="D151" i="3"/>
  <c r="E151" i="3"/>
  <c r="F151" i="3"/>
  <c r="G151" i="3"/>
  <c r="H151" i="3"/>
  <c r="I151" i="3"/>
  <c r="D152" i="3"/>
  <c r="E152" i="3"/>
  <c r="F152" i="3"/>
  <c r="G152" i="3"/>
  <c r="H152" i="3"/>
  <c r="I152" i="3"/>
  <c r="D153" i="3"/>
  <c r="E153" i="3"/>
  <c r="F153" i="3"/>
  <c r="G153" i="3"/>
  <c r="H153" i="3"/>
  <c r="I153" i="3"/>
  <c r="D154" i="3"/>
  <c r="E154" i="3"/>
  <c r="F154" i="3"/>
  <c r="G154" i="3"/>
  <c r="H154" i="3"/>
  <c r="I154" i="3"/>
  <c r="D155" i="3"/>
  <c r="E155" i="3"/>
  <c r="F155" i="3"/>
  <c r="G155" i="3"/>
  <c r="H155" i="3"/>
  <c r="I155" i="3"/>
  <c r="D156" i="3"/>
  <c r="E156" i="3"/>
  <c r="F156" i="3"/>
  <c r="G156" i="3"/>
  <c r="H156" i="3"/>
  <c r="I156" i="3"/>
  <c r="D157" i="3"/>
  <c r="E157" i="3"/>
  <c r="F157" i="3"/>
  <c r="G157" i="3"/>
  <c r="H157" i="3"/>
  <c r="I157" i="3"/>
  <c r="D158" i="3"/>
  <c r="E158" i="3"/>
  <c r="F158" i="3"/>
  <c r="G158" i="3"/>
  <c r="H158" i="3"/>
  <c r="I158" i="3"/>
  <c r="D159" i="3"/>
  <c r="E159" i="3"/>
  <c r="F159" i="3"/>
  <c r="G159" i="3"/>
  <c r="H159" i="3"/>
  <c r="I159" i="3"/>
  <c r="D160" i="3"/>
  <c r="E160" i="3"/>
  <c r="F160" i="3"/>
  <c r="G160" i="3"/>
  <c r="H160" i="3"/>
  <c r="I160" i="3"/>
  <c r="D161" i="3"/>
  <c r="E161" i="3"/>
  <c r="F161" i="3"/>
  <c r="G161" i="3"/>
  <c r="H161" i="3"/>
  <c r="I161" i="3"/>
  <c r="D162" i="3"/>
  <c r="E162" i="3"/>
  <c r="F162" i="3"/>
  <c r="G162" i="3"/>
  <c r="H162" i="3"/>
  <c r="I162" i="3"/>
  <c r="D163" i="3"/>
  <c r="E163" i="3"/>
  <c r="F163" i="3"/>
  <c r="G163" i="3"/>
  <c r="H163" i="3"/>
  <c r="I163" i="3"/>
  <c r="D164" i="3"/>
  <c r="E164" i="3"/>
  <c r="F164" i="3"/>
  <c r="G164" i="3"/>
  <c r="H164" i="3"/>
  <c r="I164" i="3"/>
  <c r="D165" i="3"/>
  <c r="E165" i="3"/>
  <c r="F165" i="3"/>
  <c r="G165" i="3"/>
  <c r="H165" i="3"/>
  <c r="I165" i="3"/>
  <c r="D166" i="3"/>
  <c r="E166" i="3"/>
  <c r="F166" i="3"/>
  <c r="G166" i="3"/>
  <c r="H166" i="3"/>
  <c r="I166" i="3"/>
  <c r="D167" i="3"/>
  <c r="E167" i="3"/>
  <c r="F167" i="3"/>
  <c r="G167" i="3"/>
  <c r="H167" i="3"/>
  <c r="I167" i="3"/>
  <c r="D168" i="3"/>
  <c r="E168" i="3"/>
  <c r="F168" i="3"/>
  <c r="G168" i="3"/>
  <c r="H168" i="3"/>
  <c r="I168" i="3"/>
  <c r="D169" i="3"/>
  <c r="E169" i="3"/>
  <c r="F169" i="3"/>
  <c r="G169" i="3"/>
  <c r="H169" i="3"/>
  <c r="I169" i="3"/>
  <c r="D170" i="3"/>
  <c r="E170" i="3"/>
  <c r="F170" i="3"/>
  <c r="G170" i="3"/>
  <c r="H170" i="3"/>
  <c r="I170" i="3"/>
  <c r="D171" i="3"/>
  <c r="E171" i="3"/>
  <c r="F171" i="3"/>
  <c r="G171" i="3"/>
  <c r="H171" i="3"/>
  <c r="I171" i="3"/>
  <c r="D172" i="3"/>
  <c r="E172" i="3"/>
  <c r="F172" i="3"/>
  <c r="G172" i="3"/>
  <c r="H172" i="3"/>
  <c r="I172" i="3"/>
  <c r="D173" i="3"/>
  <c r="E173" i="3"/>
  <c r="F173" i="3"/>
  <c r="G173" i="3"/>
  <c r="H173" i="3"/>
  <c r="I173" i="3"/>
  <c r="D174" i="3"/>
  <c r="E174" i="3"/>
  <c r="F174" i="3"/>
  <c r="G174" i="3"/>
  <c r="H174" i="3"/>
  <c r="I174" i="3"/>
  <c r="D175" i="3"/>
  <c r="E175" i="3"/>
  <c r="F175" i="3"/>
  <c r="G175" i="3"/>
  <c r="H175" i="3"/>
  <c r="I175" i="3"/>
  <c r="D176" i="3"/>
  <c r="E176" i="3"/>
  <c r="F176" i="3"/>
  <c r="G176" i="3"/>
  <c r="H176" i="3"/>
  <c r="I176" i="3"/>
  <c r="D67" i="3"/>
  <c r="E67" i="3"/>
  <c r="F67" i="3"/>
  <c r="G67" i="3"/>
  <c r="H67" i="3"/>
  <c r="I67" i="3"/>
  <c r="D68" i="3"/>
  <c r="E68" i="3"/>
  <c r="F68" i="3"/>
  <c r="G68" i="3"/>
  <c r="H68" i="3"/>
  <c r="I68" i="3"/>
  <c r="D69" i="3"/>
  <c r="E69" i="3"/>
  <c r="F69" i="3"/>
  <c r="G69" i="3"/>
  <c r="H69" i="3"/>
  <c r="I69" i="3"/>
  <c r="D70" i="3"/>
  <c r="E70" i="3"/>
  <c r="F70" i="3"/>
  <c r="G70" i="3"/>
  <c r="H70" i="3"/>
  <c r="I70" i="3"/>
  <c r="D71" i="3"/>
  <c r="E71" i="3"/>
  <c r="F71" i="3"/>
  <c r="G71" i="3"/>
  <c r="H71" i="3"/>
  <c r="I71" i="3"/>
  <c r="D72" i="3"/>
  <c r="E72" i="3"/>
  <c r="F72" i="3"/>
  <c r="G72" i="3"/>
  <c r="H72" i="3"/>
  <c r="I72" i="3"/>
  <c r="D73" i="3"/>
  <c r="E73" i="3"/>
  <c r="F73" i="3"/>
  <c r="G73" i="3"/>
  <c r="H73" i="3"/>
  <c r="I73" i="3"/>
  <c r="D74" i="3"/>
  <c r="E74" i="3"/>
  <c r="F74" i="3"/>
  <c r="G74" i="3"/>
  <c r="H74" i="3"/>
  <c r="I74" i="3"/>
  <c r="D75" i="3"/>
  <c r="E75" i="3"/>
  <c r="F75" i="3"/>
  <c r="G75" i="3"/>
  <c r="H75" i="3"/>
  <c r="I75" i="3"/>
  <c r="D76" i="3"/>
  <c r="E76" i="3"/>
  <c r="F76" i="3"/>
  <c r="G76" i="3"/>
  <c r="H76" i="3"/>
  <c r="I76" i="3"/>
  <c r="D77" i="3"/>
  <c r="E77" i="3"/>
  <c r="F77" i="3"/>
  <c r="G77" i="3"/>
  <c r="H77" i="3"/>
  <c r="I77" i="3"/>
  <c r="D78" i="3"/>
  <c r="E78" i="3"/>
  <c r="F78" i="3"/>
  <c r="G78" i="3"/>
  <c r="H78" i="3"/>
  <c r="I78" i="3"/>
  <c r="D79" i="3"/>
  <c r="E79" i="3"/>
  <c r="F79" i="3"/>
  <c r="G79" i="3"/>
  <c r="H79" i="3"/>
  <c r="I79" i="3"/>
  <c r="D80" i="3"/>
  <c r="E80" i="3"/>
  <c r="F80" i="3"/>
  <c r="G80" i="3"/>
  <c r="H80" i="3"/>
  <c r="I80" i="3"/>
  <c r="D81" i="3"/>
  <c r="E81" i="3"/>
  <c r="F81" i="3"/>
  <c r="G81" i="3"/>
  <c r="H81" i="3"/>
  <c r="I81" i="3"/>
  <c r="D82" i="3"/>
  <c r="E82" i="3"/>
  <c r="F82" i="3"/>
  <c r="G82" i="3"/>
  <c r="H82" i="3"/>
  <c r="I82" i="3"/>
  <c r="D83" i="3"/>
  <c r="E83" i="3"/>
  <c r="F83" i="3"/>
  <c r="G83" i="3"/>
  <c r="H83" i="3"/>
  <c r="I83" i="3"/>
  <c r="D84" i="3"/>
  <c r="E84" i="3"/>
  <c r="F84" i="3"/>
  <c r="G84" i="3"/>
  <c r="H84" i="3"/>
  <c r="I84" i="3"/>
  <c r="D85" i="3"/>
  <c r="E85" i="3"/>
  <c r="F85" i="3"/>
  <c r="G85" i="3"/>
  <c r="H85" i="3"/>
  <c r="I85" i="3"/>
  <c r="D86" i="3"/>
  <c r="E86" i="3"/>
  <c r="F86" i="3"/>
  <c r="G86" i="3"/>
  <c r="H86" i="3"/>
  <c r="I86" i="3"/>
  <c r="E66" i="3"/>
  <c r="F66" i="3"/>
  <c r="G66" i="3"/>
  <c r="H66" i="3"/>
  <c r="I66" i="3"/>
  <c r="D93" i="3"/>
  <c r="E93" i="3"/>
  <c r="F93" i="3"/>
  <c r="G93" i="3"/>
  <c r="H93" i="3"/>
  <c r="I93" i="3"/>
  <c r="D94" i="3"/>
  <c r="E94" i="3"/>
  <c r="F94" i="3"/>
  <c r="G94" i="3"/>
  <c r="H94" i="3"/>
  <c r="I94" i="3"/>
  <c r="D95" i="3"/>
  <c r="E95" i="3"/>
  <c r="F95" i="3"/>
  <c r="G95" i="3"/>
  <c r="H95" i="3"/>
  <c r="I95" i="3"/>
  <c r="D96" i="3"/>
  <c r="E96" i="3"/>
  <c r="F96" i="3"/>
  <c r="G96" i="3"/>
  <c r="H96" i="3"/>
  <c r="I96" i="3"/>
  <c r="D97" i="3"/>
  <c r="E97" i="3"/>
  <c r="F97" i="3"/>
  <c r="G97" i="3"/>
  <c r="H97" i="3"/>
  <c r="I97" i="3"/>
  <c r="D98" i="3"/>
  <c r="E98" i="3"/>
  <c r="F98" i="3"/>
  <c r="G98" i="3"/>
  <c r="H98" i="3"/>
  <c r="I98" i="3"/>
  <c r="D99" i="3"/>
  <c r="E99" i="3"/>
  <c r="F99" i="3"/>
  <c r="G99" i="3"/>
  <c r="H99" i="3"/>
  <c r="I99" i="3"/>
  <c r="D100" i="3"/>
  <c r="E100" i="3"/>
  <c r="F100" i="3"/>
  <c r="G100" i="3"/>
  <c r="H100" i="3"/>
  <c r="I100" i="3"/>
  <c r="D101" i="3"/>
  <c r="E101" i="3"/>
  <c r="F101" i="3"/>
  <c r="G101" i="3"/>
  <c r="H101" i="3"/>
  <c r="I101" i="3"/>
  <c r="D102" i="3"/>
  <c r="E102" i="3"/>
  <c r="F102" i="3"/>
  <c r="G102" i="3"/>
  <c r="H102" i="3"/>
  <c r="I102" i="3"/>
  <c r="D103" i="3"/>
  <c r="E103" i="3"/>
  <c r="F103" i="3"/>
  <c r="G103" i="3"/>
  <c r="H103" i="3"/>
  <c r="I103" i="3"/>
  <c r="D104" i="3"/>
  <c r="E104" i="3"/>
  <c r="F104" i="3"/>
  <c r="G104" i="3"/>
  <c r="H104" i="3"/>
  <c r="I104" i="3"/>
  <c r="D105" i="3"/>
  <c r="E105" i="3"/>
  <c r="F105" i="3"/>
  <c r="G105" i="3"/>
  <c r="H105" i="3"/>
  <c r="I105" i="3"/>
  <c r="D106" i="3"/>
  <c r="E106" i="3"/>
  <c r="F106" i="3"/>
  <c r="G106" i="3"/>
  <c r="H106" i="3"/>
  <c r="I106" i="3"/>
  <c r="D107" i="3"/>
  <c r="E107" i="3"/>
  <c r="F107" i="3"/>
  <c r="G107" i="3"/>
  <c r="H107" i="3"/>
  <c r="I107" i="3"/>
  <c r="D108" i="3"/>
  <c r="E108" i="3"/>
  <c r="F108" i="3"/>
  <c r="G108" i="3"/>
  <c r="H108" i="3"/>
  <c r="I108" i="3"/>
  <c r="D109" i="3"/>
  <c r="E109" i="3"/>
  <c r="F109" i="3"/>
  <c r="G109" i="3"/>
  <c r="H109" i="3"/>
  <c r="I109" i="3"/>
  <c r="D110" i="3"/>
  <c r="E110" i="3"/>
  <c r="F110" i="3"/>
  <c r="G110" i="3"/>
  <c r="H110" i="3"/>
  <c r="I110" i="3"/>
  <c r="D111" i="3"/>
  <c r="E111" i="3"/>
  <c r="F111" i="3"/>
  <c r="G111" i="3"/>
  <c r="H111" i="3"/>
  <c r="I111" i="3"/>
  <c r="D112" i="3"/>
  <c r="E112" i="3"/>
  <c r="F112" i="3"/>
  <c r="G112" i="3"/>
  <c r="H112" i="3"/>
  <c r="I112" i="3"/>
  <c r="D113" i="3"/>
  <c r="E113" i="3"/>
  <c r="F113" i="3"/>
  <c r="G113" i="3"/>
  <c r="H113" i="3"/>
  <c r="I113" i="3"/>
  <c r="D114" i="3"/>
  <c r="E114" i="3"/>
  <c r="F114" i="3"/>
  <c r="G114" i="3"/>
  <c r="H114" i="3"/>
  <c r="I114" i="3"/>
  <c r="D115" i="3"/>
  <c r="E115" i="3"/>
  <c r="F115" i="3"/>
  <c r="G115" i="3"/>
  <c r="H115" i="3"/>
  <c r="I115" i="3"/>
  <c r="D116" i="3"/>
  <c r="E116" i="3"/>
  <c r="F116" i="3"/>
  <c r="G116" i="3"/>
  <c r="H116" i="3"/>
  <c r="I116" i="3"/>
  <c r="D117" i="3"/>
  <c r="E117" i="3"/>
  <c r="F117" i="3"/>
  <c r="G117" i="3"/>
  <c r="H117" i="3"/>
  <c r="I117" i="3"/>
  <c r="D118" i="3"/>
  <c r="E118" i="3"/>
  <c r="F118" i="3"/>
  <c r="G118" i="3"/>
  <c r="H118" i="3"/>
  <c r="I118" i="3"/>
  <c r="D119" i="3"/>
  <c r="E119" i="3"/>
  <c r="F119" i="3"/>
  <c r="G119" i="3"/>
  <c r="H119" i="3"/>
  <c r="I119" i="3"/>
  <c r="D66" i="3"/>
  <c r="E120" i="8" l="1"/>
  <c r="E148" i="8" s="1"/>
  <c r="Q120" i="8"/>
  <c r="Q129" i="8" s="1"/>
  <c r="AC120" i="8"/>
  <c r="AC129" i="8" s="1"/>
  <c r="Y120" i="8"/>
  <c r="Y131" i="8" s="1"/>
  <c r="H120" i="8"/>
  <c r="H140" i="8" s="1"/>
  <c r="F120" i="8"/>
  <c r="F124" i="8" s="1"/>
  <c r="N120" i="8"/>
  <c r="N123" i="8" s="1"/>
  <c r="R120" i="8"/>
  <c r="R126" i="8" s="1"/>
  <c r="Z120" i="8"/>
  <c r="Z123" i="8" s="1"/>
  <c r="D120" i="8"/>
  <c r="D128" i="8" s="1"/>
  <c r="P120" i="8"/>
  <c r="P124" i="8" s="1"/>
  <c r="X120" i="8"/>
  <c r="X130" i="8" s="1"/>
  <c r="AB120" i="8"/>
  <c r="AB146" i="8" s="1"/>
  <c r="G120" i="8"/>
  <c r="G125" i="8" s="1"/>
  <c r="O120" i="8"/>
  <c r="O125" i="8" s="1"/>
  <c r="S120" i="8"/>
  <c r="S128" i="8" s="1"/>
  <c r="AA120" i="8"/>
  <c r="AA125" i="8" s="1"/>
  <c r="I120" i="8"/>
  <c r="I126" i="8" s="1"/>
  <c r="X120" i="7"/>
  <c r="X165" i="7" s="1"/>
  <c r="AB120" i="7"/>
  <c r="AB151" i="7" s="1"/>
  <c r="AA120" i="7"/>
  <c r="Y120" i="7"/>
  <c r="Y152" i="7" s="1"/>
  <c r="AC120" i="7"/>
  <c r="AC160" i="7" s="1"/>
  <c r="Z120" i="7"/>
  <c r="D120" i="7"/>
  <c r="D154" i="7" s="1"/>
  <c r="H120" i="7"/>
  <c r="H168" i="7" s="1"/>
  <c r="P120" i="7"/>
  <c r="P144" i="7" s="1"/>
  <c r="O120" i="7"/>
  <c r="O154" i="7" s="1"/>
  <c r="S120" i="7"/>
  <c r="S164" i="7" s="1"/>
  <c r="I120" i="7"/>
  <c r="I157" i="7" s="1"/>
  <c r="E120" i="7"/>
  <c r="E153" i="7" s="1"/>
  <c r="Q120" i="7"/>
  <c r="Q159" i="7" s="1"/>
  <c r="G120" i="7"/>
  <c r="G154" i="7" s="1"/>
  <c r="N120" i="7"/>
  <c r="N168" i="7" s="1"/>
  <c r="R120" i="7"/>
  <c r="R154" i="7" s="1"/>
  <c r="F120" i="7"/>
  <c r="AA151" i="7"/>
  <c r="AC120" i="3"/>
  <c r="AC126" i="3" s="1"/>
  <c r="AB120" i="3"/>
  <c r="AB134" i="3" s="1"/>
  <c r="X120" i="3"/>
  <c r="X142" i="3" s="1"/>
  <c r="N120" i="3"/>
  <c r="N138" i="3" s="1"/>
  <c r="AA120" i="3"/>
  <c r="Y120" i="3"/>
  <c r="Z120" i="3"/>
  <c r="Z135" i="3" s="1"/>
  <c r="R120" i="3"/>
  <c r="R132" i="3" s="1"/>
  <c r="S120" i="3"/>
  <c r="O120" i="3"/>
  <c r="Q120" i="3"/>
  <c r="Q127" i="3" s="1"/>
  <c r="P120" i="3"/>
  <c r="P142" i="3" s="1"/>
  <c r="H120" i="3"/>
  <c r="H123" i="3" s="1"/>
  <c r="F120" i="3"/>
  <c r="F143" i="3" s="1"/>
  <c r="G120" i="3"/>
  <c r="I120" i="3"/>
  <c r="I123" i="3" s="1"/>
  <c r="E120" i="3"/>
  <c r="E123" i="3" s="1"/>
  <c r="D120" i="3"/>
  <c r="D138" i="3" s="1"/>
  <c r="I234" i="3"/>
  <c r="H234" i="3"/>
  <c r="G234" i="3"/>
  <c r="F234" i="3"/>
  <c r="E234" i="3"/>
  <c r="D234" i="3"/>
  <c r="Q133" i="8" l="1"/>
  <c r="E133" i="8"/>
  <c r="E129" i="8"/>
  <c r="AC124" i="8"/>
  <c r="Q146" i="8"/>
  <c r="Q139" i="8"/>
  <c r="Q124" i="8"/>
  <c r="AC126" i="8"/>
  <c r="Q145" i="8"/>
  <c r="Q137" i="8"/>
  <c r="Q138" i="8"/>
  <c r="Q140" i="8"/>
  <c r="Q148" i="8"/>
  <c r="Q149" i="8"/>
  <c r="Q132" i="8"/>
  <c r="AC132" i="8"/>
  <c r="Q127" i="8"/>
  <c r="Q128" i="8"/>
  <c r="E144" i="8"/>
  <c r="E149" i="8"/>
  <c r="E135" i="8"/>
  <c r="E134" i="8"/>
  <c r="E147" i="8"/>
  <c r="E123" i="8"/>
  <c r="AC139" i="8"/>
  <c r="AC131" i="8"/>
  <c r="AC138" i="8"/>
  <c r="AC137" i="8"/>
  <c r="Q131" i="8"/>
  <c r="Q136" i="8"/>
  <c r="H137" i="8"/>
  <c r="AC147" i="8"/>
  <c r="AC143" i="8"/>
  <c r="AC135" i="8"/>
  <c r="AC149" i="8"/>
  <c r="Q147" i="8"/>
  <c r="Q143" i="8"/>
  <c r="Q125" i="8"/>
  <c r="AC136" i="8"/>
  <c r="Q130" i="8"/>
  <c r="Q144" i="8"/>
  <c r="AC142" i="8"/>
  <c r="N147" i="8"/>
  <c r="AC123" i="8"/>
  <c r="AC148" i="8"/>
  <c r="AC134" i="8"/>
  <c r="Y137" i="8"/>
  <c r="AC146" i="8"/>
  <c r="Q142" i="8"/>
  <c r="AA148" i="8"/>
  <c r="AC145" i="8"/>
  <c r="Q141" i="8"/>
  <c r="Q135" i="8"/>
  <c r="AC127" i="8"/>
  <c r="Q123" i="8"/>
  <c r="AC140" i="8"/>
  <c r="Q134" i="8"/>
  <c r="AC130" i="8"/>
  <c r="Q126" i="8"/>
  <c r="E141" i="8"/>
  <c r="E125" i="8"/>
  <c r="E140" i="8"/>
  <c r="E136" i="8"/>
  <c r="H136" i="8"/>
  <c r="E124" i="8"/>
  <c r="E146" i="8"/>
  <c r="E138" i="8"/>
  <c r="E143" i="8"/>
  <c r="E137" i="8"/>
  <c r="E127" i="8"/>
  <c r="F140" i="8"/>
  <c r="E130" i="8"/>
  <c r="AC144" i="8"/>
  <c r="E142" i="8"/>
  <c r="N149" i="8"/>
  <c r="E145" i="8"/>
  <c r="AC141" i="8"/>
  <c r="E139" i="8"/>
  <c r="E131" i="8"/>
  <c r="AC125" i="8"/>
  <c r="AB137" i="8"/>
  <c r="E132" i="8"/>
  <c r="AC128" i="8"/>
  <c r="H123" i="8"/>
  <c r="AC133" i="8"/>
  <c r="E128" i="8"/>
  <c r="E126" i="8"/>
  <c r="AA135" i="8"/>
  <c r="H132" i="8"/>
  <c r="N128" i="8"/>
  <c r="N130" i="8"/>
  <c r="H128" i="8"/>
  <c r="AB145" i="8"/>
  <c r="P131" i="8"/>
  <c r="X145" i="8"/>
  <c r="R148" i="8"/>
  <c r="P145" i="8"/>
  <c r="N148" i="8"/>
  <c r="H145" i="8"/>
  <c r="P133" i="8"/>
  <c r="R141" i="8"/>
  <c r="N127" i="8"/>
  <c r="G146" i="8"/>
  <c r="G144" i="8"/>
  <c r="AB143" i="8"/>
  <c r="AB133" i="8"/>
  <c r="AA143" i="8"/>
  <c r="R142" i="8"/>
  <c r="AA137" i="8"/>
  <c r="R135" i="8"/>
  <c r="N146" i="8"/>
  <c r="G145" i="8"/>
  <c r="H148" i="8"/>
  <c r="G147" i="8"/>
  <c r="G131" i="8"/>
  <c r="H133" i="8"/>
  <c r="N124" i="8"/>
  <c r="N135" i="8"/>
  <c r="H126" i="8"/>
  <c r="F129" i="8"/>
  <c r="I136" i="8"/>
  <c r="F137" i="8"/>
  <c r="F135" i="8"/>
  <c r="G149" i="8"/>
  <c r="F147" i="8"/>
  <c r="G140" i="8"/>
  <c r="D141" i="8"/>
  <c r="G139" i="8"/>
  <c r="F136" i="8"/>
  <c r="F132" i="8"/>
  <c r="F126" i="8"/>
  <c r="F133" i="8"/>
  <c r="O143" i="8"/>
  <c r="O128" i="8"/>
  <c r="O141" i="8"/>
  <c r="AB149" i="8"/>
  <c r="AB147" i="8"/>
  <c r="G143" i="8"/>
  <c r="G141" i="8"/>
  <c r="G128" i="8"/>
  <c r="O126" i="8"/>
  <c r="AB141" i="8"/>
  <c r="AB139" i="8"/>
  <c r="R136" i="8"/>
  <c r="AB140" i="8"/>
  <c r="AB130" i="8"/>
  <c r="X149" i="8"/>
  <c r="R146" i="8"/>
  <c r="O139" i="8"/>
  <c r="G137" i="8"/>
  <c r="AB148" i="8"/>
  <c r="G123" i="8"/>
  <c r="O140" i="8"/>
  <c r="G138" i="8"/>
  <c r="G136" i="8"/>
  <c r="R144" i="8"/>
  <c r="H141" i="8"/>
  <c r="N138" i="8"/>
  <c r="G133" i="8"/>
  <c r="AA131" i="8"/>
  <c r="AB135" i="8"/>
  <c r="H124" i="8"/>
  <c r="P126" i="8"/>
  <c r="Y134" i="8"/>
  <c r="Z134" i="8"/>
  <c r="P149" i="8"/>
  <c r="I144" i="8"/>
  <c r="D148" i="8"/>
  <c r="Z145" i="8"/>
  <c r="O146" i="8"/>
  <c r="I143" i="8"/>
  <c r="O136" i="8"/>
  <c r="Y133" i="8"/>
  <c r="P141" i="8"/>
  <c r="P137" i="8"/>
  <c r="R134" i="8"/>
  <c r="D133" i="8"/>
  <c r="P129" i="8"/>
  <c r="R149" i="8"/>
  <c r="R139" i="8"/>
  <c r="F131" i="8"/>
  <c r="R127" i="8"/>
  <c r="R125" i="8"/>
  <c r="Y144" i="8"/>
  <c r="S146" i="8"/>
  <c r="S136" i="8"/>
  <c r="I127" i="8"/>
  <c r="Z148" i="8"/>
  <c r="P147" i="8"/>
  <c r="O147" i="8"/>
  <c r="I140" i="8"/>
  <c r="R147" i="8"/>
  <c r="R145" i="8"/>
  <c r="S140" i="8"/>
  <c r="Y139" i="8"/>
  <c r="I133" i="8"/>
  <c r="Y129" i="8"/>
  <c r="Y127" i="8"/>
  <c r="S126" i="8"/>
  <c r="Z142" i="8"/>
  <c r="R138" i="8"/>
  <c r="Y142" i="8"/>
  <c r="S139" i="8"/>
  <c r="R143" i="8"/>
  <c r="S141" i="8"/>
  <c r="F149" i="8"/>
  <c r="S148" i="8"/>
  <c r="Y141" i="8"/>
  <c r="Y128" i="8"/>
  <c r="F128" i="8"/>
  <c r="X125" i="8"/>
  <c r="F145" i="8"/>
  <c r="F141" i="8"/>
  <c r="F123" i="8"/>
  <c r="H149" i="8"/>
  <c r="H147" i="8"/>
  <c r="S149" i="8"/>
  <c r="Y146" i="8"/>
  <c r="P146" i="8"/>
  <c r="Y143" i="8"/>
  <c r="S138" i="8"/>
  <c r="O132" i="8"/>
  <c r="S124" i="8"/>
  <c r="F142" i="8"/>
  <c r="Y138" i="8"/>
  <c r="Y130" i="8"/>
  <c r="X135" i="8"/>
  <c r="H131" i="8"/>
  <c r="P127" i="8"/>
  <c r="P144" i="8"/>
  <c r="Y126" i="8"/>
  <c r="Y148" i="8"/>
  <c r="S145" i="8"/>
  <c r="S137" i="8"/>
  <c r="X146" i="8"/>
  <c r="Y149" i="8"/>
  <c r="Y147" i="8"/>
  <c r="Y123" i="8"/>
  <c r="X143" i="8"/>
  <c r="S129" i="8"/>
  <c r="F143" i="8"/>
  <c r="F139" i="8"/>
  <c r="P134" i="8"/>
  <c r="H127" i="8"/>
  <c r="F146" i="8"/>
  <c r="O135" i="8"/>
  <c r="O148" i="8"/>
  <c r="S144" i="8"/>
  <c r="S142" i="8"/>
  <c r="S134" i="8"/>
  <c r="S130" i="8"/>
  <c r="P143" i="8"/>
  <c r="P139" i="8"/>
  <c r="F138" i="8"/>
  <c r="O145" i="8"/>
  <c r="S135" i="8"/>
  <c r="Y132" i="8"/>
  <c r="S131" i="8"/>
  <c r="O129" i="8"/>
  <c r="F134" i="8"/>
  <c r="H129" i="8"/>
  <c r="H142" i="8"/>
  <c r="H138" i="8"/>
  <c r="H134" i="8"/>
  <c r="Z131" i="8"/>
  <c r="H130" i="8"/>
  <c r="Y124" i="8"/>
  <c r="H125" i="8"/>
  <c r="S127" i="8"/>
  <c r="D149" i="8"/>
  <c r="F148" i="8"/>
  <c r="D147" i="8"/>
  <c r="O149" i="8"/>
  <c r="S147" i="8"/>
  <c r="Y140" i="8"/>
  <c r="Y136" i="8"/>
  <c r="Z149" i="8"/>
  <c r="P148" i="8"/>
  <c r="H146" i="8"/>
  <c r="G148" i="8"/>
  <c r="O144" i="8"/>
  <c r="O142" i="8"/>
  <c r="O138" i="8"/>
  <c r="Y135" i="8"/>
  <c r="G134" i="8"/>
  <c r="G130" i="8"/>
  <c r="Y125" i="8"/>
  <c r="G124" i="8"/>
  <c r="F144" i="8"/>
  <c r="H143" i="8"/>
  <c r="R140" i="8"/>
  <c r="H139" i="8"/>
  <c r="S123" i="8"/>
  <c r="S143" i="8"/>
  <c r="S133" i="8"/>
  <c r="O131" i="8"/>
  <c r="G129" i="8"/>
  <c r="Y145" i="8"/>
  <c r="H135" i="8"/>
  <c r="R132" i="8"/>
  <c r="R130" i="8"/>
  <c r="R128" i="8"/>
  <c r="D127" i="8"/>
  <c r="H144" i="8"/>
  <c r="Z141" i="8"/>
  <c r="R137" i="8"/>
  <c r="R133" i="8"/>
  <c r="R131" i="8"/>
  <c r="R129" i="8"/>
  <c r="F125" i="8"/>
  <c r="R124" i="8"/>
  <c r="AA147" i="8"/>
  <c r="AA142" i="8"/>
  <c r="AA128" i="8"/>
  <c r="AA126" i="8"/>
  <c r="I123" i="8"/>
  <c r="D145" i="8"/>
  <c r="N142" i="8"/>
  <c r="X139" i="8"/>
  <c r="Z138" i="8"/>
  <c r="D137" i="8"/>
  <c r="AA149" i="8"/>
  <c r="I132" i="8"/>
  <c r="O127" i="8"/>
  <c r="O134" i="8"/>
  <c r="O123" i="8"/>
  <c r="N134" i="8"/>
  <c r="X131" i="8"/>
  <c r="Z130" i="8"/>
  <c r="X129" i="8"/>
  <c r="Z128" i="8"/>
  <c r="X127" i="8"/>
  <c r="N126" i="8"/>
  <c r="D125" i="8"/>
  <c r="X148" i="8"/>
  <c r="AB144" i="8"/>
  <c r="D144" i="8"/>
  <c r="N141" i="8"/>
  <c r="P140" i="8"/>
  <c r="P138" i="8"/>
  <c r="X136" i="8"/>
  <c r="Z135" i="8"/>
  <c r="AB134" i="8"/>
  <c r="D134" i="8"/>
  <c r="N131" i="8"/>
  <c r="P130" i="8"/>
  <c r="X128" i="8"/>
  <c r="Z127" i="8"/>
  <c r="AB126" i="8"/>
  <c r="D126" i="8"/>
  <c r="AA134" i="8"/>
  <c r="F130" i="8"/>
  <c r="AB125" i="8"/>
  <c r="AA139" i="8"/>
  <c r="I138" i="8"/>
  <c r="I128" i="8"/>
  <c r="I124" i="8"/>
  <c r="I141" i="8"/>
  <c r="I147" i="8"/>
  <c r="I145" i="8"/>
  <c r="I139" i="8"/>
  <c r="I137" i="8"/>
  <c r="I135" i="8"/>
  <c r="AA124" i="8"/>
  <c r="Z144" i="8"/>
  <c r="D143" i="8"/>
  <c r="N140" i="8"/>
  <c r="X137" i="8"/>
  <c r="Z136" i="8"/>
  <c r="AA133" i="8"/>
  <c r="I130" i="8"/>
  <c r="D135" i="8"/>
  <c r="N132" i="8"/>
  <c r="Z124" i="8"/>
  <c r="X123" i="8"/>
  <c r="D123" i="8"/>
  <c r="Z147" i="8"/>
  <c r="X144" i="8"/>
  <c r="Z143" i="8"/>
  <c r="AB142" i="8"/>
  <c r="D142" i="8"/>
  <c r="N139" i="8"/>
  <c r="N137" i="8"/>
  <c r="P136" i="8"/>
  <c r="X134" i="8"/>
  <c r="Z133" i="8"/>
  <c r="AB132" i="8"/>
  <c r="D132" i="8"/>
  <c r="N129" i="8"/>
  <c r="P128" i="8"/>
  <c r="X126" i="8"/>
  <c r="Z125" i="8"/>
  <c r="AB124" i="8"/>
  <c r="D124" i="8"/>
  <c r="R123" i="8"/>
  <c r="G132" i="8"/>
  <c r="AB127" i="8"/>
  <c r="AA123" i="8"/>
  <c r="AA127" i="8"/>
  <c r="AA130" i="8"/>
  <c r="D146" i="8"/>
  <c r="X142" i="8"/>
  <c r="D140" i="8"/>
  <c r="D138" i="8"/>
  <c r="X132" i="8"/>
  <c r="D130" i="8"/>
  <c r="X124" i="8"/>
  <c r="I149" i="8"/>
  <c r="I131" i="8"/>
  <c r="X147" i="8"/>
  <c r="Z146" i="8"/>
  <c r="I148" i="8"/>
  <c r="AA145" i="8"/>
  <c r="I142" i="8"/>
  <c r="N145" i="8"/>
  <c r="AA146" i="8"/>
  <c r="AA144" i="8"/>
  <c r="AA140" i="8"/>
  <c r="AA138" i="8"/>
  <c r="AA136" i="8"/>
  <c r="AA132" i="8"/>
  <c r="I129" i="8"/>
  <c r="G126" i="8"/>
  <c r="I125" i="8"/>
  <c r="O124" i="8"/>
  <c r="N144" i="8"/>
  <c r="X141" i="8"/>
  <c r="Z140" i="8"/>
  <c r="D139" i="8"/>
  <c r="I146" i="8"/>
  <c r="AA141" i="8"/>
  <c r="O137" i="8"/>
  <c r="G135" i="8"/>
  <c r="I134" i="8"/>
  <c r="O133" i="8"/>
  <c r="AA129" i="8"/>
  <c r="S125" i="8"/>
  <c r="S132" i="8"/>
  <c r="N136" i="8"/>
  <c r="P135" i="8"/>
  <c r="X133" i="8"/>
  <c r="Z132" i="8"/>
  <c r="AB131" i="8"/>
  <c r="D131" i="8"/>
  <c r="AB129" i="8"/>
  <c r="D129" i="8"/>
  <c r="Z126" i="8"/>
  <c r="P125" i="8"/>
  <c r="AB123" i="8"/>
  <c r="P123" i="8"/>
  <c r="G127" i="8"/>
  <c r="N143" i="8"/>
  <c r="P142" i="8"/>
  <c r="X140" i="8"/>
  <c r="Z139" i="8"/>
  <c r="X138" i="8"/>
  <c r="Z137" i="8"/>
  <c r="AB136" i="8"/>
  <c r="D136" i="8"/>
  <c r="N133" i="8"/>
  <c r="P132" i="8"/>
  <c r="Z129" i="8"/>
  <c r="AB128" i="8"/>
  <c r="F127" i="8"/>
  <c r="N125" i="8"/>
  <c r="G142" i="8"/>
  <c r="O130" i="8"/>
  <c r="AB138" i="8"/>
  <c r="AA128" i="7"/>
  <c r="X157" i="7"/>
  <c r="E168" i="7"/>
  <c r="P168" i="7"/>
  <c r="Y166" i="7"/>
  <c r="AA144" i="7"/>
  <c r="Y150" i="7"/>
  <c r="AB167" i="7"/>
  <c r="Q153" i="7"/>
  <c r="X167" i="7"/>
  <c r="X151" i="7"/>
  <c r="P133" i="7"/>
  <c r="P152" i="7"/>
  <c r="G164" i="7"/>
  <c r="AB159" i="7"/>
  <c r="P125" i="7"/>
  <c r="P157" i="7"/>
  <c r="E151" i="7"/>
  <c r="X159" i="7"/>
  <c r="Y160" i="7"/>
  <c r="AA155" i="7"/>
  <c r="AA138" i="7"/>
  <c r="AA145" i="7"/>
  <c r="G155" i="7"/>
  <c r="G152" i="7"/>
  <c r="AC168" i="7"/>
  <c r="AA165" i="7"/>
  <c r="AA159" i="7"/>
  <c r="AC152" i="7"/>
  <c r="P137" i="7"/>
  <c r="AA149" i="7"/>
  <c r="P126" i="7"/>
  <c r="P154" i="7"/>
  <c r="P163" i="7"/>
  <c r="D155" i="7"/>
  <c r="H156" i="7"/>
  <c r="H166" i="7"/>
  <c r="Y168" i="7"/>
  <c r="AA163" i="7"/>
  <c r="Y158" i="7"/>
  <c r="AA137" i="7"/>
  <c r="P147" i="7"/>
  <c r="P138" i="7"/>
  <c r="Q169" i="7"/>
  <c r="R162" i="7"/>
  <c r="D151" i="7"/>
  <c r="E157" i="7"/>
  <c r="AA167" i="7"/>
  <c r="AA157" i="7"/>
  <c r="Z127" i="7"/>
  <c r="Z169" i="7"/>
  <c r="Z167" i="7"/>
  <c r="Z165" i="7"/>
  <c r="Z163" i="7"/>
  <c r="Z161" i="7"/>
  <c r="Z159" i="7"/>
  <c r="Z157" i="7"/>
  <c r="Z155" i="7"/>
  <c r="Z153" i="7"/>
  <c r="Z151" i="7"/>
  <c r="O158" i="7"/>
  <c r="P158" i="7"/>
  <c r="I167" i="7"/>
  <c r="I159" i="7"/>
  <c r="Z162" i="7"/>
  <c r="Z154" i="7"/>
  <c r="P149" i="7"/>
  <c r="P146" i="7"/>
  <c r="AC124" i="7"/>
  <c r="AC163" i="7"/>
  <c r="AC155" i="7"/>
  <c r="AC151" i="7"/>
  <c r="AC165" i="7"/>
  <c r="AC157" i="7"/>
  <c r="AC167" i="7"/>
  <c r="AC159" i="7"/>
  <c r="AC169" i="7"/>
  <c r="AC161" i="7"/>
  <c r="AC153" i="7"/>
  <c r="P143" i="7"/>
  <c r="P131" i="7"/>
  <c r="AB126" i="7"/>
  <c r="AB168" i="7"/>
  <c r="AB166" i="7"/>
  <c r="AB164" i="7"/>
  <c r="AB162" i="7"/>
  <c r="AB160" i="7"/>
  <c r="AB158" i="7"/>
  <c r="AB156" i="7"/>
  <c r="AB154" i="7"/>
  <c r="AB152" i="7"/>
  <c r="AB150" i="7"/>
  <c r="P132" i="7"/>
  <c r="P160" i="7"/>
  <c r="P169" i="7"/>
  <c r="P155" i="7"/>
  <c r="G163" i="7"/>
  <c r="G153" i="7"/>
  <c r="E167" i="7"/>
  <c r="E163" i="7"/>
  <c r="E159" i="7"/>
  <c r="E155" i="7"/>
  <c r="AB169" i="7"/>
  <c r="Z164" i="7"/>
  <c r="AB161" i="7"/>
  <c r="Z156" i="7"/>
  <c r="AB153" i="7"/>
  <c r="AC162" i="7"/>
  <c r="AC154" i="7"/>
  <c r="P145" i="7"/>
  <c r="P142" i="7"/>
  <c r="Y142" i="7"/>
  <c r="Y169" i="7"/>
  <c r="Y161" i="7"/>
  <c r="Y153" i="7"/>
  <c r="Y163" i="7"/>
  <c r="Y155" i="7"/>
  <c r="Y165" i="7"/>
  <c r="Y157" i="7"/>
  <c r="Y151" i="7"/>
  <c r="Y167" i="7"/>
  <c r="Y159" i="7"/>
  <c r="P123" i="7"/>
  <c r="P139" i="7"/>
  <c r="P129" i="7"/>
  <c r="X127" i="7"/>
  <c r="X168" i="7"/>
  <c r="X166" i="7"/>
  <c r="X164" i="7"/>
  <c r="X162" i="7"/>
  <c r="X160" i="7"/>
  <c r="X158" i="7"/>
  <c r="X156" i="7"/>
  <c r="X154" i="7"/>
  <c r="X150" i="7"/>
  <c r="X152" i="7"/>
  <c r="P148" i="7"/>
  <c r="P128" i="7"/>
  <c r="P136" i="7"/>
  <c r="P134" i="7"/>
  <c r="P150" i="7"/>
  <c r="O164" i="7"/>
  <c r="P164" i="7"/>
  <c r="P167" i="7"/>
  <c r="P161" i="7"/>
  <c r="P153" i="7"/>
  <c r="G161" i="7"/>
  <c r="G151" i="7"/>
  <c r="I165" i="7"/>
  <c r="G162" i="7"/>
  <c r="G156" i="7"/>
  <c r="G168" i="7"/>
  <c r="I153" i="7"/>
  <c r="X169" i="7"/>
  <c r="Z166" i="7"/>
  <c r="AB163" i="7"/>
  <c r="X161" i="7"/>
  <c r="Z158" i="7"/>
  <c r="AB155" i="7"/>
  <c r="X153" i="7"/>
  <c r="Z150" i="7"/>
  <c r="AC164" i="7"/>
  <c r="Y162" i="7"/>
  <c r="AC156" i="7"/>
  <c r="Y154" i="7"/>
  <c r="I141" i="7"/>
  <c r="P141" i="7"/>
  <c r="P135" i="7"/>
  <c r="P127" i="7"/>
  <c r="P140" i="7"/>
  <c r="P124" i="7"/>
  <c r="P130" i="7"/>
  <c r="AA133" i="7"/>
  <c r="AA166" i="7"/>
  <c r="AA158" i="7"/>
  <c r="AA150" i="7"/>
  <c r="AA168" i="7"/>
  <c r="AA160" i="7"/>
  <c r="AA162" i="7"/>
  <c r="AA154" i="7"/>
  <c r="AA152" i="7"/>
  <c r="AA164" i="7"/>
  <c r="AA156" i="7"/>
  <c r="P162" i="7"/>
  <c r="O162" i="7"/>
  <c r="P156" i="7"/>
  <c r="P165" i="7"/>
  <c r="P159" i="7"/>
  <c r="P151" i="7"/>
  <c r="I168" i="7"/>
  <c r="G159" i="7"/>
  <c r="E169" i="7"/>
  <c r="E165" i="7"/>
  <c r="G160" i="7"/>
  <c r="Z168" i="7"/>
  <c r="AB165" i="7"/>
  <c r="X163" i="7"/>
  <c r="Z160" i="7"/>
  <c r="AB157" i="7"/>
  <c r="X155" i="7"/>
  <c r="Z152" i="7"/>
  <c r="AA169" i="7"/>
  <c r="AC166" i="7"/>
  <c r="Y164" i="7"/>
  <c r="AA161" i="7"/>
  <c r="AC158" i="7"/>
  <c r="Y156" i="7"/>
  <c r="AA153" i="7"/>
  <c r="AC150" i="7"/>
  <c r="F125" i="7"/>
  <c r="F166" i="7"/>
  <c r="F164" i="7"/>
  <c r="F162" i="7"/>
  <c r="F160" i="7"/>
  <c r="F158" i="7"/>
  <c r="F156" i="7"/>
  <c r="F154" i="7"/>
  <c r="F152" i="7"/>
  <c r="F150" i="7"/>
  <c r="F168" i="7"/>
  <c r="F165" i="7"/>
  <c r="F151" i="7"/>
  <c r="H146" i="7"/>
  <c r="H169" i="7"/>
  <c r="H167" i="7"/>
  <c r="H165" i="7"/>
  <c r="H163" i="7"/>
  <c r="H161" i="7"/>
  <c r="H159" i="7"/>
  <c r="D134" i="7"/>
  <c r="D169" i="7"/>
  <c r="D167" i="7"/>
  <c r="D166" i="7"/>
  <c r="D165" i="7"/>
  <c r="D164" i="7"/>
  <c r="D163" i="7"/>
  <c r="D162" i="7"/>
  <c r="D161" i="7"/>
  <c r="D160" i="7"/>
  <c r="D159" i="7"/>
  <c r="Q167" i="7"/>
  <c r="S156" i="7"/>
  <c r="Q151" i="7"/>
  <c r="R156" i="7"/>
  <c r="N152" i="7"/>
  <c r="H157" i="7"/>
  <c r="H153" i="7"/>
  <c r="D168" i="7"/>
  <c r="F163" i="7"/>
  <c r="H158" i="7"/>
  <c r="D156" i="7"/>
  <c r="F153" i="7"/>
  <c r="H150" i="7"/>
  <c r="H164" i="7"/>
  <c r="I130" i="7"/>
  <c r="I166" i="7"/>
  <c r="I164" i="7"/>
  <c r="I162" i="7"/>
  <c r="I160" i="7"/>
  <c r="I158" i="7"/>
  <c r="I156" i="7"/>
  <c r="I154" i="7"/>
  <c r="I152" i="7"/>
  <c r="I150" i="7"/>
  <c r="O166" i="7"/>
  <c r="Q161" i="7"/>
  <c r="O156" i="7"/>
  <c r="O150" i="7"/>
  <c r="R164" i="7"/>
  <c r="N160" i="7"/>
  <c r="D157" i="7"/>
  <c r="D153" i="7"/>
  <c r="F167" i="7"/>
  <c r="F161" i="7"/>
  <c r="D158" i="7"/>
  <c r="F155" i="7"/>
  <c r="H152" i="7"/>
  <c r="D150" i="7"/>
  <c r="I161" i="7"/>
  <c r="H162" i="7"/>
  <c r="E140" i="7"/>
  <c r="E166" i="7"/>
  <c r="E164" i="7"/>
  <c r="E162" i="7"/>
  <c r="E160" i="7"/>
  <c r="E150" i="7"/>
  <c r="E158" i="7"/>
  <c r="E156" i="7"/>
  <c r="E154" i="7"/>
  <c r="E152" i="7"/>
  <c r="G125" i="7"/>
  <c r="G169" i="7"/>
  <c r="G167" i="7"/>
  <c r="AA131" i="7"/>
  <c r="H155" i="7"/>
  <c r="H151" i="7"/>
  <c r="G165" i="7"/>
  <c r="G157" i="7"/>
  <c r="F169" i="7"/>
  <c r="P166" i="7"/>
  <c r="F159" i="7"/>
  <c r="F157" i="7"/>
  <c r="H154" i="7"/>
  <c r="D152" i="7"/>
  <c r="I169" i="7"/>
  <c r="G166" i="7"/>
  <c r="I163" i="7"/>
  <c r="E161" i="7"/>
  <c r="G158" i="7"/>
  <c r="G150" i="7"/>
  <c r="H160" i="7"/>
  <c r="I155" i="7"/>
  <c r="I151" i="7"/>
  <c r="S127" i="7"/>
  <c r="S169" i="7"/>
  <c r="S167" i="7"/>
  <c r="S165" i="7"/>
  <c r="S163" i="7"/>
  <c r="S161" i="7"/>
  <c r="S159" i="7"/>
  <c r="S157" i="7"/>
  <c r="S155" i="7"/>
  <c r="S153" i="7"/>
  <c r="S151" i="7"/>
  <c r="N131" i="7"/>
  <c r="N163" i="7"/>
  <c r="N155" i="7"/>
  <c r="N153" i="7"/>
  <c r="N165" i="7"/>
  <c r="N157" i="7"/>
  <c r="N167" i="7"/>
  <c r="N159" i="7"/>
  <c r="N151" i="7"/>
  <c r="N169" i="7"/>
  <c r="N161" i="7"/>
  <c r="S166" i="7"/>
  <c r="S158" i="7"/>
  <c r="S150" i="7"/>
  <c r="N162" i="7"/>
  <c r="N154" i="7"/>
  <c r="R129" i="7"/>
  <c r="R165" i="7"/>
  <c r="R157" i="7"/>
  <c r="R151" i="7"/>
  <c r="R167" i="7"/>
  <c r="R159" i="7"/>
  <c r="R169" i="7"/>
  <c r="R161" i="7"/>
  <c r="R153" i="7"/>
  <c r="R163" i="7"/>
  <c r="R155" i="7"/>
  <c r="Q132" i="7"/>
  <c r="Q168" i="7"/>
  <c r="Q166" i="7"/>
  <c r="Q164" i="7"/>
  <c r="Q162" i="7"/>
  <c r="Q160" i="7"/>
  <c r="Q158" i="7"/>
  <c r="Q156" i="7"/>
  <c r="Q154" i="7"/>
  <c r="Q152" i="7"/>
  <c r="Q150" i="7"/>
  <c r="S168" i="7"/>
  <c r="Q163" i="7"/>
  <c r="S160" i="7"/>
  <c r="Q155" i="7"/>
  <c r="S152" i="7"/>
  <c r="R166" i="7"/>
  <c r="N164" i="7"/>
  <c r="R158" i="7"/>
  <c r="N156" i="7"/>
  <c r="R150" i="7"/>
  <c r="O139" i="7"/>
  <c r="O169" i="7"/>
  <c r="O167" i="7"/>
  <c r="O165" i="7"/>
  <c r="O163" i="7"/>
  <c r="O161" i="7"/>
  <c r="O159" i="7"/>
  <c r="O157" i="7"/>
  <c r="O155" i="7"/>
  <c r="O151" i="7"/>
  <c r="O153" i="7"/>
  <c r="O168" i="7"/>
  <c r="Q165" i="7"/>
  <c r="S162" i="7"/>
  <c r="O160" i="7"/>
  <c r="Q157" i="7"/>
  <c r="S154" i="7"/>
  <c r="O152" i="7"/>
  <c r="R168" i="7"/>
  <c r="N166" i="7"/>
  <c r="R160" i="7"/>
  <c r="N158" i="7"/>
  <c r="R152" i="7"/>
  <c r="N150" i="7"/>
  <c r="AA142" i="7"/>
  <c r="AA136" i="7"/>
  <c r="AA134" i="7"/>
  <c r="AA126" i="7"/>
  <c r="AA147" i="7"/>
  <c r="AA129" i="7"/>
  <c r="AA143" i="7"/>
  <c r="AA125" i="7"/>
  <c r="AA148" i="7"/>
  <c r="AA132" i="7"/>
  <c r="AA124" i="7"/>
  <c r="AA141" i="7"/>
  <c r="AA127" i="7"/>
  <c r="AA135" i="7"/>
  <c r="AA146" i="7"/>
  <c r="AA140" i="7"/>
  <c r="AA130" i="7"/>
  <c r="AA139" i="7"/>
  <c r="AA123" i="7"/>
  <c r="I135" i="7"/>
  <c r="I145" i="7"/>
  <c r="I149" i="7"/>
  <c r="I139" i="7"/>
  <c r="I133" i="7"/>
  <c r="S128" i="7"/>
  <c r="Z148" i="7"/>
  <c r="Z132" i="7"/>
  <c r="Z139" i="7"/>
  <c r="Z129" i="7"/>
  <c r="D135" i="7"/>
  <c r="Z124" i="7"/>
  <c r="Z143" i="7"/>
  <c r="D143" i="7"/>
  <c r="Z128" i="7"/>
  <c r="N123" i="7"/>
  <c r="R148" i="7"/>
  <c r="R136" i="7"/>
  <c r="I127" i="7"/>
  <c r="N148" i="7"/>
  <c r="O130" i="7"/>
  <c r="N147" i="7"/>
  <c r="I129" i="7"/>
  <c r="O137" i="7"/>
  <c r="O127" i="7"/>
  <c r="N132" i="7"/>
  <c r="Z137" i="7"/>
  <c r="O134" i="7"/>
  <c r="N138" i="7"/>
  <c r="O133" i="7"/>
  <c r="G131" i="7"/>
  <c r="G127" i="7"/>
  <c r="AB147" i="7"/>
  <c r="AB138" i="7"/>
  <c r="F136" i="7"/>
  <c r="E145" i="7"/>
  <c r="N142" i="7"/>
  <c r="N143" i="7"/>
  <c r="S143" i="7"/>
  <c r="AB135" i="7"/>
  <c r="F124" i="7"/>
  <c r="F131" i="7"/>
  <c r="X145" i="7"/>
  <c r="O146" i="7"/>
  <c r="S140" i="7"/>
  <c r="AC135" i="7"/>
  <c r="Z138" i="7"/>
  <c r="Z144" i="7"/>
  <c r="Z134" i="7"/>
  <c r="Z145" i="7"/>
  <c r="Z133" i="7"/>
  <c r="O142" i="7"/>
  <c r="Y135" i="7"/>
  <c r="X140" i="7"/>
  <c r="AC131" i="7"/>
  <c r="I146" i="7"/>
  <c r="O125" i="7"/>
  <c r="Z130" i="7"/>
  <c r="Z126" i="7"/>
  <c r="Z125" i="7"/>
  <c r="X134" i="7"/>
  <c r="R127" i="7"/>
  <c r="AC139" i="7"/>
  <c r="AC137" i="7"/>
  <c r="X147" i="7"/>
  <c r="R144" i="7"/>
  <c r="R149" i="7"/>
  <c r="E133" i="7"/>
  <c r="R142" i="7"/>
  <c r="X137" i="7"/>
  <c r="R130" i="7"/>
  <c r="AC138" i="7"/>
  <c r="AC145" i="7"/>
  <c r="G144" i="7"/>
  <c r="Y139" i="7"/>
  <c r="Z146" i="7"/>
  <c r="X143" i="7"/>
  <c r="R140" i="7"/>
  <c r="X148" i="7"/>
  <c r="R145" i="7"/>
  <c r="N139" i="7"/>
  <c r="AC127" i="7"/>
  <c r="AC125" i="7"/>
  <c r="G149" i="7"/>
  <c r="N144" i="7"/>
  <c r="Z140" i="7"/>
  <c r="Z136" i="7"/>
  <c r="X135" i="7"/>
  <c r="N134" i="7"/>
  <c r="X131" i="7"/>
  <c r="N130" i="7"/>
  <c r="N128" i="7"/>
  <c r="N126" i="7"/>
  <c r="AC148" i="7"/>
  <c r="N141" i="7"/>
  <c r="Z135" i="7"/>
  <c r="N133" i="7"/>
  <c r="N129" i="7"/>
  <c r="N125" i="7"/>
  <c r="Z123" i="7"/>
  <c r="R133" i="7"/>
  <c r="AC132" i="3"/>
  <c r="AC147" i="7"/>
  <c r="AC143" i="7"/>
  <c r="G136" i="7"/>
  <c r="N146" i="7"/>
  <c r="Z142" i="7"/>
  <c r="X139" i="7"/>
  <c r="D137" i="7"/>
  <c r="Z147" i="7"/>
  <c r="X144" i="7"/>
  <c r="R141" i="7"/>
  <c r="AC133" i="7"/>
  <c r="G132" i="7"/>
  <c r="Y127" i="7"/>
  <c r="AC140" i="7"/>
  <c r="X149" i="7"/>
  <c r="N140" i="7"/>
  <c r="N136" i="7"/>
  <c r="X129" i="7"/>
  <c r="F126" i="7"/>
  <c r="N149" i="7"/>
  <c r="N135" i="7"/>
  <c r="R123" i="7"/>
  <c r="Y148" i="7"/>
  <c r="O141" i="7"/>
  <c r="F139" i="7"/>
  <c r="F129" i="7"/>
  <c r="F123" i="7"/>
  <c r="Y147" i="7"/>
  <c r="Y141" i="7"/>
  <c r="Y137" i="7"/>
  <c r="F140" i="7"/>
  <c r="H144" i="7"/>
  <c r="Y123" i="7"/>
  <c r="Y131" i="7"/>
  <c r="Y125" i="7"/>
  <c r="O124" i="7"/>
  <c r="O143" i="7"/>
  <c r="Y132" i="7"/>
  <c r="Y124" i="7"/>
  <c r="H137" i="7"/>
  <c r="H133" i="7"/>
  <c r="F132" i="7"/>
  <c r="F128" i="7"/>
  <c r="D127" i="7"/>
  <c r="F127" i="7"/>
  <c r="D130" i="7"/>
  <c r="F133" i="7"/>
  <c r="Y149" i="7"/>
  <c r="S148" i="7"/>
  <c r="I147" i="7"/>
  <c r="Y145" i="7"/>
  <c r="O144" i="7"/>
  <c r="I143" i="7"/>
  <c r="Q141" i="7"/>
  <c r="O140" i="7"/>
  <c r="I137" i="7"/>
  <c r="AB137" i="7"/>
  <c r="Y133" i="7"/>
  <c r="O132" i="7"/>
  <c r="I131" i="7"/>
  <c r="Q129" i="7"/>
  <c r="O128" i="7"/>
  <c r="I125" i="7"/>
  <c r="AC123" i="7"/>
  <c r="I123" i="7"/>
  <c r="O149" i="7"/>
  <c r="O147" i="7"/>
  <c r="AC144" i="7"/>
  <c r="I142" i="7"/>
  <c r="S139" i="7"/>
  <c r="O135" i="7"/>
  <c r="I132" i="7"/>
  <c r="Y128" i="7"/>
  <c r="Y126" i="7"/>
  <c r="I124" i="7"/>
  <c r="R146" i="7"/>
  <c r="F142" i="7"/>
  <c r="D139" i="7"/>
  <c r="D133" i="7"/>
  <c r="D129" i="7"/>
  <c r="AB127" i="7"/>
  <c r="D125" i="7"/>
  <c r="I136" i="7"/>
  <c r="O131" i="7"/>
  <c r="F147" i="7"/>
  <c r="F143" i="7"/>
  <c r="D136" i="7"/>
  <c r="Y143" i="7"/>
  <c r="O136" i="7"/>
  <c r="F148" i="7"/>
  <c r="F144" i="7"/>
  <c r="H148" i="7"/>
  <c r="D146" i="7"/>
  <c r="D142" i="7"/>
  <c r="H140" i="7"/>
  <c r="Y129" i="7"/>
  <c r="O145" i="7"/>
  <c r="Y136" i="7"/>
  <c r="O129" i="7"/>
  <c r="O123" i="7"/>
  <c r="Q149" i="7"/>
  <c r="O148" i="7"/>
  <c r="O138" i="7"/>
  <c r="E137" i="7"/>
  <c r="D149" i="7"/>
  <c r="H147" i="7"/>
  <c r="D145" i="7"/>
  <c r="H143" i="7"/>
  <c r="D141" i="7"/>
  <c r="H139" i="7"/>
  <c r="F149" i="7"/>
  <c r="F145" i="7"/>
  <c r="F141" i="7"/>
  <c r="O126" i="7"/>
  <c r="E125" i="7"/>
  <c r="Y146" i="7"/>
  <c r="Y144" i="7"/>
  <c r="I134" i="7"/>
  <c r="S125" i="7"/>
  <c r="F146" i="7"/>
  <c r="F138" i="7"/>
  <c r="F134" i="7"/>
  <c r="F130" i="7"/>
  <c r="H123" i="7"/>
  <c r="AC128" i="7"/>
  <c r="F137" i="7"/>
  <c r="F135" i="7"/>
  <c r="H138" i="7"/>
  <c r="D124" i="7"/>
  <c r="E147" i="7"/>
  <c r="G146" i="7"/>
  <c r="Q143" i="7"/>
  <c r="S142" i="7"/>
  <c r="E139" i="7"/>
  <c r="G138" i="7"/>
  <c r="Q135" i="7"/>
  <c r="AB141" i="7"/>
  <c r="AB142" i="7"/>
  <c r="E135" i="7"/>
  <c r="G134" i="7"/>
  <c r="Q131" i="7"/>
  <c r="S130" i="7"/>
  <c r="E127" i="7"/>
  <c r="G126" i="7"/>
  <c r="G124" i="7"/>
  <c r="Q123" i="7"/>
  <c r="E123" i="7"/>
  <c r="E148" i="7"/>
  <c r="E144" i="7"/>
  <c r="Q142" i="7"/>
  <c r="G141" i="7"/>
  <c r="Q138" i="7"/>
  <c r="G137" i="7"/>
  <c r="S135" i="7"/>
  <c r="AC132" i="7"/>
  <c r="S131" i="7"/>
  <c r="E130" i="7"/>
  <c r="E126" i="7"/>
  <c r="H141" i="7"/>
  <c r="H135" i="7"/>
  <c r="R132" i="7"/>
  <c r="AB129" i="7"/>
  <c r="H127" i="7"/>
  <c r="X142" i="7"/>
  <c r="X132" i="7"/>
  <c r="S149" i="7"/>
  <c r="G147" i="7"/>
  <c r="Q144" i="7"/>
  <c r="E142" i="7"/>
  <c r="AC136" i="7"/>
  <c r="Q134" i="7"/>
  <c r="S129" i="7"/>
  <c r="AC126" i="7"/>
  <c r="Q124" i="7"/>
  <c r="H142" i="7"/>
  <c r="X138" i="7"/>
  <c r="R137" i="7"/>
  <c r="H136" i="7"/>
  <c r="R131" i="7"/>
  <c r="D128" i="7"/>
  <c r="H126" i="7"/>
  <c r="X124" i="7"/>
  <c r="E124" i="7"/>
  <c r="H128" i="7"/>
  <c r="AB124" i="7"/>
  <c r="E138" i="7"/>
  <c r="E134" i="7"/>
  <c r="S146" i="7"/>
  <c r="S138" i="7"/>
  <c r="S134" i="7"/>
  <c r="Q127" i="7"/>
  <c r="S126" i="7"/>
  <c r="E146" i="7"/>
  <c r="Q140" i="7"/>
  <c r="G139" i="7"/>
  <c r="Q136" i="7"/>
  <c r="AC134" i="7"/>
  <c r="S133" i="7"/>
  <c r="AC130" i="7"/>
  <c r="E128" i="7"/>
  <c r="G123" i="7"/>
  <c r="H149" i="7"/>
  <c r="AB143" i="7"/>
  <c r="R138" i="7"/>
  <c r="AB133" i="7"/>
  <c r="H131" i="7"/>
  <c r="R128" i="7"/>
  <c r="AB125" i="7"/>
  <c r="AB123" i="7"/>
  <c r="D148" i="7"/>
  <c r="D140" i="7"/>
  <c r="I148" i="7"/>
  <c r="G143" i="7"/>
  <c r="Y140" i="7"/>
  <c r="I138" i="7"/>
  <c r="G133" i="7"/>
  <c r="Y130" i="7"/>
  <c r="I128" i="7"/>
  <c r="S123" i="7"/>
  <c r="R147" i="7"/>
  <c r="D144" i="7"/>
  <c r="D138" i="7"/>
  <c r="AB136" i="7"/>
  <c r="H134" i="7"/>
  <c r="X130" i="7"/>
  <c r="AB128" i="7"/>
  <c r="H124" i="7"/>
  <c r="R135" i="7"/>
  <c r="H132" i="7"/>
  <c r="S124" i="7"/>
  <c r="Q128" i="7"/>
  <c r="AB140" i="7"/>
  <c r="AB130" i="7"/>
  <c r="AB148" i="7"/>
  <c r="Q146" i="7"/>
  <c r="Q126" i="7"/>
  <c r="AB144" i="7"/>
  <c r="AB132" i="7"/>
  <c r="Q147" i="7"/>
  <c r="E143" i="7"/>
  <c r="G142" i="7"/>
  <c r="Q139" i="7"/>
  <c r="AB149" i="7"/>
  <c r="E131" i="7"/>
  <c r="G130" i="7"/>
  <c r="AC149" i="7"/>
  <c r="E149" i="7"/>
  <c r="G148" i="7"/>
  <c r="Q145" i="7"/>
  <c r="S144" i="7"/>
  <c r="AC141" i="7"/>
  <c r="E141" i="7"/>
  <c r="G140" i="7"/>
  <c r="Q137" i="7"/>
  <c r="S136" i="7"/>
  <c r="AB145" i="7"/>
  <c r="AB146" i="7"/>
  <c r="R125" i="7"/>
  <c r="R143" i="7"/>
  <c r="Q133" i="7"/>
  <c r="S132" i="7"/>
  <c r="AC129" i="7"/>
  <c r="E129" i="7"/>
  <c r="G128" i="7"/>
  <c r="Q125" i="7"/>
  <c r="Q148" i="7"/>
  <c r="AC146" i="7"/>
  <c r="S145" i="7"/>
  <c r="I144" i="7"/>
  <c r="AC142" i="7"/>
  <c r="S141" i="7"/>
  <c r="I140" i="7"/>
  <c r="Y138" i="7"/>
  <c r="E136" i="7"/>
  <c r="Y134" i="7"/>
  <c r="E132" i="7"/>
  <c r="Q130" i="7"/>
  <c r="G129" i="7"/>
  <c r="I126" i="7"/>
  <c r="D147" i="7"/>
  <c r="H145" i="7"/>
  <c r="X141" i="7"/>
  <c r="AB139" i="7"/>
  <c r="R134" i="7"/>
  <c r="X133" i="7"/>
  <c r="AB131" i="7"/>
  <c r="D131" i="7"/>
  <c r="H129" i="7"/>
  <c r="R126" i="7"/>
  <c r="X125" i="7"/>
  <c r="R124" i="7"/>
  <c r="X123" i="7"/>
  <c r="D123" i="7"/>
  <c r="S147" i="7"/>
  <c r="G145" i="7"/>
  <c r="S137" i="7"/>
  <c r="G135" i="7"/>
  <c r="X146" i="7"/>
  <c r="R139" i="7"/>
  <c r="X136" i="7"/>
  <c r="D132" i="7"/>
  <c r="H130" i="7"/>
  <c r="X126" i="7"/>
  <c r="Z149" i="7"/>
  <c r="Z141" i="7"/>
  <c r="N137" i="7"/>
  <c r="N127" i="7"/>
  <c r="N145" i="7"/>
  <c r="N124" i="7"/>
  <c r="AB134" i="7"/>
  <c r="Z131" i="7"/>
  <c r="X128" i="7"/>
  <c r="D126" i="7"/>
  <c r="H125" i="7"/>
  <c r="P126" i="3"/>
  <c r="P124" i="3"/>
  <c r="N127" i="3"/>
  <c r="N133" i="3"/>
  <c r="N132" i="3"/>
  <c r="Q135" i="3"/>
  <c r="R139" i="3"/>
  <c r="R138" i="3"/>
  <c r="AB138" i="3"/>
  <c r="R141" i="3"/>
  <c r="R134" i="3"/>
  <c r="R140" i="3"/>
  <c r="N129" i="3"/>
  <c r="N137" i="3"/>
  <c r="N143" i="3"/>
  <c r="R126" i="3"/>
  <c r="R128" i="3"/>
  <c r="AB126" i="3"/>
  <c r="Y134" i="3"/>
  <c r="AB132" i="3"/>
  <c r="AA129" i="3"/>
  <c r="R123" i="3"/>
  <c r="R133" i="3"/>
  <c r="AB142" i="3"/>
  <c r="AB128" i="3"/>
  <c r="N131" i="3"/>
  <c r="R137" i="3"/>
  <c r="R143" i="3"/>
  <c r="N128" i="3"/>
  <c r="R124" i="3"/>
  <c r="AB130" i="3"/>
  <c r="Y124" i="3"/>
  <c r="AA143" i="3"/>
  <c r="AB124" i="3"/>
  <c r="Y136" i="3"/>
  <c r="Q129" i="3"/>
  <c r="Q141" i="3"/>
  <c r="Q123" i="3"/>
  <c r="Q131" i="3"/>
  <c r="X128" i="3"/>
  <c r="X140" i="3"/>
  <c r="Q143" i="3"/>
  <c r="Y138" i="3"/>
  <c r="AB136" i="3"/>
  <c r="Y140" i="3"/>
  <c r="R125" i="3"/>
  <c r="R129" i="3"/>
  <c r="R135" i="3"/>
  <c r="N141" i="3"/>
  <c r="N136" i="3"/>
  <c r="R142" i="3"/>
  <c r="R136" i="3"/>
  <c r="AA139" i="3"/>
  <c r="X124" i="3"/>
  <c r="X126" i="3"/>
  <c r="Y126" i="3"/>
  <c r="S140" i="3"/>
  <c r="AC125" i="3"/>
  <c r="AC129" i="3"/>
  <c r="AC137" i="3"/>
  <c r="AC123" i="3"/>
  <c r="AC127" i="3"/>
  <c r="AC131" i="3"/>
  <c r="AC135" i="3"/>
  <c r="AC139" i="3"/>
  <c r="AC143" i="3"/>
  <c r="AC133" i="3"/>
  <c r="AC141" i="3"/>
  <c r="AC134" i="3"/>
  <c r="Z123" i="3"/>
  <c r="AC128" i="3"/>
  <c r="X125" i="3"/>
  <c r="X129" i="3"/>
  <c r="X133" i="3"/>
  <c r="X137" i="3"/>
  <c r="X141" i="3"/>
  <c r="X123" i="3"/>
  <c r="X131" i="3"/>
  <c r="X139" i="3"/>
  <c r="X127" i="3"/>
  <c r="X135" i="3"/>
  <c r="X143" i="3"/>
  <c r="Z127" i="3"/>
  <c r="X138" i="3"/>
  <c r="AC130" i="3"/>
  <c r="AA141" i="3"/>
  <c r="P134" i="3"/>
  <c r="S142" i="3"/>
  <c r="S134" i="3"/>
  <c r="Z125" i="3"/>
  <c r="Z141" i="3"/>
  <c r="N123" i="3"/>
  <c r="N125" i="3"/>
  <c r="R127" i="3"/>
  <c r="R131" i="3"/>
  <c r="N135" i="3"/>
  <c r="N139" i="3"/>
  <c r="N124" i="3"/>
  <c r="N140" i="3"/>
  <c r="S124" i="3"/>
  <c r="S128" i="3"/>
  <c r="Q137" i="3"/>
  <c r="R130" i="3"/>
  <c r="X132" i="3"/>
  <c r="Z137" i="3"/>
  <c r="AA125" i="3"/>
  <c r="AA131" i="3"/>
  <c r="AC136" i="3"/>
  <c r="Y142" i="3"/>
  <c r="AB123" i="3"/>
  <c r="AB127" i="3"/>
  <c r="AB131" i="3"/>
  <c r="AB135" i="3"/>
  <c r="AB139" i="3"/>
  <c r="AB143" i="3"/>
  <c r="AB125" i="3"/>
  <c r="AB133" i="3"/>
  <c r="AB141" i="3"/>
  <c r="AB129" i="3"/>
  <c r="AB137" i="3"/>
  <c r="X130" i="3"/>
  <c r="AB140" i="3"/>
  <c r="AC124" i="3"/>
  <c r="Y128" i="3"/>
  <c r="AA133" i="3"/>
  <c r="AC138" i="3"/>
  <c r="Z126" i="3"/>
  <c r="Z130" i="3"/>
  <c r="Z134" i="3"/>
  <c r="Z138" i="3"/>
  <c r="Z142" i="3"/>
  <c r="Z128" i="3"/>
  <c r="Z136" i="3"/>
  <c r="Z124" i="3"/>
  <c r="Z132" i="3"/>
  <c r="Z140" i="3"/>
  <c r="Z133" i="3"/>
  <c r="Z131" i="3"/>
  <c r="S126" i="3"/>
  <c r="Z129" i="3"/>
  <c r="AA128" i="3"/>
  <c r="AA132" i="3"/>
  <c r="AA140" i="3"/>
  <c r="AA126" i="3"/>
  <c r="AA130" i="3"/>
  <c r="AA134" i="3"/>
  <c r="AA138" i="3"/>
  <c r="AA142" i="3"/>
  <c r="AA124" i="3"/>
  <c r="AA136" i="3"/>
  <c r="Z143" i="3"/>
  <c r="X136" i="3"/>
  <c r="Y123" i="3"/>
  <c r="Y135" i="3"/>
  <c r="Y143" i="3"/>
  <c r="Y125" i="3"/>
  <c r="Y129" i="3"/>
  <c r="Y133" i="3"/>
  <c r="Y137" i="3"/>
  <c r="Y141" i="3"/>
  <c r="Y127" i="3"/>
  <c r="Y131" i="3"/>
  <c r="Y139" i="3"/>
  <c r="Y130" i="3"/>
  <c r="AA135" i="3"/>
  <c r="AC140" i="3"/>
  <c r="N134" i="3"/>
  <c r="N142" i="3"/>
  <c r="N126" i="3"/>
  <c r="X134" i="3"/>
  <c r="Z139" i="3"/>
  <c r="AA123" i="3"/>
  <c r="AA127" i="3"/>
  <c r="Y132" i="3"/>
  <c r="AA137" i="3"/>
  <c r="AC142" i="3"/>
  <c r="N130" i="3"/>
  <c r="O123" i="3"/>
  <c r="O131" i="3"/>
  <c r="O139" i="3"/>
  <c r="O125" i="3"/>
  <c r="O129" i="3"/>
  <c r="O133" i="3"/>
  <c r="O137" i="3"/>
  <c r="O141" i="3"/>
  <c r="O127" i="3"/>
  <c r="O135" i="3"/>
  <c r="O143" i="3"/>
  <c r="O134" i="3"/>
  <c r="P123" i="3"/>
  <c r="P127" i="3"/>
  <c r="P131" i="3"/>
  <c r="P135" i="3"/>
  <c r="P139" i="3"/>
  <c r="P143" i="3"/>
  <c r="P125" i="3"/>
  <c r="P129" i="3"/>
  <c r="P133" i="3"/>
  <c r="P137" i="3"/>
  <c r="P141" i="3"/>
  <c r="O142" i="3"/>
  <c r="P128" i="3"/>
  <c r="P136" i="3"/>
  <c r="O140" i="3"/>
  <c r="Q128" i="3"/>
  <c r="Q136" i="3"/>
  <c r="Q126" i="3"/>
  <c r="Q130" i="3"/>
  <c r="Q134" i="3"/>
  <c r="Q138" i="3"/>
  <c r="Q142" i="3"/>
  <c r="Q124" i="3"/>
  <c r="Q132" i="3"/>
  <c r="Q140" i="3"/>
  <c r="O124" i="3"/>
  <c r="Q125" i="3"/>
  <c r="O128" i="3"/>
  <c r="S130" i="3"/>
  <c r="Q133" i="3"/>
  <c r="S136" i="3"/>
  <c r="Q139" i="3"/>
  <c r="O126" i="3"/>
  <c r="P132" i="3"/>
  <c r="P140" i="3"/>
  <c r="O132" i="3"/>
  <c r="O138" i="3"/>
  <c r="P130" i="3"/>
  <c r="P138" i="3"/>
  <c r="S125" i="3"/>
  <c r="S133" i="3"/>
  <c r="S141" i="3"/>
  <c r="S123" i="3"/>
  <c r="S127" i="3"/>
  <c r="S131" i="3"/>
  <c r="S135" i="3"/>
  <c r="S139" i="3"/>
  <c r="S143" i="3"/>
  <c r="S129" i="3"/>
  <c r="S137" i="3"/>
  <c r="O130" i="3"/>
  <c r="S132" i="3"/>
  <c r="O136" i="3"/>
  <c r="S138" i="3"/>
  <c r="H125" i="3"/>
  <c r="F123" i="3"/>
  <c r="I124" i="3"/>
  <c r="H133" i="3"/>
  <c r="F133" i="3"/>
  <c r="F136" i="3"/>
  <c r="F128" i="3"/>
  <c r="D139" i="3"/>
  <c r="D134" i="3"/>
  <c r="I130" i="3"/>
  <c r="D131" i="3"/>
  <c r="H141" i="3"/>
  <c r="F127" i="3"/>
  <c r="F139" i="3"/>
  <c r="E138" i="3"/>
  <c r="E129" i="3"/>
  <c r="E141" i="3"/>
  <c r="E135" i="3"/>
  <c r="E128" i="3"/>
  <c r="I132" i="3"/>
  <c r="I138" i="3"/>
  <c r="I131" i="3"/>
  <c r="I137" i="3"/>
  <c r="I128" i="3"/>
  <c r="E136" i="3"/>
  <c r="I140" i="3"/>
  <c r="E127" i="3"/>
  <c r="I135" i="3"/>
  <c r="I129" i="3"/>
  <c r="I141" i="3"/>
  <c r="E130" i="3"/>
  <c r="I136" i="3"/>
  <c r="I127" i="3"/>
  <c r="I139" i="3"/>
  <c r="E131" i="3"/>
  <c r="G127" i="3"/>
  <c r="G135" i="3"/>
  <c r="G143" i="3"/>
  <c r="G126" i="3"/>
  <c r="G134" i="3"/>
  <c r="H138" i="3"/>
  <c r="H128" i="3"/>
  <c r="G140" i="3"/>
  <c r="G125" i="3"/>
  <c r="G133" i="3"/>
  <c r="G141" i="3"/>
  <c r="F126" i="3"/>
  <c r="D129" i="3"/>
  <c r="H131" i="3"/>
  <c r="F134" i="3"/>
  <c r="D137" i="3"/>
  <c r="H139" i="3"/>
  <c r="F142" i="3"/>
  <c r="G124" i="3"/>
  <c r="G130" i="3"/>
  <c r="D124" i="3"/>
  <c r="F129" i="3"/>
  <c r="H134" i="3"/>
  <c r="D140" i="3"/>
  <c r="F125" i="3"/>
  <c r="D130" i="3"/>
  <c r="F135" i="3"/>
  <c r="H140" i="3"/>
  <c r="G136" i="3"/>
  <c r="G123" i="3"/>
  <c r="E126" i="3"/>
  <c r="G131" i="3"/>
  <c r="E134" i="3"/>
  <c r="G139" i="3"/>
  <c r="E142" i="3"/>
  <c r="F124" i="3"/>
  <c r="D127" i="3"/>
  <c r="H129" i="3"/>
  <c r="F132" i="3"/>
  <c r="D135" i="3"/>
  <c r="H137" i="3"/>
  <c r="F140" i="3"/>
  <c r="D143" i="3"/>
  <c r="E125" i="3"/>
  <c r="E137" i="3"/>
  <c r="G142" i="3"/>
  <c r="H124" i="3"/>
  <c r="H130" i="3"/>
  <c r="D136" i="3"/>
  <c r="F141" i="3"/>
  <c r="D126" i="3"/>
  <c r="F131" i="3"/>
  <c r="H136" i="3"/>
  <c r="D142" i="3"/>
  <c r="G132" i="3"/>
  <c r="E143" i="3"/>
  <c r="D123" i="3"/>
  <c r="E124" i="3"/>
  <c r="I126" i="3"/>
  <c r="G129" i="3"/>
  <c r="E132" i="3"/>
  <c r="I134" i="3"/>
  <c r="G137" i="3"/>
  <c r="E140" i="3"/>
  <c r="I142" i="3"/>
  <c r="D125" i="3"/>
  <c r="H127" i="3"/>
  <c r="F130" i="3"/>
  <c r="D133" i="3"/>
  <c r="H135" i="3"/>
  <c r="F138" i="3"/>
  <c r="D141" i="3"/>
  <c r="H143" i="3"/>
  <c r="I125" i="3"/>
  <c r="G128" i="3"/>
  <c r="E133" i="3"/>
  <c r="G138" i="3"/>
  <c r="I143" i="3"/>
  <c r="H126" i="3"/>
  <c r="D132" i="3"/>
  <c r="F137" i="3"/>
  <c r="H142" i="3"/>
  <c r="D128" i="3"/>
  <c r="H132" i="3"/>
  <c r="I133" i="3"/>
  <c r="E139" i="3"/>
  <c r="Q177" i="8" l="1"/>
  <c r="Q233" i="8" s="1"/>
  <c r="Q235" i="8" s="1"/>
  <c r="AC177" i="8"/>
  <c r="AC233" i="8" s="1"/>
  <c r="AC235" i="8" s="1"/>
  <c r="E177" i="8"/>
  <c r="E233" i="8" s="1"/>
  <c r="E235" i="8" s="1"/>
  <c r="H177" i="8"/>
  <c r="H233" i="8" s="1"/>
  <c r="H235" i="8" s="1"/>
  <c r="Y177" i="8"/>
  <c r="Y233" i="8" s="1"/>
  <c r="Y235" i="8" s="1"/>
  <c r="Z177" i="8"/>
  <c r="Z233" i="8" s="1"/>
  <c r="Z235" i="8" s="1"/>
  <c r="N177" i="8"/>
  <c r="N233" i="8" s="1"/>
  <c r="N235" i="8" s="1"/>
  <c r="S177" i="8"/>
  <c r="S233" i="8" s="1"/>
  <c r="S235" i="8" s="1"/>
  <c r="R177" i="8"/>
  <c r="R233" i="8" s="1"/>
  <c r="R235" i="8" s="1"/>
  <c r="G177" i="8"/>
  <c r="G233" i="8" s="1"/>
  <c r="G235" i="8" s="1"/>
  <c r="F177" i="8"/>
  <c r="F233" i="8" s="1"/>
  <c r="F235" i="8" s="1"/>
  <c r="AB177" i="8"/>
  <c r="AB233" i="8" s="1"/>
  <c r="AB235" i="8" s="1"/>
  <c r="I177" i="8"/>
  <c r="I233" i="8" s="1"/>
  <c r="I235" i="8" s="1"/>
  <c r="AA177" i="8"/>
  <c r="AA233" i="8" s="1"/>
  <c r="AA235" i="8" s="1"/>
  <c r="D177" i="8"/>
  <c r="D233" i="8" s="1"/>
  <c r="D235" i="8" s="1"/>
  <c r="X177" i="8"/>
  <c r="X233" i="8" s="1"/>
  <c r="X235" i="8" s="1"/>
  <c r="O177" i="8"/>
  <c r="O233" i="8" s="1"/>
  <c r="O235" i="8" s="1"/>
  <c r="P177" i="8"/>
  <c r="P233" i="8" s="1"/>
  <c r="P235" i="8" s="1"/>
  <c r="AB177" i="7"/>
  <c r="AB233" i="7" s="1"/>
  <c r="AB235" i="7" s="1"/>
  <c r="Y177" i="7"/>
  <c r="Y233" i="7" s="1"/>
  <c r="Y235" i="7" s="1"/>
  <c r="Z177" i="7"/>
  <c r="Z233" i="7" s="1"/>
  <c r="Z235" i="7" s="1"/>
  <c r="AA177" i="7"/>
  <c r="X177" i="7"/>
  <c r="X233" i="7" s="1"/>
  <c r="X235" i="7" s="1"/>
  <c r="AC177" i="7"/>
  <c r="AC233" i="7" s="1"/>
  <c r="AC235" i="7" s="1"/>
  <c r="Q177" i="7"/>
  <c r="Q233" i="7" s="1"/>
  <c r="Q235" i="7" s="1"/>
  <c r="O177" i="7"/>
  <c r="O233" i="7" s="1"/>
  <c r="O235" i="7" s="1"/>
  <c r="R177" i="7"/>
  <c r="R233" i="7" s="1"/>
  <c r="R235" i="7" s="1"/>
  <c r="N177" i="7"/>
  <c r="N233" i="7" s="1"/>
  <c r="N235" i="7" s="1"/>
  <c r="P177" i="7"/>
  <c r="S177" i="7"/>
  <c r="S233" i="7" s="1"/>
  <c r="S235" i="7" s="1"/>
  <c r="E177" i="7"/>
  <c r="E233" i="7" s="1"/>
  <c r="E235" i="7" s="1"/>
  <c r="F177" i="7"/>
  <c r="F233" i="7" s="1"/>
  <c r="F235" i="7" s="1"/>
  <c r="G177" i="7"/>
  <c r="G233" i="7" s="1"/>
  <c r="G235" i="7" s="1"/>
  <c r="I177" i="7"/>
  <c r="I233" i="7" s="1"/>
  <c r="I235" i="7" s="1"/>
  <c r="H177" i="7"/>
  <c r="H233" i="7" s="1"/>
  <c r="H235" i="7" s="1"/>
  <c r="D177" i="7"/>
  <c r="D233" i="7" s="1"/>
  <c r="D235" i="7" s="1"/>
  <c r="P233" i="7"/>
  <c r="P235" i="7" s="1"/>
  <c r="AA233" i="7"/>
  <c r="AA235" i="7" s="1"/>
  <c r="N177" i="3"/>
  <c r="N233" i="3" s="1"/>
  <c r="N235" i="3" s="1"/>
  <c r="R177" i="3"/>
  <c r="R233" i="3" s="1"/>
  <c r="R235" i="3" s="1"/>
  <c r="Y177" i="3"/>
  <c r="Y233" i="3" s="1"/>
  <c r="Y235" i="3" s="1"/>
  <c r="X177" i="3"/>
  <c r="X233" i="3" s="1"/>
  <c r="X235" i="3" s="1"/>
  <c r="Q177" i="3"/>
  <c r="Q233" i="3" s="1"/>
  <c r="Q235" i="3" s="1"/>
  <c r="AA177" i="3"/>
  <c r="AA233" i="3" s="1"/>
  <c r="AA235" i="3" s="1"/>
  <c r="AB177" i="3"/>
  <c r="AB233" i="3" s="1"/>
  <c r="AB235" i="3" s="1"/>
  <c r="Z177" i="3"/>
  <c r="Z233" i="3" s="1"/>
  <c r="Z235" i="3" s="1"/>
  <c r="AC177" i="3"/>
  <c r="AC233" i="3" s="1"/>
  <c r="AC235" i="3" s="1"/>
  <c r="S177" i="3"/>
  <c r="S233" i="3" s="1"/>
  <c r="S235" i="3" s="1"/>
  <c r="P177" i="3"/>
  <c r="P233" i="3" s="1"/>
  <c r="P235" i="3" s="1"/>
  <c r="O177" i="3"/>
  <c r="O233" i="3" s="1"/>
  <c r="O235" i="3" s="1"/>
  <c r="H177" i="3"/>
  <c r="H233" i="3" s="1"/>
  <c r="H235" i="3" s="1"/>
  <c r="F177" i="3"/>
  <c r="F233" i="3" s="1"/>
  <c r="F235" i="3" s="1"/>
  <c r="I177" i="3"/>
  <c r="I233" i="3" s="1"/>
  <c r="I235" i="3" s="1"/>
  <c r="E177" i="3"/>
  <c r="E233" i="3" s="1"/>
  <c r="E235" i="3" s="1"/>
  <c r="D177" i="3"/>
  <c r="D233" i="3" s="1"/>
  <c r="D235" i="3" s="1"/>
  <c r="G177" i="3"/>
  <c r="G233" i="3" s="1"/>
  <c r="G235" i="3" s="1"/>
  <c r="D236" i="8" l="1"/>
  <c r="D5" i="9" s="1"/>
  <c r="D121" i="13" s="1"/>
  <c r="X236" i="8"/>
  <c r="D7" i="9" s="1"/>
  <c r="X121" i="13" s="1"/>
  <c r="S236" i="8"/>
  <c r="I6" i="9" s="1"/>
  <c r="S121" i="13" s="1"/>
  <c r="P236" i="8"/>
  <c r="F6" i="9" s="1"/>
  <c r="P121" i="13" s="1"/>
  <c r="H236" i="8"/>
  <c r="H5" i="9" s="1"/>
  <c r="H121" i="13" s="1"/>
  <c r="Y236" i="8"/>
  <c r="E7" i="9" s="1"/>
  <c r="Y121" i="13" s="1"/>
  <c r="Q236" i="8"/>
  <c r="G6" i="9" s="1"/>
  <c r="Q121" i="13" s="1"/>
  <c r="F236" i="8"/>
  <c r="F5" i="9" s="1"/>
  <c r="F121" i="13" s="1"/>
  <c r="AC236" i="8"/>
  <c r="I7" i="9" s="1"/>
  <c r="AC121" i="13" s="1"/>
  <c r="E236" i="8"/>
  <c r="E5" i="9" s="1"/>
  <c r="E121" i="13" s="1"/>
  <c r="I236" i="8"/>
  <c r="I5" i="9" s="1"/>
  <c r="I121" i="13" s="1"/>
  <c r="AB236" i="8"/>
  <c r="H7" i="9" s="1"/>
  <c r="AB121" i="13" s="1"/>
  <c r="N236" i="8"/>
  <c r="D6" i="9" s="1"/>
  <c r="O236" i="8"/>
  <c r="E6" i="9" s="1"/>
  <c r="R236" i="8"/>
  <c r="H6" i="9" s="1"/>
  <c r="AA236" i="8"/>
  <c r="G7" i="9" s="1"/>
  <c r="AA121" i="13" s="1"/>
  <c r="Z236" i="8"/>
  <c r="F7" i="9" s="1"/>
  <c r="Z121" i="13" s="1"/>
  <c r="G236" i="8"/>
  <c r="G5" i="9" s="1"/>
  <c r="G121" i="13" s="1"/>
  <c r="Q236" i="7"/>
  <c r="G9" i="9" s="1"/>
  <c r="E236" i="7"/>
  <c r="E8" i="9" s="1"/>
  <c r="G236" i="7"/>
  <c r="G8" i="9" s="1"/>
  <c r="H236" i="7"/>
  <c r="H8" i="9" s="1"/>
  <c r="P236" i="7"/>
  <c r="F9" i="9" s="1"/>
  <c r="X236" i="7"/>
  <c r="D10" i="9" s="1"/>
  <c r="Y236" i="7"/>
  <c r="E10" i="9" s="1"/>
  <c r="S236" i="7"/>
  <c r="I9" i="9" s="1"/>
  <c r="I236" i="7"/>
  <c r="I8" i="9" s="1"/>
  <c r="O236" i="7"/>
  <c r="E9" i="9" s="1"/>
  <c r="D19" i="9" s="1"/>
  <c r="R236" i="7"/>
  <c r="H9" i="9" s="1"/>
  <c r="Z236" i="7"/>
  <c r="F10" i="9" s="1"/>
  <c r="AA236" i="7"/>
  <c r="G10" i="9" s="1"/>
  <c r="AB236" i="7"/>
  <c r="H10" i="9" s="1"/>
  <c r="D236" i="7"/>
  <c r="D8" i="9" s="1"/>
  <c r="F236" i="7"/>
  <c r="F8" i="9" s="1"/>
  <c r="AC236" i="7"/>
  <c r="I10" i="9" s="1"/>
  <c r="N236" i="7"/>
  <c r="D9" i="9" s="1"/>
  <c r="AC236" i="3"/>
  <c r="I13" i="9" s="1"/>
  <c r="O236" i="3"/>
  <c r="E12" i="9" s="1"/>
  <c r="X236" i="3"/>
  <c r="D13" i="9" s="1"/>
  <c r="AA236" i="3"/>
  <c r="G13" i="9" s="1"/>
  <c r="Z236" i="3"/>
  <c r="F13" i="9" s="1"/>
  <c r="R236" i="3"/>
  <c r="H12" i="9" s="1"/>
  <c r="AB236" i="3"/>
  <c r="H13" i="9" s="1"/>
  <c r="Y236" i="3"/>
  <c r="E13" i="9" s="1"/>
  <c r="P236" i="3"/>
  <c r="F12" i="9" s="1"/>
  <c r="S236" i="3"/>
  <c r="I12" i="9" s="1"/>
  <c r="N236" i="3"/>
  <c r="D12" i="9" s="1"/>
  <c r="Q236" i="3"/>
  <c r="G12" i="9" s="1"/>
  <c r="E236" i="3"/>
  <c r="E11" i="9" s="1"/>
  <c r="H236" i="3"/>
  <c r="H11" i="9" s="1"/>
  <c r="G236" i="3"/>
  <c r="G11" i="9" s="1"/>
  <c r="I236" i="3"/>
  <c r="I11" i="9" s="1"/>
  <c r="D236" i="3"/>
  <c r="D11" i="9" s="1"/>
  <c r="F236" i="3"/>
  <c r="F11" i="9" s="1"/>
  <c r="AA182" i="13" l="1"/>
  <c r="AA183" i="13"/>
  <c r="AA129" i="13"/>
  <c r="AA131" i="13"/>
  <c r="AA133" i="13"/>
  <c r="AA135" i="13"/>
  <c r="AA137" i="13"/>
  <c r="AA139" i="13"/>
  <c r="AA141" i="13"/>
  <c r="AA200" i="13"/>
  <c r="AA145" i="13"/>
  <c r="AA147" i="13"/>
  <c r="AA149" i="13"/>
  <c r="AA125" i="13"/>
  <c r="AA128" i="13"/>
  <c r="AA186" i="13"/>
  <c r="AA188" i="13"/>
  <c r="AA190" i="13"/>
  <c r="AA136" i="13"/>
  <c r="AA194" i="13"/>
  <c r="AA196" i="13"/>
  <c r="AA124" i="13"/>
  <c r="AA127" i="13"/>
  <c r="AA184" i="13"/>
  <c r="AA187" i="13"/>
  <c r="AA189" i="13"/>
  <c r="AA191" i="13"/>
  <c r="AA193" i="13"/>
  <c r="AA195" i="13"/>
  <c r="AA197" i="13"/>
  <c r="AA199" i="13"/>
  <c r="AA201" i="13"/>
  <c r="AA203" i="13"/>
  <c r="AA205" i="13"/>
  <c r="AA150" i="13"/>
  <c r="AA181" i="13"/>
  <c r="AA132" i="13"/>
  <c r="AA140" i="13"/>
  <c r="AA144" i="13"/>
  <c r="AA148" i="13"/>
  <c r="AA126" i="13"/>
  <c r="AA134" i="13"/>
  <c r="AA198" i="13"/>
  <c r="AA202" i="13"/>
  <c r="AA206" i="13"/>
  <c r="AA185" i="13"/>
  <c r="AA192" i="13"/>
  <c r="AA142" i="13"/>
  <c r="AA146" i="13"/>
  <c r="AA207" i="13"/>
  <c r="AA130" i="13"/>
  <c r="AA138" i="13"/>
  <c r="AA143" i="13"/>
  <c r="AA204" i="13"/>
  <c r="AB124" i="13"/>
  <c r="AB126" i="13"/>
  <c r="AB185" i="13"/>
  <c r="AB130" i="13"/>
  <c r="AB132" i="13"/>
  <c r="AB134" i="13"/>
  <c r="AB136" i="13"/>
  <c r="AB195" i="13"/>
  <c r="AB140" i="13"/>
  <c r="AB199" i="13"/>
  <c r="AB144" i="13"/>
  <c r="AB203" i="13"/>
  <c r="AB205" i="13"/>
  <c r="AB207" i="13"/>
  <c r="AB135" i="13"/>
  <c r="AB193" i="13"/>
  <c r="AB138" i="13"/>
  <c r="AB141" i="13"/>
  <c r="AB142" i="13"/>
  <c r="AB145" i="13"/>
  <c r="AB146" i="13"/>
  <c r="AB148" i="13"/>
  <c r="AB150" i="13"/>
  <c r="AB181" i="13"/>
  <c r="AB183" i="13"/>
  <c r="AB128" i="13"/>
  <c r="AB187" i="13"/>
  <c r="AB188" i="13"/>
  <c r="AB125" i="13"/>
  <c r="AB184" i="13"/>
  <c r="AB129" i="13"/>
  <c r="AB189" i="13"/>
  <c r="AB133" i="13"/>
  <c r="AB192" i="13"/>
  <c r="AB137" i="13"/>
  <c r="AB196" i="13"/>
  <c r="AB198" i="13"/>
  <c r="AB200" i="13"/>
  <c r="AB202" i="13"/>
  <c r="AB204" i="13"/>
  <c r="AB206" i="13"/>
  <c r="AB127" i="13"/>
  <c r="AB191" i="13"/>
  <c r="AB143" i="13"/>
  <c r="AB186" i="13"/>
  <c r="AB194" i="13"/>
  <c r="AB201" i="13"/>
  <c r="AB131" i="13"/>
  <c r="AB139" i="13"/>
  <c r="AB147" i="13"/>
  <c r="AB182" i="13"/>
  <c r="AB190" i="13"/>
  <c r="AB197" i="13"/>
  <c r="AB149" i="13"/>
  <c r="Y124" i="13"/>
  <c r="Y126" i="13"/>
  <c r="Y185" i="13"/>
  <c r="Y130" i="13"/>
  <c r="Y188" i="13"/>
  <c r="Y191" i="13"/>
  <c r="Y136" i="13"/>
  <c r="Y195" i="13"/>
  <c r="Y140" i="13"/>
  <c r="Y199" i="13"/>
  <c r="Y144" i="13"/>
  <c r="Y203" i="13"/>
  <c r="Y148" i="13"/>
  <c r="Y207" i="13"/>
  <c r="Y181" i="13"/>
  <c r="Y183" i="13"/>
  <c r="Y184" i="13"/>
  <c r="Y187" i="13"/>
  <c r="Y132" i="13"/>
  <c r="Y134" i="13"/>
  <c r="Y193" i="13"/>
  <c r="Y138" i="13"/>
  <c r="Y197" i="13"/>
  <c r="Y142" i="13"/>
  <c r="Y201" i="13"/>
  <c r="Y146" i="13"/>
  <c r="Y205" i="13"/>
  <c r="Y206" i="13"/>
  <c r="Y125" i="13"/>
  <c r="Y128" i="13"/>
  <c r="Y186" i="13"/>
  <c r="Y189" i="13"/>
  <c r="Y190" i="13"/>
  <c r="Y192" i="13"/>
  <c r="Y137" i="13"/>
  <c r="Y139" i="13"/>
  <c r="Y198" i="13"/>
  <c r="Y143" i="13"/>
  <c r="Y202" i="13"/>
  <c r="Y204" i="13"/>
  <c r="Y150" i="13"/>
  <c r="Y182" i="13"/>
  <c r="Y133" i="13"/>
  <c r="Y141" i="13"/>
  <c r="Y149" i="13"/>
  <c r="Y127" i="13"/>
  <c r="Y135" i="13"/>
  <c r="Y200" i="13"/>
  <c r="Y129" i="13"/>
  <c r="Y194" i="13"/>
  <c r="Y145" i="13"/>
  <c r="Y131" i="13"/>
  <c r="Y196" i="13"/>
  <c r="Y147" i="13"/>
  <c r="Z181" i="13"/>
  <c r="Z184" i="13"/>
  <c r="Z129" i="13"/>
  <c r="Z131" i="13"/>
  <c r="Z133" i="13"/>
  <c r="Z135" i="13"/>
  <c r="Z193" i="13"/>
  <c r="Z195" i="13"/>
  <c r="Z198" i="13"/>
  <c r="Z143" i="13"/>
  <c r="Z145" i="13"/>
  <c r="Z147" i="13"/>
  <c r="Z149" i="13"/>
  <c r="Z182" i="13"/>
  <c r="Z183" i="13"/>
  <c r="Z130" i="13"/>
  <c r="Z188" i="13"/>
  <c r="Z190" i="13"/>
  <c r="Z192" i="13"/>
  <c r="Z138" i="13"/>
  <c r="Z196" i="13"/>
  <c r="Z141" i="13"/>
  <c r="Z200" i="13"/>
  <c r="Z202" i="13"/>
  <c r="Z148" i="13"/>
  <c r="Z206" i="13"/>
  <c r="Z125" i="13"/>
  <c r="Z127" i="13"/>
  <c r="Z185" i="13"/>
  <c r="Z187" i="13"/>
  <c r="Z189" i="13"/>
  <c r="Z191" i="13"/>
  <c r="Z137" i="13"/>
  <c r="Z139" i="13"/>
  <c r="Z197" i="13"/>
  <c r="Z199" i="13"/>
  <c r="Z201" i="13"/>
  <c r="Z203" i="13"/>
  <c r="Z205" i="13"/>
  <c r="Z207" i="13"/>
  <c r="Z186" i="13"/>
  <c r="Z194" i="13"/>
  <c r="Z146" i="13"/>
  <c r="Z124" i="13"/>
  <c r="Z132" i="13"/>
  <c r="Z140" i="13"/>
  <c r="Z204" i="13"/>
  <c r="Z126" i="13"/>
  <c r="Z134" i="13"/>
  <c r="Z142" i="13"/>
  <c r="Z150" i="13"/>
  <c r="Z128" i="13"/>
  <c r="Z136" i="13"/>
  <c r="Z144" i="13"/>
  <c r="AC124" i="13"/>
  <c r="AC126" i="13"/>
  <c r="AC128" i="13"/>
  <c r="AC186" i="13"/>
  <c r="AC132" i="13"/>
  <c r="AC134" i="13"/>
  <c r="AC136" i="13"/>
  <c r="AC138" i="13"/>
  <c r="AC140" i="13"/>
  <c r="AC142" i="13"/>
  <c r="AC201" i="13"/>
  <c r="AC146" i="13"/>
  <c r="AC148" i="13"/>
  <c r="AC150" i="13"/>
  <c r="AC182" i="13"/>
  <c r="AC184" i="13"/>
  <c r="AC130" i="13"/>
  <c r="AC188" i="13"/>
  <c r="AC133" i="13"/>
  <c r="AC192" i="13"/>
  <c r="AC194" i="13"/>
  <c r="AC196" i="13"/>
  <c r="AC197" i="13"/>
  <c r="AC143" i="13"/>
  <c r="AC202" i="13"/>
  <c r="AC204" i="13"/>
  <c r="AC206" i="13"/>
  <c r="AC125" i="13"/>
  <c r="AC129" i="13"/>
  <c r="AC190" i="13"/>
  <c r="AC193" i="13"/>
  <c r="AC141" i="13"/>
  <c r="AC145" i="13"/>
  <c r="AC149" i="13"/>
  <c r="AC183" i="13"/>
  <c r="AC131" i="13"/>
  <c r="AC135" i="13"/>
  <c r="AC195" i="13"/>
  <c r="AC199" i="13"/>
  <c r="AC203" i="13"/>
  <c r="AC207" i="13"/>
  <c r="AC127" i="13"/>
  <c r="AC187" i="13"/>
  <c r="AC191" i="13"/>
  <c r="AC139" i="13"/>
  <c r="AC200" i="13"/>
  <c r="AC147" i="13"/>
  <c r="AC181" i="13"/>
  <c r="AC185" i="13"/>
  <c r="AC189" i="13"/>
  <c r="AC137" i="13"/>
  <c r="AC198" i="13"/>
  <c r="AC144" i="13"/>
  <c r="AC205" i="13"/>
  <c r="X124" i="13"/>
  <c r="X126" i="13"/>
  <c r="X128" i="13"/>
  <c r="X130" i="13"/>
  <c r="X132" i="13"/>
  <c r="X134" i="13"/>
  <c r="X136" i="13"/>
  <c r="X138" i="13"/>
  <c r="X197" i="13"/>
  <c r="X142" i="13"/>
  <c r="X144" i="13"/>
  <c r="X146" i="13"/>
  <c r="X204" i="13"/>
  <c r="X150" i="13"/>
  <c r="X181" i="13"/>
  <c r="X183" i="13"/>
  <c r="X185" i="13"/>
  <c r="X187" i="13"/>
  <c r="X189" i="13"/>
  <c r="X191" i="13"/>
  <c r="X193" i="13"/>
  <c r="X194" i="13"/>
  <c r="X140" i="13"/>
  <c r="X143" i="13"/>
  <c r="X201" i="13"/>
  <c r="X147" i="13"/>
  <c r="X205" i="13"/>
  <c r="X207" i="13"/>
  <c r="X125" i="13"/>
  <c r="X127" i="13"/>
  <c r="X129" i="13"/>
  <c r="X131" i="13"/>
  <c r="X133" i="13"/>
  <c r="X135" i="13"/>
  <c r="X137" i="13"/>
  <c r="X139" i="13"/>
  <c r="X141" i="13"/>
  <c r="X199" i="13"/>
  <c r="X202" i="13"/>
  <c r="X203" i="13"/>
  <c r="X149" i="13"/>
  <c r="X182" i="13"/>
  <c r="X184" i="13"/>
  <c r="X186" i="13"/>
  <c r="X188" i="13"/>
  <c r="X190" i="13"/>
  <c r="X192" i="13"/>
  <c r="X195" i="13"/>
  <c r="X196" i="13"/>
  <c r="X198" i="13"/>
  <c r="X200" i="13"/>
  <c r="X145" i="13"/>
  <c r="X148" i="13"/>
  <c r="X206" i="13"/>
  <c r="G18" i="9"/>
  <c r="R121" i="13"/>
  <c r="S124" i="13"/>
  <c r="S183" i="13"/>
  <c r="S130" i="13"/>
  <c r="S187" i="13"/>
  <c r="S189" i="13"/>
  <c r="S136" i="13"/>
  <c r="S138" i="13"/>
  <c r="S195" i="13"/>
  <c r="S142" i="13"/>
  <c r="S144" i="13"/>
  <c r="S146" i="13"/>
  <c r="S203" i="13"/>
  <c r="S205" i="13"/>
  <c r="S126" i="13"/>
  <c r="S128" i="13"/>
  <c r="S185" i="13"/>
  <c r="S132" i="13"/>
  <c r="S134" i="13"/>
  <c r="S191" i="13"/>
  <c r="S193" i="13"/>
  <c r="S140" i="13"/>
  <c r="S197" i="13"/>
  <c r="S199" i="13"/>
  <c r="S201" i="13"/>
  <c r="S148" i="13"/>
  <c r="S150" i="13"/>
  <c r="S182" i="13"/>
  <c r="S131" i="13"/>
  <c r="S135" i="13"/>
  <c r="S194" i="13"/>
  <c r="S198" i="13"/>
  <c r="S202" i="13"/>
  <c r="S206" i="13"/>
  <c r="S127" i="13"/>
  <c r="S186" i="13"/>
  <c r="S190" i="13"/>
  <c r="S139" i="13"/>
  <c r="S143" i="13"/>
  <c r="S147" i="13"/>
  <c r="S207" i="13"/>
  <c r="S125" i="13"/>
  <c r="S184" i="13"/>
  <c r="S188" i="13"/>
  <c r="S137" i="13"/>
  <c r="S141" i="13"/>
  <c r="S145" i="13"/>
  <c r="S204" i="13"/>
  <c r="S181" i="13"/>
  <c r="S129" i="13"/>
  <c r="S133" i="13"/>
  <c r="S192" i="13"/>
  <c r="S196" i="13"/>
  <c r="S200" i="13"/>
  <c r="S149" i="13"/>
  <c r="P126" i="13"/>
  <c r="P183" i="13"/>
  <c r="P130" i="13"/>
  <c r="P187" i="13"/>
  <c r="P189" i="13"/>
  <c r="P191" i="13"/>
  <c r="P193" i="13"/>
  <c r="P140" i="13"/>
  <c r="P142" i="13"/>
  <c r="P144" i="13"/>
  <c r="P146" i="13"/>
  <c r="P203" i="13"/>
  <c r="P150" i="13"/>
  <c r="P181" i="13"/>
  <c r="P128" i="13"/>
  <c r="P185" i="13"/>
  <c r="P132" i="13"/>
  <c r="P134" i="13"/>
  <c r="P136" i="13"/>
  <c r="P138" i="13"/>
  <c r="P195" i="13"/>
  <c r="P197" i="13"/>
  <c r="P199" i="13"/>
  <c r="P201" i="13"/>
  <c r="P148" i="13"/>
  <c r="P205" i="13"/>
  <c r="P124" i="13"/>
  <c r="P184" i="13"/>
  <c r="P133" i="13"/>
  <c r="P192" i="13"/>
  <c r="P196" i="13"/>
  <c r="P200" i="13"/>
  <c r="P204" i="13"/>
  <c r="P125" i="13"/>
  <c r="P129" i="13"/>
  <c r="P188" i="13"/>
  <c r="P137" i="13"/>
  <c r="P141" i="13"/>
  <c r="P145" i="13"/>
  <c r="P149" i="13"/>
  <c r="P182" i="13"/>
  <c r="P186" i="13"/>
  <c r="P190" i="13"/>
  <c r="P139" i="13"/>
  <c r="P198" i="13"/>
  <c r="P202" i="13"/>
  <c r="P206" i="13"/>
  <c r="P127" i="13"/>
  <c r="P131" i="13"/>
  <c r="P135" i="13"/>
  <c r="P194" i="13"/>
  <c r="P143" i="13"/>
  <c r="P147" i="13"/>
  <c r="P207" i="13"/>
  <c r="Q125" i="13"/>
  <c r="Q183" i="13"/>
  <c r="Q185" i="13"/>
  <c r="Q132" i="13"/>
  <c r="Q134" i="13"/>
  <c r="Q136" i="13"/>
  <c r="Q138" i="13"/>
  <c r="Q195" i="13"/>
  <c r="Q197" i="13"/>
  <c r="Q144" i="13"/>
  <c r="Q146" i="13"/>
  <c r="Q203" i="13"/>
  <c r="Q205" i="13"/>
  <c r="Q181" i="13"/>
  <c r="Q128" i="13"/>
  <c r="Q130" i="13"/>
  <c r="Q187" i="13"/>
  <c r="Q189" i="13"/>
  <c r="Q191" i="13"/>
  <c r="Q193" i="13"/>
  <c r="Q140" i="13"/>
  <c r="Q142" i="13"/>
  <c r="Q199" i="13"/>
  <c r="Q201" i="13"/>
  <c r="Q148" i="13"/>
  <c r="Q150" i="13"/>
  <c r="Q124" i="13"/>
  <c r="Q182" i="13"/>
  <c r="Q184" i="13"/>
  <c r="Q186" i="13"/>
  <c r="Q188" i="13"/>
  <c r="Q190" i="13"/>
  <c r="Q192" i="13"/>
  <c r="Q194" i="13"/>
  <c r="Q196" i="13"/>
  <c r="Q143" i="13"/>
  <c r="Q200" i="13"/>
  <c r="Q147" i="13"/>
  <c r="Q204" i="13"/>
  <c r="Q206" i="13"/>
  <c r="Q129" i="13"/>
  <c r="Q137" i="13"/>
  <c r="Q145" i="13"/>
  <c r="Q131" i="13"/>
  <c r="Q139" i="13"/>
  <c r="Q202" i="13"/>
  <c r="Q126" i="13"/>
  <c r="Q133" i="13"/>
  <c r="Q141" i="13"/>
  <c r="Q149" i="13"/>
  <c r="Q127" i="13"/>
  <c r="Q135" i="13"/>
  <c r="Q198" i="13"/>
  <c r="Q207" i="13"/>
  <c r="D18" i="9"/>
  <c r="O121" i="13"/>
  <c r="C18" i="9"/>
  <c r="N121" i="13"/>
  <c r="F181" i="13"/>
  <c r="F196" i="13"/>
  <c r="F182" i="13"/>
  <c r="F146" i="13"/>
  <c r="F138" i="13"/>
  <c r="F186" i="13"/>
  <c r="F147" i="13"/>
  <c r="F195" i="13"/>
  <c r="F131" i="13"/>
  <c r="F207" i="13"/>
  <c r="F199" i="13"/>
  <c r="F191" i="13"/>
  <c r="F126" i="13"/>
  <c r="F132" i="13"/>
  <c r="F200" i="13"/>
  <c r="F150" i="13"/>
  <c r="F144" i="13"/>
  <c r="F192" i="13"/>
  <c r="F184" i="13"/>
  <c r="F201" i="13"/>
  <c r="F193" i="13"/>
  <c r="F185" i="13"/>
  <c r="F205" i="13"/>
  <c r="F197" i="13"/>
  <c r="F133" i="13"/>
  <c r="F130" i="13"/>
  <c r="F148" i="13"/>
  <c r="F128" i="13"/>
  <c r="F140" i="13"/>
  <c r="F188" i="13"/>
  <c r="F141" i="13"/>
  <c r="F189" i="13"/>
  <c r="F145" i="13"/>
  <c r="F137" i="13"/>
  <c r="F202" i="13"/>
  <c r="F136" i="13"/>
  <c r="F198" i="13"/>
  <c r="F206" i="13"/>
  <c r="F142" i="13"/>
  <c r="F134" i="13"/>
  <c r="F125" i="13"/>
  <c r="F143" i="13"/>
  <c r="F135" i="13"/>
  <c r="F127" i="13"/>
  <c r="F203" i="13"/>
  <c r="F139" i="13"/>
  <c r="F187" i="13"/>
  <c r="F194" i="13"/>
  <c r="F190" i="13"/>
  <c r="F204" i="13"/>
  <c r="F149" i="13"/>
  <c r="F124" i="13"/>
  <c r="F129" i="13"/>
  <c r="F183" i="13"/>
  <c r="I124" i="13"/>
  <c r="I150" i="13"/>
  <c r="I204" i="13"/>
  <c r="I184" i="13"/>
  <c r="I202" i="13"/>
  <c r="I149" i="13"/>
  <c r="I197" i="13"/>
  <c r="I133" i="13"/>
  <c r="I125" i="13"/>
  <c r="I203" i="13"/>
  <c r="I195" i="13"/>
  <c r="I187" i="13"/>
  <c r="I144" i="13"/>
  <c r="I136" i="13"/>
  <c r="I128" i="13"/>
  <c r="I198" i="13"/>
  <c r="I134" i="13"/>
  <c r="I188" i="13"/>
  <c r="I194" i="13"/>
  <c r="I147" i="13"/>
  <c r="I139" i="13"/>
  <c r="I131" i="13"/>
  <c r="I145" i="13"/>
  <c r="I137" i="13"/>
  <c r="I129" i="13"/>
  <c r="I206" i="13"/>
  <c r="I142" i="13"/>
  <c r="I190" i="13"/>
  <c r="I126" i="13"/>
  <c r="I192" i="13"/>
  <c r="I199" i="13"/>
  <c r="I127" i="13"/>
  <c r="I141" i="13"/>
  <c r="I189" i="13"/>
  <c r="I146" i="13"/>
  <c r="I138" i="13"/>
  <c r="I182" i="13"/>
  <c r="I200" i="13"/>
  <c r="I186" i="13"/>
  <c r="I201" i="13"/>
  <c r="I193" i="13"/>
  <c r="I185" i="13"/>
  <c r="I207" i="13"/>
  <c r="I143" i="13"/>
  <c r="I191" i="13"/>
  <c r="I183" i="13"/>
  <c r="I148" i="13"/>
  <c r="I196" i="13"/>
  <c r="I132" i="13"/>
  <c r="I140" i="13"/>
  <c r="I135" i="13"/>
  <c r="I205" i="13"/>
  <c r="I181" i="13"/>
  <c r="I130" i="13"/>
  <c r="G182" i="13"/>
  <c r="G200" i="13"/>
  <c r="G198" i="13"/>
  <c r="G132" i="13"/>
  <c r="G206" i="13"/>
  <c r="G142" i="13"/>
  <c r="G134" i="13"/>
  <c r="G126" i="13"/>
  <c r="G205" i="13"/>
  <c r="G141" i="13"/>
  <c r="G133" i="13"/>
  <c r="G125" i="13"/>
  <c r="G203" i="13"/>
  <c r="G139" i="13"/>
  <c r="G131" i="13"/>
  <c r="G192" i="13"/>
  <c r="G202" i="13"/>
  <c r="G190" i="13"/>
  <c r="G148" i="13"/>
  <c r="G140" i="13"/>
  <c r="G188" i="13"/>
  <c r="G124" i="13"/>
  <c r="G147" i="13"/>
  <c r="G195" i="13"/>
  <c r="G187" i="13"/>
  <c r="G145" i="13"/>
  <c r="G137" i="13"/>
  <c r="G185" i="13"/>
  <c r="G194" i="13"/>
  <c r="G181" i="13"/>
  <c r="G204" i="13"/>
  <c r="G146" i="13"/>
  <c r="G138" i="13"/>
  <c r="G130" i="13"/>
  <c r="G201" i="13"/>
  <c r="G193" i="13"/>
  <c r="G129" i="13"/>
  <c r="G207" i="13"/>
  <c r="G199" i="13"/>
  <c r="G191" i="13"/>
  <c r="G127" i="13"/>
  <c r="G186" i="13"/>
  <c r="G143" i="13"/>
  <c r="G189" i="13"/>
  <c r="G150" i="13"/>
  <c r="G144" i="13"/>
  <c r="G135" i="13"/>
  <c r="G196" i="13"/>
  <c r="G184" i="13"/>
  <c r="G197" i="13"/>
  <c r="G136" i="13"/>
  <c r="G183" i="13"/>
  <c r="G149" i="13"/>
  <c r="G128" i="13"/>
  <c r="E181" i="13"/>
  <c r="E125" i="13"/>
  <c r="E190" i="13"/>
  <c r="E198" i="13"/>
  <c r="E144" i="13"/>
  <c r="E196" i="13"/>
  <c r="E202" i="13"/>
  <c r="E194" i="13"/>
  <c r="E130" i="13"/>
  <c r="E143" i="13"/>
  <c r="E135" i="13"/>
  <c r="E127" i="13"/>
  <c r="E149" i="13"/>
  <c r="E197" i="13"/>
  <c r="E133" i="13"/>
  <c r="E192" i="13"/>
  <c r="E188" i="13"/>
  <c r="E146" i="13"/>
  <c r="E200" i="13"/>
  <c r="E136" i="13"/>
  <c r="E184" i="13"/>
  <c r="E205" i="13"/>
  <c r="E141" i="13"/>
  <c r="E189" i="13"/>
  <c r="E182" i="13"/>
  <c r="E147" i="13"/>
  <c r="E195" i="13"/>
  <c r="E187" i="13"/>
  <c r="E206" i="13"/>
  <c r="E128" i="13"/>
  <c r="E138" i="13"/>
  <c r="E150" i="13"/>
  <c r="E142" i="13"/>
  <c r="E134" i="13"/>
  <c r="E126" i="13"/>
  <c r="E203" i="13"/>
  <c r="E139" i="13"/>
  <c r="E131" i="13"/>
  <c r="E201" i="13"/>
  <c r="E137" i="13"/>
  <c r="E185" i="13"/>
  <c r="E186" i="13"/>
  <c r="E148" i="13"/>
  <c r="E193" i="13"/>
  <c r="E183" i="13"/>
  <c r="E140" i="13"/>
  <c r="E129" i="13"/>
  <c r="E207" i="13"/>
  <c r="E145" i="13"/>
  <c r="E204" i="13"/>
  <c r="E132" i="13"/>
  <c r="E199" i="13"/>
  <c r="E124" i="13"/>
  <c r="E191" i="13"/>
  <c r="H181" i="13"/>
  <c r="H144" i="13"/>
  <c r="H186" i="13"/>
  <c r="H190" i="13"/>
  <c r="H188" i="13"/>
  <c r="H201" i="13"/>
  <c r="H193" i="13"/>
  <c r="H129" i="13"/>
  <c r="H148" i="13"/>
  <c r="H196" i="13"/>
  <c r="H132" i="13"/>
  <c r="H147" i="13"/>
  <c r="H139" i="13"/>
  <c r="H131" i="13"/>
  <c r="H128" i="13"/>
  <c r="H126" i="13"/>
  <c r="H124" i="13"/>
  <c r="H207" i="13"/>
  <c r="H143" i="13"/>
  <c r="H135" i="13"/>
  <c r="H127" i="13"/>
  <c r="H146" i="13"/>
  <c r="H138" i="13"/>
  <c r="H130" i="13"/>
  <c r="H145" i="13"/>
  <c r="H137" i="13"/>
  <c r="H185" i="13"/>
  <c r="H136" i="13"/>
  <c r="H194" i="13"/>
  <c r="H142" i="13"/>
  <c r="H140" i="13"/>
  <c r="H202" i="13"/>
  <c r="H150" i="13"/>
  <c r="H204" i="13"/>
  <c r="H205" i="13"/>
  <c r="H141" i="13"/>
  <c r="H133" i="13"/>
  <c r="H182" i="13"/>
  <c r="H200" i="13"/>
  <c r="H192" i="13"/>
  <c r="H184" i="13"/>
  <c r="H199" i="13"/>
  <c r="H191" i="13"/>
  <c r="H183" i="13"/>
  <c r="H187" i="13"/>
  <c r="H125" i="13"/>
  <c r="H197" i="13"/>
  <c r="H206" i="13"/>
  <c r="H189" i="13"/>
  <c r="H149" i="13"/>
  <c r="H203" i="13"/>
  <c r="H198" i="13"/>
  <c r="H195" i="13"/>
  <c r="H134" i="13"/>
  <c r="D200" i="13"/>
  <c r="D124" i="13"/>
  <c r="D150" i="13"/>
  <c r="D202" i="13"/>
  <c r="D138" i="13"/>
  <c r="D146" i="13"/>
  <c r="D194" i="13"/>
  <c r="D129" i="13"/>
  <c r="D143" i="13"/>
  <c r="D135" i="13"/>
  <c r="D207" i="13"/>
  <c r="D199" i="13"/>
  <c r="D191" i="13"/>
  <c r="D187" i="13"/>
  <c r="D126" i="13"/>
  <c r="D140" i="13"/>
  <c r="D134" i="13"/>
  <c r="D130" i="13"/>
  <c r="D144" i="13"/>
  <c r="D136" i="13"/>
  <c r="D205" i="13"/>
  <c r="D141" i="13"/>
  <c r="D189" i="13"/>
  <c r="D149" i="13"/>
  <c r="D197" i="13"/>
  <c r="D133" i="13"/>
  <c r="D185" i="13"/>
  <c r="D127" i="13"/>
  <c r="D125" i="13"/>
  <c r="D204" i="13"/>
  <c r="D198" i="13"/>
  <c r="D206" i="13"/>
  <c r="D142" i="13"/>
  <c r="D190" i="13"/>
  <c r="D147" i="13"/>
  <c r="D139" i="13"/>
  <c r="D131" i="13"/>
  <c r="D203" i="13"/>
  <c r="D195" i="13"/>
  <c r="D186" i="13"/>
  <c r="D182" i="13"/>
  <c r="D181" i="13"/>
  <c r="D192" i="13"/>
  <c r="D188" i="13"/>
  <c r="D148" i="13"/>
  <c r="D196" i="13"/>
  <c r="D132" i="13"/>
  <c r="D145" i="13"/>
  <c r="D137" i="13"/>
  <c r="D184" i="13"/>
  <c r="D201" i="13"/>
  <c r="D193" i="13"/>
  <c r="D183" i="13"/>
  <c r="D128" i="13"/>
  <c r="G19" i="9"/>
  <c r="C19" i="9"/>
  <c r="F19" i="9"/>
  <c r="F20" i="9"/>
  <c r="E18" i="9"/>
  <c r="E19" i="9"/>
  <c r="F18" i="9"/>
  <c r="H18" i="9"/>
  <c r="H20" i="9"/>
  <c r="G20" i="9"/>
  <c r="D20" i="9"/>
  <c r="H19" i="9"/>
  <c r="E20" i="9"/>
  <c r="C20" i="9"/>
  <c r="AD133" i="13" l="1"/>
  <c r="X252" i="13" s="1"/>
  <c r="AD132" i="13"/>
  <c r="X251" i="13" s="1"/>
  <c r="AD206" i="13"/>
  <c r="AD198" i="13"/>
  <c r="Y260" i="13" s="1"/>
  <c r="AD129" i="13"/>
  <c r="X248" i="13" s="1"/>
  <c r="AD141" i="13"/>
  <c r="X260" i="13" s="1"/>
  <c r="AD201" i="13"/>
  <c r="AD195" i="13"/>
  <c r="Y257" i="13" s="1"/>
  <c r="AD186" i="13"/>
  <c r="Y248" i="13" s="1"/>
  <c r="AD203" i="13"/>
  <c r="AD131" i="13"/>
  <c r="X250" i="13" s="1"/>
  <c r="AD143" i="13"/>
  <c r="X262" i="13" s="1"/>
  <c r="AD183" i="13"/>
  <c r="Y245" i="13" s="1"/>
  <c r="AD146" i="13"/>
  <c r="X265" i="13" s="1"/>
  <c r="AD138" i="13"/>
  <c r="X257" i="13" s="1"/>
  <c r="AD184" i="13"/>
  <c r="Y246" i="13" s="1"/>
  <c r="AD144" i="13"/>
  <c r="X263" i="13" s="1"/>
  <c r="AD190" i="13"/>
  <c r="Y252" i="13" s="1"/>
  <c r="AD182" i="13"/>
  <c r="Y244" i="13" s="1"/>
  <c r="AD199" i="13"/>
  <c r="Y261" i="13" s="1"/>
  <c r="AD127" i="13"/>
  <c r="X246" i="13" s="1"/>
  <c r="AD147" i="13"/>
  <c r="X266" i="13" s="1"/>
  <c r="AD187" i="13"/>
  <c r="Y249" i="13" s="1"/>
  <c r="AD150" i="13"/>
  <c r="X269" i="13" s="1"/>
  <c r="AD142" i="13"/>
  <c r="X261" i="13" s="1"/>
  <c r="AD134" i="13"/>
  <c r="X253" i="13" s="1"/>
  <c r="AD126" i="13"/>
  <c r="X245" i="13" s="1"/>
  <c r="J137" i="13"/>
  <c r="D256" i="13" s="1"/>
  <c r="AD196" i="13"/>
  <c r="Y258" i="13" s="1"/>
  <c r="AD188" i="13"/>
  <c r="Y250" i="13" s="1"/>
  <c r="AD149" i="13"/>
  <c r="X268" i="13" s="1"/>
  <c r="AD125" i="13"/>
  <c r="X244" i="13" s="1"/>
  <c r="AD193" i="13"/>
  <c r="Y255" i="13" s="1"/>
  <c r="AD204" i="13"/>
  <c r="AD197" i="13"/>
  <c r="Y259" i="13" s="1"/>
  <c r="AD124" i="13"/>
  <c r="X243" i="13" s="1"/>
  <c r="AD200" i="13"/>
  <c r="AD192" i="13"/>
  <c r="Y254" i="13" s="1"/>
  <c r="AD202" i="13"/>
  <c r="AD137" i="13"/>
  <c r="X256" i="13" s="1"/>
  <c r="AD205" i="13"/>
  <c r="AD140" i="13"/>
  <c r="X259" i="13" s="1"/>
  <c r="AD189" i="13"/>
  <c r="Y251" i="13" s="1"/>
  <c r="AD181" i="13"/>
  <c r="Y243" i="13" s="1"/>
  <c r="AD136" i="13"/>
  <c r="X255" i="13" s="1"/>
  <c r="AD128" i="13"/>
  <c r="X247" i="13" s="1"/>
  <c r="AD135" i="13"/>
  <c r="X254" i="13" s="1"/>
  <c r="AD194" i="13"/>
  <c r="Y256" i="13" s="1"/>
  <c r="AD148" i="13"/>
  <c r="X267" i="13" s="1"/>
  <c r="AD185" i="13"/>
  <c r="Y247" i="13" s="1"/>
  <c r="AD145" i="13"/>
  <c r="X264" i="13" s="1"/>
  <c r="AD139" i="13"/>
  <c r="X258" i="13" s="1"/>
  <c r="AD207" i="13"/>
  <c r="AD191" i="13"/>
  <c r="Y253" i="13" s="1"/>
  <c r="AD130" i="13"/>
  <c r="X249" i="13" s="1"/>
  <c r="J128" i="13"/>
  <c r="D247" i="13" s="1"/>
  <c r="J196" i="13"/>
  <c r="E258" i="13" s="1"/>
  <c r="J130" i="13"/>
  <c r="D249" i="13" s="1"/>
  <c r="O125" i="13"/>
  <c r="O182" i="13"/>
  <c r="O184" i="13"/>
  <c r="O186" i="13"/>
  <c r="O133" i="13"/>
  <c r="O135" i="13"/>
  <c r="O137" i="13"/>
  <c r="O139" i="13"/>
  <c r="O196" i="13"/>
  <c r="O143" i="13"/>
  <c r="O145" i="13"/>
  <c r="O147" i="13"/>
  <c r="O204" i="13"/>
  <c r="O206" i="13"/>
  <c r="O124" i="13"/>
  <c r="O127" i="13"/>
  <c r="O129" i="13"/>
  <c r="O131" i="13"/>
  <c r="O188" i="13"/>
  <c r="O190" i="13"/>
  <c r="O192" i="13"/>
  <c r="O194" i="13"/>
  <c r="O141" i="13"/>
  <c r="O198" i="13"/>
  <c r="O200" i="13"/>
  <c r="O202" i="13"/>
  <c r="O149" i="13"/>
  <c r="O207" i="13"/>
  <c r="O181" i="13"/>
  <c r="O183" i="13"/>
  <c r="O130" i="13"/>
  <c r="O132" i="13"/>
  <c r="O126" i="13"/>
  <c r="O134" i="13"/>
  <c r="O193" i="13"/>
  <c r="O142" i="13"/>
  <c r="O146" i="13"/>
  <c r="O150" i="13"/>
  <c r="O128" i="13"/>
  <c r="O189" i="13"/>
  <c r="O138" i="13"/>
  <c r="O197" i="13"/>
  <c r="O201" i="13"/>
  <c r="O205" i="13"/>
  <c r="O185" i="13"/>
  <c r="O136" i="13"/>
  <c r="O195" i="13"/>
  <c r="O199" i="13"/>
  <c r="O148" i="13"/>
  <c r="O187" i="13"/>
  <c r="O191" i="13"/>
  <c r="O140" i="13"/>
  <c r="O144" i="13"/>
  <c r="O203" i="13"/>
  <c r="R124" i="13"/>
  <c r="R126" i="13"/>
  <c r="R129" i="13"/>
  <c r="R131" i="13"/>
  <c r="R188" i="13"/>
  <c r="R135" i="13"/>
  <c r="R137" i="13"/>
  <c r="R194" i="13"/>
  <c r="R141" i="13"/>
  <c r="R198" i="13"/>
  <c r="R145" i="13"/>
  <c r="R202" i="13"/>
  <c r="R149" i="13"/>
  <c r="R206" i="13"/>
  <c r="R125" i="13"/>
  <c r="R127" i="13"/>
  <c r="R184" i="13"/>
  <c r="R186" i="13"/>
  <c r="R133" i="13"/>
  <c r="R190" i="13"/>
  <c r="R192" i="13"/>
  <c r="R139" i="13"/>
  <c r="R196" i="13"/>
  <c r="R143" i="13"/>
  <c r="R200" i="13"/>
  <c r="R147" i="13"/>
  <c r="R204" i="13"/>
  <c r="R207" i="13"/>
  <c r="R183" i="13"/>
  <c r="R132" i="13"/>
  <c r="R191" i="13"/>
  <c r="R140" i="13"/>
  <c r="R144" i="13"/>
  <c r="R148" i="13"/>
  <c r="R128" i="13"/>
  <c r="R187" i="13"/>
  <c r="R136" i="13"/>
  <c r="R195" i="13"/>
  <c r="R199" i="13"/>
  <c r="R203" i="13"/>
  <c r="R181" i="13"/>
  <c r="R185" i="13"/>
  <c r="R134" i="13"/>
  <c r="R193" i="13"/>
  <c r="R197" i="13"/>
  <c r="R201" i="13"/>
  <c r="R150" i="13"/>
  <c r="R182" i="13"/>
  <c r="R130" i="13"/>
  <c r="R189" i="13"/>
  <c r="R138" i="13"/>
  <c r="R142" i="13"/>
  <c r="R146" i="13"/>
  <c r="R205" i="13"/>
  <c r="J144" i="13"/>
  <c r="D263" i="13" s="1"/>
  <c r="J207" i="13"/>
  <c r="J145" i="13"/>
  <c r="D264" i="13" s="1"/>
  <c r="J139" i="13"/>
  <c r="D258" i="13" s="1"/>
  <c r="J199" i="13"/>
  <c r="E261" i="13" s="1"/>
  <c r="J184" i="13"/>
  <c r="E246" i="13" s="1"/>
  <c r="J181" i="13"/>
  <c r="E243" i="13" s="1"/>
  <c r="J203" i="13"/>
  <c r="J190" i="13"/>
  <c r="E252" i="13" s="1"/>
  <c r="J204" i="13"/>
  <c r="J133" i="13"/>
  <c r="D252" i="13" s="1"/>
  <c r="J141" i="13"/>
  <c r="D260" i="13" s="1"/>
  <c r="J187" i="13"/>
  <c r="E249" i="13" s="1"/>
  <c r="J135" i="13"/>
  <c r="D254" i="13" s="1"/>
  <c r="J146" i="13"/>
  <c r="D265" i="13" s="1"/>
  <c r="J124" i="13"/>
  <c r="D243" i="13" s="1"/>
  <c r="N181" i="13"/>
  <c r="N127" i="13"/>
  <c r="N184" i="13"/>
  <c r="T184" i="13" s="1"/>
  <c r="O246" i="13" s="1"/>
  <c r="N186" i="13"/>
  <c r="T186" i="13" s="1"/>
  <c r="O248" i="13" s="1"/>
  <c r="N133" i="13"/>
  <c r="T133" i="13" s="1"/>
  <c r="N252" i="13" s="1"/>
  <c r="N135" i="13"/>
  <c r="N137" i="13"/>
  <c r="N139" i="13"/>
  <c r="T139" i="13" s="1"/>
  <c r="N258" i="13" s="1"/>
  <c r="N141" i="13"/>
  <c r="N198" i="13"/>
  <c r="N145" i="13"/>
  <c r="N147" i="13"/>
  <c r="T147" i="13" s="1"/>
  <c r="N266" i="13" s="1"/>
  <c r="N149" i="13"/>
  <c r="N207" i="13"/>
  <c r="N144" i="13"/>
  <c r="N124" i="13"/>
  <c r="N128" i="13"/>
  <c r="N130" i="13"/>
  <c r="N187" i="13"/>
  <c r="N189" i="13"/>
  <c r="T189" i="13" s="1"/>
  <c r="O251" i="13" s="1"/>
  <c r="N136" i="13"/>
  <c r="N193" i="13"/>
  <c r="N195" i="13"/>
  <c r="N197" i="13"/>
  <c r="N146" i="13"/>
  <c r="N148" i="13"/>
  <c r="N150" i="13"/>
  <c r="N182" i="13"/>
  <c r="N183" i="13"/>
  <c r="N185" i="13"/>
  <c r="N132" i="13"/>
  <c r="N134" i="13"/>
  <c r="N191" i="13"/>
  <c r="N138" i="13"/>
  <c r="N140" i="13"/>
  <c r="N142" i="13"/>
  <c r="N199" i="13"/>
  <c r="N201" i="13"/>
  <c r="N203" i="13"/>
  <c r="N205" i="13"/>
  <c r="T205" i="13" s="1"/>
  <c r="N125" i="13"/>
  <c r="N126" i="13"/>
  <c r="N129" i="13"/>
  <c r="N131" i="13"/>
  <c r="N188" i="13"/>
  <c r="N190" i="13"/>
  <c r="N192" i="13"/>
  <c r="N194" i="13"/>
  <c r="N196" i="13"/>
  <c r="N143" i="13"/>
  <c r="T143" i="13" s="1"/>
  <c r="N262" i="13" s="1"/>
  <c r="N200" i="13"/>
  <c r="N202" i="13"/>
  <c r="N204" i="13"/>
  <c r="N206" i="13"/>
  <c r="J148" i="13"/>
  <c r="D267" i="13" s="1"/>
  <c r="J182" i="13"/>
  <c r="E244" i="13" s="1"/>
  <c r="J142" i="13"/>
  <c r="D261" i="13" s="1"/>
  <c r="J138" i="13"/>
  <c r="D257" i="13" s="1"/>
  <c r="J183" i="13"/>
  <c r="E245" i="13" s="1"/>
  <c r="J131" i="13"/>
  <c r="D250" i="13" s="1"/>
  <c r="J125" i="13"/>
  <c r="D244" i="13" s="1"/>
  <c r="J197" i="13"/>
  <c r="E259" i="13" s="1"/>
  <c r="J205" i="13"/>
  <c r="J134" i="13"/>
  <c r="D253" i="13" s="1"/>
  <c r="J191" i="13"/>
  <c r="E253" i="13" s="1"/>
  <c r="J143" i="13"/>
  <c r="D262" i="13" s="1"/>
  <c r="J200" i="13"/>
  <c r="J193" i="13"/>
  <c r="E255" i="13" s="1"/>
  <c r="J188" i="13"/>
  <c r="E250" i="13" s="1"/>
  <c r="J206" i="13"/>
  <c r="J127" i="13"/>
  <c r="D246" i="13" s="1"/>
  <c r="J149" i="13"/>
  <c r="D268" i="13" s="1"/>
  <c r="J136" i="13"/>
  <c r="D255" i="13" s="1"/>
  <c r="J140" i="13"/>
  <c r="D259" i="13" s="1"/>
  <c r="J129" i="13"/>
  <c r="D248" i="13" s="1"/>
  <c r="J202" i="13"/>
  <c r="J186" i="13"/>
  <c r="E248" i="13" s="1"/>
  <c r="J201" i="13"/>
  <c r="J132" i="13"/>
  <c r="D251" i="13" s="1"/>
  <c r="J192" i="13"/>
  <c r="E254" i="13" s="1"/>
  <c r="J195" i="13"/>
  <c r="E257" i="13" s="1"/>
  <c r="J147" i="13"/>
  <c r="D266" i="13" s="1"/>
  <c r="J198" i="13"/>
  <c r="E260" i="13" s="1"/>
  <c r="J185" i="13"/>
  <c r="E247" i="13" s="1"/>
  <c r="J189" i="13"/>
  <c r="E251" i="13" s="1"/>
  <c r="J126" i="13"/>
  <c r="D245" i="13" s="1"/>
  <c r="J194" i="13"/>
  <c r="E256" i="13" s="1"/>
  <c r="J150" i="13"/>
  <c r="D269" i="13" s="1"/>
  <c r="T125" i="13" l="1"/>
  <c r="N244" i="13" s="1"/>
  <c r="T204" i="13"/>
  <c r="O266" i="13" s="1"/>
  <c r="T196" i="13"/>
  <c r="O258" i="13" s="1"/>
  <c r="E265" i="13"/>
  <c r="Y264" i="13"/>
  <c r="Y263" i="13"/>
  <c r="Y268" i="13"/>
  <c r="E264" i="13"/>
  <c r="O267" i="13"/>
  <c r="E262" i="13"/>
  <c r="E267" i="13"/>
  <c r="Y266" i="13"/>
  <c r="Y265" i="13"/>
  <c r="E263" i="13"/>
  <c r="E268" i="13"/>
  <c r="E266" i="13"/>
  <c r="E269" i="13"/>
  <c r="Y269" i="13"/>
  <c r="Y267" i="13"/>
  <c r="Y262" i="13"/>
  <c r="T202" i="13"/>
  <c r="T194" i="13"/>
  <c r="O256" i="13" s="1"/>
  <c r="T131" i="13"/>
  <c r="N250" i="13" s="1"/>
  <c r="T203" i="13"/>
  <c r="T142" i="13"/>
  <c r="N261" i="13" s="1"/>
  <c r="T182" i="13"/>
  <c r="O244" i="13" s="1"/>
  <c r="X237" i="13"/>
  <c r="T193" i="13"/>
  <c r="O255" i="13" s="1"/>
  <c r="T130" i="13"/>
  <c r="N249" i="13" s="1"/>
  <c r="T188" i="13"/>
  <c r="O250" i="13" s="1"/>
  <c r="T191" i="13"/>
  <c r="O253" i="13" s="1"/>
  <c r="T183" i="13"/>
  <c r="O245" i="13" s="1"/>
  <c r="T146" i="13"/>
  <c r="N265" i="13" s="1"/>
  <c r="T136" i="13"/>
  <c r="N255" i="13" s="1"/>
  <c r="T128" i="13"/>
  <c r="N247" i="13" s="1"/>
  <c r="T149" i="13"/>
  <c r="N268" i="13" s="1"/>
  <c r="T141" i="13"/>
  <c r="N260" i="13" s="1"/>
  <c r="T181" i="13"/>
  <c r="O243" i="13" s="1"/>
  <c r="AA238" i="13"/>
  <c r="T197" i="13"/>
  <c r="O259" i="13" s="1"/>
  <c r="T124" i="13"/>
  <c r="N243" i="13" s="1"/>
  <c r="T199" i="13"/>
  <c r="O261" i="13" s="1"/>
  <c r="AA237" i="13"/>
  <c r="X238" i="13"/>
  <c r="AA236" i="13"/>
  <c r="T206" i="13"/>
  <c r="T190" i="13"/>
  <c r="O252" i="13" s="1"/>
  <c r="X236" i="13"/>
  <c r="T134" i="13"/>
  <c r="N253" i="13" s="1"/>
  <c r="T200" i="13"/>
  <c r="T192" i="13"/>
  <c r="O254" i="13" s="1"/>
  <c r="T129" i="13"/>
  <c r="N248" i="13" s="1"/>
  <c r="T140" i="13"/>
  <c r="N259" i="13" s="1"/>
  <c r="T132" i="13"/>
  <c r="N251" i="13" s="1"/>
  <c r="T150" i="13"/>
  <c r="N269" i="13" s="1"/>
  <c r="T195" i="13"/>
  <c r="O257" i="13" s="1"/>
  <c r="T187" i="13"/>
  <c r="O249" i="13" s="1"/>
  <c r="T144" i="13"/>
  <c r="N263" i="13" s="1"/>
  <c r="T145" i="13"/>
  <c r="N264" i="13" s="1"/>
  <c r="T137" i="13"/>
  <c r="N256" i="13" s="1"/>
  <c r="T126" i="13"/>
  <c r="N245" i="13" s="1"/>
  <c r="T201" i="13"/>
  <c r="T138" i="13"/>
  <c r="N257" i="13" s="1"/>
  <c r="T185" i="13"/>
  <c r="O247" i="13" s="1"/>
  <c r="T148" i="13"/>
  <c r="N267" i="13" s="1"/>
  <c r="T207" i="13"/>
  <c r="T198" i="13"/>
  <c r="O260" i="13" s="1"/>
  <c r="T135" i="13"/>
  <c r="N254" i="13" s="1"/>
  <c r="T127" i="13"/>
  <c r="N246" i="13" s="1"/>
  <c r="D237" i="13"/>
  <c r="G237" i="13"/>
  <c r="G238" i="13"/>
  <c r="D238" i="13"/>
  <c r="G236" i="13"/>
  <c r="D236" i="13"/>
  <c r="AB251" i="13" l="1"/>
  <c r="O265" i="13"/>
  <c r="O269" i="13"/>
  <c r="O263" i="13"/>
  <c r="O262" i="13"/>
  <c r="O268" i="13"/>
  <c r="O264" i="13"/>
  <c r="Z253" i="13"/>
  <c r="Z262" i="13"/>
  <c r="AA246" i="13"/>
  <c r="AB244" i="13"/>
  <c r="H260" i="13"/>
  <c r="AB255" i="13"/>
  <c r="AA260" i="13"/>
  <c r="AA255" i="13"/>
  <c r="Z254" i="13"/>
  <c r="AB258" i="13"/>
  <c r="Z248" i="13"/>
  <c r="AA250" i="13"/>
  <c r="AA266" i="13"/>
  <c r="AA247" i="13"/>
  <c r="Z243" i="13"/>
  <c r="AA262" i="13"/>
  <c r="AA265" i="13"/>
  <c r="AA243" i="13"/>
  <c r="H269" i="13"/>
  <c r="AB249" i="13"/>
  <c r="Z255" i="13"/>
  <c r="Z245" i="13"/>
  <c r="Z264" i="13"/>
  <c r="Z261" i="13"/>
  <c r="Z268" i="13"/>
  <c r="Z263" i="13"/>
  <c r="Z250" i="13"/>
  <c r="Z249" i="13"/>
  <c r="Z256" i="13"/>
  <c r="Z265" i="13"/>
  <c r="Z259" i="13"/>
  <c r="Z246" i="13"/>
  <c r="Z257" i="13"/>
  <c r="Z252" i="13"/>
  <c r="Z247" i="13"/>
  <c r="Z267" i="13"/>
  <c r="Z269" i="13"/>
  <c r="F247" i="13"/>
  <c r="H247" i="13"/>
  <c r="AB265" i="13"/>
  <c r="AB266" i="13"/>
  <c r="AA263" i="13"/>
  <c r="AA244" i="13"/>
  <c r="AA257" i="13"/>
  <c r="AA251" i="13"/>
  <c r="AA264" i="13"/>
  <c r="AA249" i="13"/>
  <c r="AB261" i="13"/>
  <c r="AB267" i="13"/>
  <c r="AA254" i="13"/>
  <c r="AB245" i="13"/>
  <c r="Z260" i="13"/>
  <c r="AA261" i="13"/>
  <c r="AA259" i="13"/>
  <c r="AB257" i="13"/>
  <c r="AA269" i="13"/>
  <c r="AA267" i="13"/>
  <c r="AA258" i="13"/>
  <c r="AB254" i="13"/>
  <c r="AA256" i="13"/>
  <c r="AB250" i="13"/>
  <c r="AA253" i="13"/>
  <c r="AB260" i="13"/>
  <c r="AB259" i="13"/>
  <c r="AB262" i="13"/>
  <c r="Z266" i="13"/>
  <c r="AB243" i="13"/>
  <c r="H264" i="13"/>
  <c r="AB264" i="13"/>
  <c r="AB253" i="13"/>
  <c r="AB268" i="13"/>
  <c r="AB248" i="13"/>
  <c r="AB246" i="13"/>
  <c r="AA245" i="13"/>
  <c r="AA252" i="13"/>
  <c r="AB263" i="13"/>
  <c r="AB247" i="13"/>
  <c r="AB269" i="13"/>
  <c r="F259" i="13"/>
  <c r="H266" i="13"/>
  <c r="AA248" i="13"/>
  <c r="H245" i="13"/>
  <c r="H252" i="13"/>
  <c r="AA268" i="13"/>
  <c r="Z258" i="13"/>
  <c r="Z244" i="13"/>
  <c r="Z251" i="13"/>
  <c r="AB256" i="13"/>
  <c r="AB252" i="13"/>
  <c r="H256" i="13"/>
  <c r="H249" i="13"/>
  <c r="F264" i="13"/>
  <c r="H255" i="13"/>
  <c r="H265" i="13"/>
  <c r="N237" i="13"/>
  <c r="Q236" i="13"/>
  <c r="H258" i="13"/>
  <c r="H261" i="13"/>
  <c r="H251" i="13"/>
  <c r="H263" i="13"/>
  <c r="H262" i="13"/>
  <c r="G244" i="13"/>
  <c r="G260" i="13"/>
  <c r="H246" i="13"/>
  <c r="F254" i="13"/>
  <c r="H253" i="13"/>
  <c r="F255" i="13"/>
  <c r="H243" i="13"/>
  <c r="H267" i="13"/>
  <c r="F268" i="13"/>
  <c r="F252" i="13"/>
  <c r="H250" i="13"/>
  <c r="F253" i="13"/>
  <c r="Q237" i="13"/>
  <c r="N236" i="13"/>
  <c r="Q238" i="13"/>
  <c r="H248" i="13"/>
  <c r="F265" i="13"/>
  <c r="H257" i="13"/>
  <c r="G243" i="13"/>
  <c r="H268" i="13"/>
  <c r="H259" i="13"/>
  <c r="H254" i="13"/>
  <c r="H244" i="13"/>
  <c r="G246" i="13"/>
  <c r="N238" i="13"/>
  <c r="G259" i="13"/>
  <c r="G252" i="13"/>
  <c r="G247" i="13"/>
  <c r="G266" i="13"/>
  <c r="F251" i="13"/>
  <c r="G258" i="13"/>
  <c r="G263" i="13"/>
  <c r="G249" i="13"/>
  <c r="F243" i="13"/>
  <c r="G251" i="13"/>
  <c r="G268" i="13"/>
  <c r="G254" i="13"/>
  <c r="G250" i="13"/>
  <c r="F260" i="13"/>
  <c r="F257" i="13"/>
  <c r="G255" i="13"/>
  <c r="G248" i="13"/>
  <c r="G265" i="13"/>
  <c r="G267" i="13"/>
  <c r="G264" i="13"/>
  <c r="G256" i="13"/>
  <c r="G262" i="13"/>
  <c r="G245" i="13"/>
  <c r="G261" i="13"/>
  <c r="G269" i="13"/>
  <c r="G253" i="13"/>
  <c r="G257" i="13"/>
  <c r="F258" i="13"/>
  <c r="F248" i="13"/>
  <c r="F269" i="13"/>
  <c r="F245" i="13"/>
  <c r="F262" i="13"/>
  <c r="F263" i="13"/>
  <c r="F246" i="13"/>
  <c r="F249" i="13"/>
  <c r="F267" i="13"/>
  <c r="F266" i="13"/>
  <c r="F256" i="13"/>
  <c r="F261" i="13"/>
  <c r="F244" i="13"/>
  <c r="F250" i="13"/>
  <c r="I245" i="13" l="1"/>
  <c r="R265" i="13"/>
  <c r="P253" i="13"/>
  <c r="AC253" i="13"/>
  <c r="AC243" i="13"/>
  <c r="AC245" i="13"/>
  <c r="AC252" i="13"/>
  <c r="AC258" i="13"/>
  <c r="AC246" i="13"/>
  <c r="AC262" i="13"/>
  <c r="AC267" i="13"/>
  <c r="AC257" i="13"/>
  <c r="AC255" i="13"/>
  <c r="AC265" i="13"/>
  <c r="AC260" i="13"/>
  <c r="AC249" i="13"/>
  <c r="I263" i="13"/>
  <c r="AC256" i="13"/>
  <c r="AC268" i="13"/>
  <c r="AC269" i="13"/>
  <c r="AC259" i="13"/>
  <c r="AC263" i="13"/>
  <c r="AC254" i="13"/>
  <c r="AC247" i="13"/>
  <c r="I247" i="13"/>
  <c r="AC244" i="13"/>
  <c r="AC248" i="13"/>
  <c r="AC264" i="13"/>
  <c r="AC250" i="13"/>
  <c r="AC266" i="13"/>
  <c r="I266" i="13"/>
  <c r="Q257" i="13"/>
  <c r="I260" i="13"/>
  <c r="AC261" i="13"/>
  <c r="I264" i="13"/>
  <c r="I252" i="13"/>
  <c r="AC251" i="13"/>
  <c r="P246" i="13"/>
  <c r="Q253" i="13"/>
  <c r="I250" i="13"/>
  <c r="P245" i="13"/>
  <c r="P251" i="13"/>
  <c r="P266" i="13"/>
  <c r="I255" i="13"/>
  <c r="P263" i="13"/>
  <c r="P247" i="13"/>
  <c r="I248" i="13"/>
  <c r="Q258" i="13"/>
  <c r="I265" i="13"/>
  <c r="P262" i="13"/>
  <c r="P269" i="13"/>
  <c r="P248" i="13"/>
  <c r="P249" i="13"/>
  <c r="P261" i="13"/>
  <c r="P250" i="13"/>
  <c r="P252" i="13"/>
  <c r="P259" i="13"/>
  <c r="I254" i="13"/>
  <c r="R255" i="13"/>
  <c r="P268" i="13"/>
  <c r="P264" i="13"/>
  <c r="P244" i="13"/>
  <c r="P256" i="13"/>
  <c r="P257" i="13"/>
  <c r="P258" i="13"/>
  <c r="P265" i="13"/>
  <c r="P243" i="13"/>
  <c r="P255" i="13"/>
  <c r="P267" i="13"/>
  <c r="P254" i="13"/>
  <c r="P260" i="13"/>
  <c r="Q261" i="13"/>
  <c r="Q269" i="13"/>
  <c r="Q268" i="13"/>
  <c r="R250" i="13"/>
  <c r="I268" i="13"/>
  <c r="Q256" i="13"/>
  <c r="I244" i="13"/>
  <c r="I258" i="13"/>
  <c r="R254" i="13"/>
  <c r="Q252" i="13"/>
  <c r="Q247" i="13"/>
  <c r="I243" i="13"/>
  <c r="I259" i="13"/>
  <c r="Q250" i="13"/>
  <c r="R251" i="13"/>
  <c r="R262" i="13"/>
  <c r="I256" i="13"/>
  <c r="I246" i="13"/>
  <c r="I253" i="13"/>
  <c r="R267" i="13"/>
  <c r="R243" i="13"/>
  <c r="Q267" i="13"/>
  <c r="R253" i="13"/>
  <c r="R259" i="13"/>
  <c r="R245" i="13"/>
  <c r="Q246" i="13"/>
  <c r="Q260" i="13"/>
  <c r="R268" i="13"/>
  <c r="R258" i="13"/>
  <c r="R263" i="13"/>
  <c r="R252" i="13"/>
  <c r="R246" i="13"/>
  <c r="R269" i="13"/>
  <c r="R261" i="13"/>
  <c r="R256" i="13"/>
  <c r="R244" i="13"/>
  <c r="R249" i="13"/>
  <c r="R257" i="13"/>
  <c r="Q249" i="13"/>
  <c r="Q259" i="13"/>
  <c r="Q262" i="13"/>
  <c r="Q263" i="13"/>
  <c r="Q265" i="13"/>
  <c r="Q251" i="13"/>
  <c r="Q244" i="13"/>
  <c r="Q248" i="13"/>
  <c r="R248" i="13"/>
  <c r="R247" i="13"/>
  <c r="I261" i="13"/>
  <c r="I249" i="13"/>
  <c r="Q255" i="13"/>
  <c r="R266" i="13"/>
  <c r="Q243" i="13"/>
  <c r="Q245" i="13"/>
  <c r="R260" i="13"/>
  <c r="Q264" i="13"/>
  <c r="Q266" i="13"/>
  <c r="I251" i="13"/>
  <c r="R264" i="13"/>
  <c r="Q254" i="13"/>
  <c r="I269" i="13"/>
  <c r="I257" i="13"/>
  <c r="I262" i="13"/>
  <c r="I267" i="13"/>
  <c r="D19" i="15" l="1"/>
  <c r="D13" i="15"/>
  <c r="D11" i="15"/>
  <c r="D8" i="15"/>
  <c r="D27" i="15"/>
  <c r="J13" i="15"/>
  <c r="D22" i="15"/>
  <c r="J12" i="15"/>
  <c r="D9" i="15"/>
  <c r="J21" i="15"/>
  <c r="D25" i="15"/>
  <c r="J17" i="15"/>
  <c r="J8" i="15"/>
  <c r="D7" i="15"/>
  <c r="D31" i="15"/>
  <c r="D23" i="15"/>
  <c r="D18" i="15"/>
  <c r="D21" i="15"/>
  <c r="D30" i="15"/>
  <c r="D17" i="15"/>
  <c r="D12" i="15"/>
  <c r="D14" i="15"/>
  <c r="J26" i="15"/>
  <c r="J9" i="15"/>
  <c r="J31" i="15"/>
  <c r="J11" i="15"/>
  <c r="J19" i="15"/>
  <c r="J20" i="15"/>
  <c r="J15" i="15"/>
  <c r="D29" i="15"/>
  <c r="D20" i="15"/>
  <c r="D10" i="15"/>
  <c r="D26" i="15"/>
  <c r="D28" i="15"/>
  <c r="J10" i="15"/>
  <c r="J16" i="15"/>
  <c r="J30" i="15"/>
  <c r="J22" i="15"/>
  <c r="J29" i="15"/>
  <c r="J14" i="15"/>
  <c r="D24" i="15"/>
  <c r="D15" i="15"/>
  <c r="D6" i="15"/>
  <c r="D16" i="15"/>
  <c r="J23" i="15"/>
  <c r="J28" i="15"/>
  <c r="J6" i="15"/>
  <c r="J25" i="15"/>
  <c r="J18" i="15"/>
  <c r="J27" i="15"/>
  <c r="J24" i="15"/>
  <c r="J7" i="15"/>
  <c r="J5" i="15"/>
  <c r="D5" i="15"/>
  <c r="S257" i="13"/>
  <c r="S253" i="13"/>
  <c r="S247" i="13"/>
  <c r="AD247" i="13"/>
  <c r="AD253" i="13"/>
  <c r="AD262" i="13"/>
  <c r="AD268" i="13"/>
  <c r="S251" i="13"/>
  <c r="AD260" i="13"/>
  <c r="S244" i="13"/>
  <c r="AD264" i="13"/>
  <c r="AD269" i="13"/>
  <c r="AD248" i="13"/>
  <c r="S252" i="13"/>
  <c r="S265" i="13"/>
  <c r="AD258" i="13"/>
  <c r="AD261" i="13"/>
  <c r="AD257" i="13"/>
  <c r="AD263" i="13"/>
  <c r="AD252" i="13"/>
  <c r="AD254" i="13"/>
  <c r="S261" i="13"/>
  <c r="S246" i="13"/>
  <c r="AD246" i="13"/>
  <c r="AD255" i="13"/>
  <c r="AD244" i="13"/>
  <c r="AD267" i="13"/>
  <c r="AD250" i="13"/>
  <c r="AD251" i="13"/>
  <c r="S262" i="13"/>
  <c r="AD266" i="13"/>
  <c r="AD256" i="13"/>
  <c r="AD245" i="13"/>
  <c r="AD249" i="13"/>
  <c r="AD259" i="13"/>
  <c r="AD243" i="13"/>
  <c r="AD265" i="13"/>
  <c r="S268" i="13"/>
  <c r="S264" i="13"/>
  <c r="J251" i="13"/>
  <c r="S260" i="13"/>
  <c r="S259" i="13"/>
  <c r="S269" i="13"/>
  <c r="S258" i="13"/>
  <c r="S249" i="13"/>
  <c r="J244" i="13"/>
  <c r="S266" i="13"/>
  <c r="J261" i="13"/>
  <c r="S254" i="13"/>
  <c r="S243" i="13"/>
  <c r="S267" i="13"/>
  <c r="J252" i="13"/>
  <c r="S255" i="13"/>
  <c r="S245" i="13"/>
  <c r="S248" i="13"/>
  <c r="S250" i="13"/>
  <c r="S256" i="13"/>
  <c r="J260" i="13"/>
  <c r="J264" i="13"/>
  <c r="J269" i="13"/>
  <c r="S263" i="13"/>
  <c r="J265" i="13"/>
  <c r="J262" i="13"/>
  <c r="J266" i="13"/>
  <c r="J249" i="13"/>
  <c r="J245" i="13"/>
  <c r="J246" i="13"/>
  <c r="J267" i="13"/>
  <c r="J268" i="13"/>
  <c r="J256" i="13"/>
  <c r="J247" i="13"/>
  <c r="J253" i="13"/>
  <c r="J243" i="13"/>
  <c r="J259" i="13"/>
  <c r="J255" i="13"/>
  <c r="J263" i="13"/>
  <c r="J254" i="13"/>
  <c r="J257" i="13"/>
  <c r="J258" i="13"/>
  <c r="J248" i="13"/>
  <c r="J250" i="13"/>
  <c r="E12" i="15" l="1"/>
  <c r="E16" i="15"/>
  <c r="E30" i="15"/>
  <c r="E11" i="15"/>
  <c r="G25" i="15"/>
  <c r="G18" i="15"/>
  <c r="G17" i="15"/>
  <c r="G16" i="15"/>
  <c r="G11" i="15"/>
  <c r="G22" i="15"/>
  <c r="K27" i="15"/>
  <c r="K7" i="15"/>
  <c r="K13" i="15"/>
  <c r="K17" i="15"/>
  <c r="K16" i="15"/>
  <c r="K23" i="15"/>
  <c r="K10" i="15"/>
  <c r="K22" i="15"/>
  <c r="K15" i="15"/>
  <c r="G19" i="15"/>
  <c r="E10" i="15"/>
  <c r="E25" i="15"/>
  <c r="E15" i="15"/>
  <c r="E29" i="15"/>
  <c r="E28" i="15"/>
  <c r="E31" i="15"/>
  <c r="G12" i="15"/>
  <c r="E14" i="15"/>
  <c r="E23" i="15"/>
  <c r="G20" i="15"/>
  <c r="E13" i="15"/>
  <c r="K18" i="15"/>
  <c r="K12" i="15"/>
  <c r="K8" i="15"/>
  <c r="K14" i="15"/>
  <c r="K20" i="15"/>
  <c r="K31" i="15"/>
  <c r="G13" i="15"/>
  <c r="K9" i="15"/>
  <c r="E20" i="15"/>
  <c r="E17" i="15"/>
  <c r="E9" i="15"/>
  <c r="E8" i="15"/>
  <c r="E24" i="15"/>
  <c r="E26" i="15"/>
  <c r="G10" i="15"/>
  <c r="G29" i="15"/>
  <c r="G28" i="15"/>
  <c r="G31" i="15"/>
  <c r="G26" i="15"/>
  <c r="K21" i="15"/>
  <c r="K28" i="15"/>
  <c r="K29" i="15"/>
  <c r="G8" i="15"/>
  <c r="K25" i="15"/>
  <c r="G27" i="15"/>
  <c r="K26" i="15"/>
  <c r="K30" i="15"/>
  <c r="G9" i="15"/>
  <c r="E19" i="15"/>
  <c r="E21" i="15"/>
  <c r="E18" i="15"/>
  <c r="E7" i="15"/>
  <c r="E27" i="15"/>
  <c r="E22" i="15"/>
  <c r="G7" i="15"/>
  <c r="E6" i="15"/>
  <c r="G21" i="15"/>
  <c r="G30" i="15"/>
  <c r="K11" i="15"/>
  <c r="G24" i="15"/>
  <c r="K6" i="15"/>
  <c r="G23" i="15"/>
  <c r="K19" i="15"/>
  <c r="G14" i="15"/>
  <c r="G6" i="15"/>
  <c r="K24" i="15"/>
  <c r="G15" i="15"/>
  <c r="K5" i="15"/>
  <c r="G5" i="15"/>
  <c r="E5" i="15"/>
  <c r="T255" i="13"/>
  <c r="T249" i="13"/>
  <c r="T253" i="13"/>
  <c r="T257" i="13"/>
  <c r="T247" i="13"/>
  <c r="T251" i="13"/>
  <c r="T245" i="13"/>
  <c r="T261" i="13"/>
  <c r="T258" i="13"/>
  <c r="T246" i="13"/>
  <c r="T243" i="13"/>
  <c r="T264" i="13"/>
  <c r="T259" i="13"/>
  <c r="T248" i="13"/>
  <c r="T263" i="13"/>
  <c r="T260" i="13"/>
  <c r="T269" i="13"/>
  <c r="T250" i="13"/>
  <c r="T244" i="13"/>
  <c r="T266" i="13"/>
  <c r="T268" i="13"/>
  <c r="T267" i="13"/>
  <c r="T265" i="13"/>
  <c r="T252" i="13"/>
  <c r="T262" i="13"/>
  <c r="T254" i="13"/>
  <c r="T256" i="13"/>
  <c r="H18" i="15" l="1"/>
  <c r="H27" i="15"/>
  <c r="H6" i="15"/>
  <c r="H25" i="15"/>
  <c r="H7" i="15"/>
  <c r="H15" i="15"/>
  <c r="H16" i="15"/>
  <c r="H29" i="15"/>
  <c r="H12" i="15"/>
  <c r="H10" i="15"/>
  <c r="H8" i="15"/>
  <c r="H13" i="15"/>
  <c r="H11" i="15"/>
  <c r="H24" i="15"/>
  <c r="H30" i="15"/>
  <c r="H31" i="15"/>
  <c r="H21" i="15"/>
  <c r="H20" i="15"/>
  <c r="H9" i="15"/>
  <c r="H17" i="15"/>
  <c r="H14" i="15"/>
  <c r="H28" i="15"/>
  <c r="H22" i="15"/>
  <c r="H26" i="15"/>
  <c r="H23" i="15"/>
  <c r="H19" i="15"/>
  <c r="H5" i="15"/>
  <c r="M24" i="15" l="1"/>
  <c r="O12" i="15" s="1"/>
  <c r="M31" i="15"/>
  <c r="O5" i="15" s="1"/>
  <c r="M13" i="15"/>
  <c r="O23" i="15" s="1"/>
  <c r="M5" i="15"/>
  <c r="O31" i="15" s="1"/>
  <c r="M11" i="15"/>
  <c r="O25" i="15" s="1"/>
  <c r="M26" i="15"/>
  <c r="O10" i="15" s="1"/>
  <c r="M18" i="15"/>
  <c r="O18" i="15" s="1"/>
  <c r="M15" i="15"/>
  <c r="O21" i="15" s="1"/>
  <c r="M14" i="15"/>
  <c r="O22" i="15" s="1"/>
  <c r="M22" i="15"/>
  <c r="O14" i="15" s="1"/>
  <c r="M8" i="15"/>
  <c r="O28" i="15" s="1"/>
  <c r="M20" i="15"/>
  <c r="O16" i="15" s="1"/>
  <c r="M6" i="15"/>
  <c r="O30" i="15" s="1"/>
  <c r="M28" i="15"/>
  <c r="O8" i="15" s="1"/>
  <c r="M12" i="15"/>
  <c r="O24" i="15" s="1"/>
  <c r="M9" i="15"/>
  <c r="O27" i="15" s="1"/>
  <c r="M17" i="15"/>
  <c r="O19" i="15" s="1"/>
  <c r="M10" i="15"/>
  <c r="O26" i="15" s="1"/>
  <c r="M21" i="15"/>
  <c r="O15" i="15" s="1"/>
  <c r="M16" i="15"/>
  <c r="O20" i="15" s="1"/>
  <c r="M19" i="15"/>
  <c r="O17" i="15" s="1"/>
  <c r="M27" i="15"/>
  <c r="O9" i="15" s="1"/>
  <c r="M23" i="15"/>
  <c r="O13" i="15" s="1"/>
  <c r="M30" i="15"/>
  <c r="O6" i="15" s="1"/>
  <c r="M25" i="15"/>
  <c r="O11" i="15" s="1"/>
  <c r="M29" i="15"/>
  <c r="O7" i="15" s="1"/>
  <c r="M7" i="15"/>
  <c r="O29" i="15" s="1"/>
</calcChain>
</file>

<file path=xl/sharedStrings.xml><?xml version="1.0" encoding="utf-8"?>
<sst xmlns="http://schemas.openxmlformats.org/spreadsheetml/2006/main" count="2634" uniqueCount="300">
  <si>
    <t xml:space="preserve">Table 1. Health Security Index Criteria </t>
  </si>
  <si>
    <t>C</t>
  </si>
  <si>
    <t>HIS Criteria</t>
  </si>
  <si>
    <t>Description</t>
  </si>
  <si>
    <t>C1</t>
  </si>
  <si>
    <t>Prevention</t>
  </si>
  <si>
    <t>The effectiveness of countries in preventing and managing the occurrence or dissemination of pathogens.</t>
  </si>
  <si>
    <t>C2</t>
  </si>
  <si>
    <t>Detection and Reporting</t>
  </si>
  <si>
    <t>The strength and effectiveness of systems responsible for identifying and reporting potential global outbreaks.</t>
  </si>
  <si>
    <t>C3</t>
  </si>
  <si>
    <t>Rapid Response</t>
  </si>
  <si>
    <t>A country's ability to promptly and effectively respond to and manage the spread of an epidemic.</t>
  </si>
  <si>
    <t>C4</t>
  </si>
  <si>
    <t>Health System</t>
  </si>
  <si>
    <t>The sufficiency and resilience of a country's healthcare sector in providing adequate treatment to patients.</t>
  </si>
  <si>
    <t>C5</t>
  </si>
  <si>
    <t>Commitments and Adherence</t>
  </si>
  <si>
    <t>A country's commitment to improving its national capabilities and adhering to international norms in health security.</t>
  </si>
  <si>
    <t>C6</t>
  </si>
  <si>
    <t>Risk Environment</t>
  </si>
  <si>
    <t>The overall risk environment and country vulnerability to biological threats.</t>
  </si>
  <si>
    <t xml:space="preserve">Table 2. Initial decision matrix for evaluating HSP in the Non- EU countries (Case -2019)  </t>
  </si>
  <si>
    <t xml:space="preserve">Table 3. Initial decision matrix for evaluating HSP in the  Non-EU countries (Case -2021)  </t>
  </si>
  <si>
    <t xml:space="preserve">Table 4. Initial decision matrix for evaluating HSP in the  Non-EU countries (Case 3- average 2019 and 2021 HSP scores)  </t>
  </si>
  <si>
    <t>Country</t>
  </si>
  <si>
    <t>AVG</t>
  </si>
  <si>
    <t>Albania</t>
  </si>
  <si>
    <t>Andorra</t>
  </si>
  <si>
    <t>Armenia</t>
  </si>
  <si>
    <t>Azerbaijan</t>
  </si>
  <si>
    <t>Belarus</t>
  </si>
  <si>
    <t>Bosnia and Hercegovina</t>
  </si>
  <si>
    <t>Georgia</t>
  </si>
  <si>
    <t>Iceland</t>
  </si>
  <si>
    <t>Israel</t>
  </si>
  <si>
    <t>Kazakhstan</t>
  </si>
  <si>
    <t>Kyrgyz Republic</t>
  </si>
  <si>
    <t>Liechtenstein</t>
  </si>
  <si>
    <t>Moldova</t>
  </si>
  <si>
    <t>Monaco</t>
  </si>
  <si>
    <t>Montenegro</t>
  </si>
  <si>
    <t>North Macedonia</t>
  </si>
  <si>
    <t>Norway</t>
  </si>
  <si>
    <t>Russia</t>
  </si>
  <si>
    <t>San Marino</t>
  </si>
  <si>
    <t>Serbia</t>
  </si>
  <si>
    <t>Switzerland</t>
  </si>
  <si>
    <t>Tajikistan</t>
  </si>
  <si>
    <t>Turkey</t>
  </si>
  <si>
    <t>Turkmenistan</t>
  </si>
  <si>
    <t>Ukraine</t>
  </si>
  <si>
    <t>United Kingdom</t>
  </si>
  <si>
    <t>Uzbekistan</t>
  </si>
  <si>
    <t xml:space="preserve">Table 5. Initial decision matrix for evaluating HSP in Africa countries (Case -2019)  </t>
  </si>
  <si>
    <t xml:space="preserve">Table 6. Initial decision matrix for evaluating HSP in Africa countries (Case -2021)  </t>
  </si>
  <si>
    <t xml:space="preserve">Table 7. Initial decision matrix for evaluating HSP in Africa countries (Case 3- average 2019 and 2021 HSP scores)  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</si>
  <si>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</si>
  <si>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</si>
  <si>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</si>
  <si>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</si>
  <si>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</si>
  <si>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</si>
  <si>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</si>
  <si>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</si>
  <si>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Central African Republic</t>
  </si>
  <si>
    <t>Chad</t>
  </si>
  <si>
    <t>Comoros</t>
  </si>
  <si>
    <t>Congo (Brazzaville)</t>
  </si>
  <si>
    <t>Congo (Democratic Republic)</t>
  </si>
  <si>
    <t>Côte d'Ivoire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</si>
  <si>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</si>
  <si>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</si>
  <si>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</si>
  <si>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</si>
  <si>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</si>
  <si>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</si>
  <si>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</si>
  <si>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</si>
  <si>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</si>
  <si>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</si>
  <si>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</si>
  <si>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</si>
  <si>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Madagascar</t>
  </si>
  <si>
    <t>Malawi</t>
  </si>
  <si>
    <t>Mali</t>
  </si>
  <si>
    <t>Mauritania</t>
  </si>
  <si>
    <t>Mauritius</t>
  </si>
  <si>
    <t>Mozambique</t>
  </si>
  <si>
    <t>Namibia</t>
  </si>
  <si>
    <t>Niger</t>
  </si>
  <si>
    <t>Nigeria</t>
  </si>
  <si>
    <t>Rwanda</t>
  </si>
  <si>
    <t>São Tomé and Príncipe</t>
  </si>
  <si>
    <t>Senegal</t>
  </si>
  <si>
    <t>Seychelles</t>
  </si>
  <si>
    <t>Sierra Leone</t>
  </si>
  <si>
    <t>South Africa</t>
  </si>
  <si>
    <t>South Sudan</t>
  </si>
  <si>
    <t>Tanzania</t>
  </si>
  <si>
    <t>Togo</t>
  </si>
  <si>
    <t>Uganda</t>
  </si>
  <si>
    <t>Zambia</t>
  </si>
  <si>
    <t>Zimbabwe</t>
  </si>
  <si>
    <t xml:space="preserve">Table 8. Initial decision matrix for evaluating HSP in EMR countries (Case -2019)  </t>
  </si>
  <si>
    <t xml:space="preserve">Table 9. Initial decision matrix for evaluating HSP in EMR countries (Case -2021)  </t>
  </si>
  <si>
    <t>Table 10. Initial decision matrix for evaluating HSP in EMR countries (Case 3- average 2019 and 2021 HSP scores)</t>
  </si>
  <si>
    <t>Bahrain</t>
  </si>
  <si>
    <t>Kuwait</t>
  </si>
  <si>
    <t>Oman</t>
  </si>
  <si>
    <t>Qatar</t>
  </si>
  <si>
    <t>Saudi Arabia</t>
  </si>
  <si>
    <t>United Arab Emirates</t>
  </si>
  <si>
    <t>Afghanistan</t>
  </si>
  <si>
    <t>Djibouti</t>
  </si>
  <si>
    <t>Egypt</t>
  </si>
  <si>
    <t>Iran</t>
  </si>
  <si>
    <t>Iraq</t>
  </si>
  <si>
    <t>Jordan</t>
  </si>
  <si>
    <t>Lebanon</t>
  </si>
  <si>
    <t>Libya</t>
  </si>
  <si>
    <t>Morocco</t>
  </si>
  <si>
    <t>Pakistan</t>
  </si>
  <si>
    <t>Somalia</t>
  </si>
  <si>
    <t>Sudan</t>
  </si>
  <si>
    <t>Syria</t>
  </si>
  <si>
    <t>Tunisia</t>
  </si>
  <si>
    <t>Yemen</t>
  </si>
  <si>
    <t xml:space="preserve">Step 2.1 : Determining the relative importance of health security indicators in regions using the entropy method </t>
  </si>
  <si>
    <t>Problem</t>
  </si>
  <si>
    <t>Total number of alternatives</t>
  </si>
  <si>
    <t>Total number of criteria</t>
  </si>
  <si>
    <t>Type of criteria</t>
  </si>
  <si>
    <t>1. Construction of decision matrix</t>
  </si>
  <si>
    <t>DM</t>
  </si>
  <si>
    <t>PR</t>
  </si>
  <si>
    <t>DR</t>
  </si>
  <si>
    <t>RR</t>
  </si>
  <si>
    <t>HS</t>
  </si>
  <si>
    <t>CA</t>
  </si>
  <si>
    <t>RE</t>
  </si>
  <si>
    <t xml:space="preserve"> </t>
  </si>
  <si>
    <t/>
  </si>
  <si>
    <t>2. Calculating the normalized values of alternatives using (2)</t>
  </si>
  <si>
    <t>Normalized matrix</t>
  </si>
  <si>
    <t>Sum</t>
  </si>
  <si>
    <t xml:space="preserve">3. Computing the entropy measure E_j </t>
  </si>
  <si>
    <t>Ln</t>
  </si>
  <si>
    <t>Entropy</t>
  </si>
  <si>
    <t>4. Computing the entropy measure E_j</t>
  </si>
  <si>
    <t>1-Entropy</t>
  </si>
  <si>
    <t>Weight</t>
  </si>
  <si>
    <t>Weights values</t>
  </si>
  <si>
    <t>Group</t>
  </si>
  <si>
    <t>Data</t>
  </si>
  <si>
    <t xml:space="preserve">Detection and Reporting </t>
  </si>
  <si>
    <t>Compliance with Norms</t>
  </si>
  <si>
    <t>Non-EU</t>
  </si>
  <si>
    <t>Case 2019</t>
  </si>
  <si>
    <t>Case 2021</t>
  </si>
  <si>
    <t>Aggregated</t>
  </si>
  <si>
    <t>African R</t>
  </si>
  <si>
    <t>EMR</t>
  </si>
  <si>
    <t xml:space="preserve">EMR </t>
  </si>
  <si>
    <t>Tabular and graphical visualization of the dynamic prioritization of indicators (change in weights between 2019 and 2021) for ER, EU, and non-EU countries in the ER, African region, and EMR</t>
  </si>
  <si>
    <t>Dynamic prioritization of indicators (change in weights 2019-2021)</t>
  </si>
  <si>
    <t xml:space="preserve">2. Calculate the normalized values of alternatives (N). </t>
  </si>
  <si>
    <t>3. Calculate the sum the weighted comparability sequence (Si)</t>
  </si>
  <si>
    <t>Si</t>
  </si>
  <si>
    <t>Wj</t>
  </si>
  <si>
    <t>Pi</t>
  </si>
  <si>
    <t>Sum of PI</t>
  </si>
  <si>
    <t>Sum of SI</t>
  </si>
  <si>
    <t>λ</t>
  </si>
  <si>
    <t>MAX</t>
  </si>
  <si>
    <t>MIN</t>
  </si>
  <si>
    <t xml:space="preserve">5. Calculate the relative importance of the alternatives </t>
  </si>
  <si>
    <t>SI</t>
  </si>
  <si>
    <t>PI</t>
  </si>
  <si>
    <t>Ka</t>
  </si>
  <si>
    <t>Kb</t>
  </si>
  <si>
    <t>Kc</t>
  </si>
  <si>
    <t>K</t>
  </si>
  <si>
    <t>Final Ranking</t>
  </si>
  <si>
    <t>Ri</t>
  </si>
  <si>
    <t>2. Computing  the squared weighted comparability sequence for each alternative (Pi)</t>
  </si>
  <si>
    <t>Non-EU countries’ health security performance ranking and clustering results</t>
  </si>
  <si>
    <t>Ci</t>
  </si>
  <si>
    <t>Ri (2019)</t>
  </si>
  <si>
    <t>Si  (2019)</t>
  </si>
  <si>
    <t>Ri(2021)</t>
  </si>
  <si>
    <t>Si  (2021)</t>
  </si>
  <si>
    <t>Ri (2017-2021)</t>
  </si>
  <si>
    <t>Si  (2017-2021)</t>
  </si>
  <si>
    <t>Ri (Shifts)</t>
  </si>
  <si>
    <t>Si  (Shifts)</t>
  </si>
  <si>
    <t>Bosnia &amp; Herceg.</t>
  </si>
  <si>
    <t>United King.</t>
  </si>
  <si>
    <t>1. Output for FIVE Clusters/Segments</t>
  </si>
  <si>
    <t>Output for FIVE Clusters/Segments</t>
  </si>
  <si>
    <t>Mean/Centroid</t>
  </si>
  <si>
    <t>Segment 1</t>
  </si>
  <si>
    <t>Segment 2</t>
  </si>
  <si>
    <t>Segment 3</t>
  </si>
  <si>
    <t>Segment 4</t>
  </si>
  <si>
    <t>Segment 5</t>
  </si>
  <si>
    <t>AVERAGE</t>
  </si>
  <si>
    <t>Respondents</t>
  </si>
  <si>
    <t>Number</t>
  </si>
  <si>
    <t xml:space="preserve">% </t>
  </si>
  <si>
    <t>SSE/Segment</t>
  </si>
  <si>
    <t>SSE Total</t>
  </si>
  <si>
    <t>TOTAL</t>
  </si>
  <si>
    <t>Segment</t>
  </si>
  <si>
    <t>Grade 1</t>
  </si>
  <si>
    <t>Grade 2</t>
  </si>
  <si>
    <t>Grade 3</t>
  </si>
  <si>
    <t>Grade 4</t>
  </si>
  <si>
    <t>Grade 5</t>
  </si>
  <si>
    <t>Grade</t>
  </si>
  <si>
    <t>EU-Country</t>
  </si>
  <si>
    <t>Step 1: Health Security Indicator Compilation</t>
  </si>
  <si>
    <t>Step 2: Assessing Cross-Regional Variations in Health Security Determinants: Entropy-Driven Estimation of Criterion Weights</t>
  </si>
  <si>
    <t>2.2.a. EMR region based on 2019 data</t>
  </si>
  <si>
    <t>2.3.a. African countries based on 2019 data</t>
  </si>
  <si>
    <t>2.3.b. African countries based on 2021 data</t>
  </si>
  <si>
    <t>Step 3: Prioritizing Non-EU Countries Using an Integrated Entropy-CoCoSo Method</t>
  </si>
  <si>
    <t>Step 4: Clustering Non-EU Countries based on their  Entropy-CoCoSo HeS performance scores using the K-Means clustering model</t>
  </si>
  <si>
    <t>Tabular and graphical visualization of entropy values and weights of health system indicators for non-EU countries , African region, and EMR.</t>
  </si>
  <si>
    <t>Step 5. Tabular and graphical visualization of results</t>
  </si>
  <si>
    <t>Go</t>
  </si>
  <si>
    <t>1.Data Acquisition and Selection</t>
  </si>
  <si>
    <t>Grade ID</t>
  </si>
  <si>
    <t xml:space="preserve"> Supplement File 2- Software </t>
  </si>
  <si>
    <r>
      <t>c</t>
    </r>
    <r>
      <rPr>
        <sz val="12"/>
        <color rgb="FF000000"/>
        <rFont val="Times New Roman"/>
        <family val="1"/>
      </rPr>
      <t>Department of Computer Science, College of Sciences and Humanities, Building No: 16 A 3, Prince Sattam Bin Abdulaziz University, Al-Kharj, Saudi Arabia, Postal code: 16700; Tel: +966-50-040-1831</t>
    </r>
  </si>
  <si>
    <r>
      <t>a</t>
    </r>
    <r>
      <rPr>
        <sz val="12"/>
        <color theme="1"/>
        <rFont val="Times New Roman"/>
        <family val="1"/>
      </rPr>
      <t>Department of Artiﬁcial Intelligence, Modern Specialized University, Sana’a, Yemen</t>
    </r>
  </si>
  <si>
    <r>
      <t>b</t>
    </r>
    <r>
      <rPr>
        <sz val="12"/>
        <color theme="1"/>
        <rFont val="Times New Roman"/>
        <family val="1"/>
      </rPr>
      <t>Department of Information Systems and Computer Science, Sa’adah University</t>
    </r>
  </si>
  <si>
    <t xml:space="preserve"> This Tool supplements the research paper titled " Health Security inequalities in Non-EU European Countries: A Cross-National Comparative Assessment Using an Integrated MCDM-Machine Learning Approach " </t>
  </si>
  <si>
    <t>1.1) Antimicrobial resistance (AMR)</t>
  </si>
  <si>
    <t>1.2) Zoonotic disease</t>
  </si>
  <si>
    <t>1.3) Biosecurity</t>
  </si>
  <si>
    <t>1.4) Biosafety</t>
  </si>
  <si>
    <t>1.5) Dual-use research and culture of responsible science</t>
  </si>
  <si>
    <t>1.6) Immunization</t>
  </si>
  <si>
    <t>2.1) Laboratory systems strength and quality</t>
  </si>
  <si>
    <t>2.2) Laboratory supply chains</t>
  </si>
  <si>
    <t>2.3) Real-time surveillance and reporting</t>
  </si>
  <si>
    <t>2.4) Surveillance data accessibility and transparency</t>
  </si>
  <si>
    <t>2.5) Case-based investigation</t>
  </si>
  <si>
    <t>2.6) Epidemiology workforce</t>
  </si>
  <si>
    <t>3.1) Emergency preparedness and response planning</t>
  </si>
  <si>
    <t>3.2) Exercising response plans</t>
  </si>
  <si>
    <t>3.3) Emergency response operation</t>
  </si>
  <si>
    <t>3.4) Linking public health and security authorities</t>
  </si>
  <si>
    <t>3.5) Risk communication</t>
  </si>
  <si>
    <t>3.6) Access to communications infrastructure</t>
  </si>
  <si>
    <t>3.7) Trade and travel restrictions</t>
  </si>
  <si>
    <t>4.1) Health capacity in clinics, hospitals and community care centers</t>
  </si>
  <si>
    <t>4.2) Supply chain for health system and healthcare workers</t>
  </si>
  <si>
    <t>4.3) Medical countermeasures and personnel deployment</t>
  </si>
  <si>
    <t>4.4) Healthcare access</t>
  </si>
  <si>
    <t>4.5) Communications with healthcare workers during a public health emergency</t>
  </si>
  <si>
    <t>4.6) Infection control practices</t>
  </si>
  <si>
    <t>4.7) Capacity to test and approve new medical countermeasures</t>
  </si>
  <si>
    <t>5.1) IHR reporting compliance and disaster risk reduction</t>
  </si>
  <si>
    <t>5.2) Cross-border agreements on public health and animal health emergency response</t>
  </si>
  <si>
    <t>5.3) International commitments</t>
  </si>
  <si>
    <t>5.4) JEE and PVS</t>
  </si>
  <si>
    <t>5.5) Financing</t>
  </si>
  <si>
    <t>5.6) Commitment to sharing of genetic &amp; biological data &amp; specimens</t>
  </si>
  <si>
    <t>6.1) Political and security risk</t>
  </si>
  <si>
    <t>6.2) Socio-economic resilience</t>
  </si>
  <si>
    <t>6.3) Infrastructure adequacy</t>
  </si>
  <si>
    <t>6.4) Environmental risks</t>
  </si>
  <si>
    <t>6.5) Public health vulnerabilities</t>
  </si>
  <si>
    <t xml:space="preserve">Table 11. Average HSP in the  Non-EU countries (Case -2017-2021) </t>
  </si>
  <si>
    <t>Indicator</t>
  </si>
  <si>
    <t>Cluster 1</t>
  </si>
  <si>
    <t>Cluster 2</t>
  </si>
  <si>
    <t>Cluster 3</t>
  </si>
  <si>
    <t>Cluster 4</t>
  </si>
  <si>
    <t>Cluster 5</t>
  </si>
  <si>
    <t>*Corresponding Author: Email: adel@saada-uni.edu.ye</t>
  </si>
  <si>
    <r>
      <t>Mijahed Nasser Aljober</t>
    </r>
    <r>
      <rPr>
        <vertAlign val="superscript"/>
        <sz val="12"/>
        <color theme="1"/>
        <rFont val="Times New Roman"/>
        <family val="1"/>
      </rPr>
      <t xml:space="preserve"> a</t>
    </r>
    <r>
      <rPr>
        <sz val="12"/>
        <color theme="1"/>
        <rFont val="Times New Roman"/>
        <family val="1"/>
      </rPr>
      <t>. Adel A. Nasser</t>
    </r>
    <r>
      <rPr>
        <vertAlign val="superscript"/>
        <sz val="12"/>
        <color theme="1"/>
        <rFont val="Times New Roman"/>
        <family val="1"/>
      </rPr>
      <t xml:space="preserve"> a,b*</t>
    </r>
    <r>
      <rPr>
        <sz val="12"/>
        <color theme="1"/>
        <rFont val="Times New Roman"/>
        <family val="1"/>
      </rPr>
      <t>,  Abed Saif Ahmed Alghawli</t>
    </r>
    <r>
      <rPr>
        <vertAlign val="superscript"/>
        <sz val="12"/>
        <color theme="1"/>
        <rFont val="Times New Roman"/>
        <family val="1"/>
      </rPr>
      <t>c</t>
    </r>
    <r>
      <rPr>
        <sz val="12"/>
        <color theme="1"/>
        <rFont val="Times New Roman"/>
        <family val="1"/>
      </rPr>
      <t>, and Amani A. K. Elsayed</t>
    </r>
    <r>
      <rPr>
        <vertAlign val="superscript"/>
        <sz val="12"/>
        <color theme="1"/>
        <rFont val="Times New Roman"/>
        <family val="1"/>
      </rPr>
      <t>c</t>
    </r>
  </si>
  <si>
    <t>2.1.a. Non-EU countries based on 2019 data</t>
  </si>
  <si>
    <t>2.1.b. Non-EU countries based on 2021 data</t>
  </si>
  <si>
    <t>2.1.c. Non-EU countries based on 2017-2021 data</t>
  </si>
  <si>
    <t>2.2.b. EMR region based on 2021 data</t>
  </si>
  <si>
    <t>2.2.c. EMR region based on 2017-2021 data</t>
  </si>
  <si>
    <t>2.3.c. African countries based on 2017-2021 data</t>
  </si>
  <si>
    <t>3.a. Non-EU countries based on 2019 data</t>
  </si>
  <si>
    <t>3.b. Non-EU countries based on 2021 data</t>
  </si>
  <si>
    <t>3.c. Non-EU countries based on 2017-2021 data</t>
  </si>
  <si>
    <t>4.a. Non-EU countries based on 2019 data</t>
  </si>
  <si>
    <t>4.b. Non-EU countries based on 2021 data</t>
  </si>
  <si>
    <t>4.c. Non-EU countries based on 2017-2021 data</t>
  </si>
  <si>
    <t>5.b. Non-EU countries’ health security performance ranking and clustering results</t>
  </si>
  <si>
    <t>5.c. Health Security Performance: Insights and Patterns across Five Clusters</t>
  </si>
  <si>
    <t>MCDM-ML Based Tool for Health Security Optimization in Non-EU Countries: Comprehensive Assessment and Visualization Workflow</t>
  </si>
  <si>
    <t>5.a. Entropy weights of health system indicators for all regions under study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</si>
</sst>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_-* #,##0.00\-;_-* &quot;-&quot;??_-;_-@_-"/>
    <numFmt numFmtId="164" formatCode="0.000"/>
    <numFmt numFmtId="165" formatCode="0.00000"/>
    <numFmt numFmtId="166" formatCode="0.0000"/>
    <numFmt numFmtId="167" formatCode="0.0%"/>
    <numFmt numFmtId="168" formatCode="#,##0.0"/>
  </numFmts>
  <fonts count="55">
    <font>
      <sz val="11"/>
      <color theme="1"/>
      <name val="Arial"/>
      <family val="2"/>
      <scheme val="minor"/>
    </font>
    <font>
      <sz val="11"/>
      <color rgb="FF3F3F76"/>
      <name val="Arial"/>
      <family val="2"/>
      <charset val="178"/>
      <scheme val="minor"/>
    </font>
    <font>
      <b/>
      <sz val="11"/>
      <color rgb="FF3F3F76"/>
      <name val="Times New Roman"/>
      <family val="1"/>
    </font>
    <font>
      <u/>
      <sz val="11"/>
      <color theme="10"/>
      <name val="Arial"/>
      <family val="2"/>
      <scheme val="minor"/>
    </font>
    <font>
      <sz val="14"/>
      <color rgb="FF000000"/>
      <name val="Arial"/>
      <family val="2"/>
    </font>
    <font>
      <sz val="11"/>
      <color theme="1"/>
      <name val="Arial"/>
      <family val="2"/>
    </font>
    <font>
      <u/>
      <sz val="11"/>
      <color rgb="FF0563C1"/>
      <name val="Arial"/>
      <family val="2"/>
    </font>
    <font>
      <i/>
      <sz val="11"/>
      <color rgb="FF7F7F7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4"/>
      <color theme="1"/>
      <name val="Arial"/>
      <family val="2"/>
      <scheme val="minor"/>
    </font>
    <font>
      <sz val="11"/>
      <color rgb="FF3F3F76"/>
      <name val="Arial"/>
      <family val="2"/>
    </font>
    <font>
      <b/>
      <sz val="14"/>
      <name val="Arial"/>
      <family val="2"/>
    </font>
    <font>
      <b/>
      <i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sz val="11"/>
      <color rgb="FFFFFFFF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000000"/>
      <name val="Times New Roman"/>
      <family val="1"/>
    </font>
    <font>
      <b/>
      <sz val="11"/>
      <color theme="1"/>
      <name val="Arial"/>
      <family val="2"/>
      <scheme val="minor"/>
    </font>
    <font>
      <b/>
      <sz val="12"/>
      <color theme="1"/>
      <name val="Times New Roman"/>
      <family val="1"/>
    </font>
    <font>
      <b/>
      <sz val="10"/>
      <color rgb="FF000000"/>
      <name val="Times New Roman"/>
      <family val="1"/>
      <charset val="178"/>
    </font>
    <font>
      <b/>
      <sz val="8"/>
      <color rgb="FF000000"/>
      <name val="Times New Roman"/>
      <family val="1"/>
    </font>
    <font>
      <b/>
      <sz val="10"/>
      <color theme="1"/>
      <name val="Arial"/>
      <family val="2"/>
      <charset val="178"/>
    </font>
    <font>
      <sz val="10"/>
      <color theme="1"/>
      <name val="Arial"/>
      <family val="2"/>
      <charset val="178"/>
    </font>
    <font>
      <sz val="12"/>
      <color theme="1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sz val="10"/>
      <color rgb="FF000000"/>
      <name val="Roboto"/>
    </font>
    <font>
      <sz val="10"/>
      <color rgb="FF000000"/>
      <name val="Times New Roman"/>
      <family val="1"/>
    </font>
    <font>
      <b/>
      <sz val="11"/>
      <name val="Times New Roman"/>
      <family val="1"/>
    </font>
    <font>
      <b/>
      <sz val="8"/>
      <color rgb="FF000000"/>
      <name val="Arial"/>
      <family val="2"/>
    </font>
    <font>
      <sz val="8"/>
      <color rgb="FF7030A0"/>
      <name val="Arial"/>
      <family val="2"/>
    </font>
    <font>
      <b/>
      <i/>
      <sz val="8"/>
      <color rgb="FF000000"/>
      <name val="Arial"/>
      <family val="2"/>
    </font>
    <font>
      <sz val="8"/>
      <color rgb="FF000000"/>
      <name val="Arial"/>
      <family val="2"/>
    </font>
    <font>
      <sz val="11"/>
      <color theme="1"/>
      <name val="Arial"/>
      <family val="2"/>
      <scheme val="minor"/>
    </font>
    <font>
      <b/>
      <sz val="14"/>
      <color rgb="FF000000"/>
      <name val="Arial"/>
      <family val="2"/>
    </font>
    <font>
      <i/>
      <sz val="11"/>
      <color rgb="FF000000"/>
      <name val="Arial"/>
      <family val="2"/>
    </font>
    <font>
      <b/>
      <sz val="14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8"/>
      <color rgb="FFFF0000"/>
      <name val="Arial"/>
      <family val="2"/>
      <scheme val="minor"/>
    </font>
    <font>
      <sz val="10"/>
      <color theme="1"/>
      <name val="Times New Roman"/>
      <family val="1"/>
      <scheme val="major"/>
    </font>
    <font>
      <sz val="10"/>
      <color rgb="FF000000"/>
      <name val="Times New Roman"/>
      <family val="1"/>
      <scheme val="major"/>
    </font>
    <font>
      <b/>
      <sz val="10"/>
      <color rgb="FF000000"/>
      <name val="Times New Roman"/>
      <family val="1"/>
      <scheme val="major"/>
    </font>
    <font>
      <sz val="10"/>
      <color rgb="FF000000"/>
      <name val="Arial"/>
      <family val="2"/>
    </font>
    <font>
      <b/>
      <sz val="16"/>
      <color rgb="FF000000"/>
      <name val="Times New Roman"/>
      <family val="1"/>
    </font>
    <font>
      <sz val="20"/>
      <color rgb="FF000000"/>
      <name val="Arial"/>
      <family val="2"/>
    </font>
    <font>
      <sz val="12"/>
      <color rgb="FF000000"/>
      <name val="Times New Roman"/>
      <family val="1"/>
    </font>
    <font>
      <vertAlign val="superscript"/>
      <sz val="12"/>
      <color rgb="FF000000"/>
      <name val="Times New Roman"/>
      <family val="1"/>
    </font>
    <font>
      <u/>
      <sz val="10"/>
      <color theme="10"/>
      <name val="Arial"/>
      <family val="2"/>
    </font>
    <font>
      <vertAlign val="superscript"/>
      <sz val="12"/>
      <color theme="1"/>
      <name val="Times New Roman"/>
      <family val="1"/>
    </font>
    <font>
      <sz val="10"/>
      <color rgb="FF000000"/>
      <name val="Times New Roman"/>
      <family val="1"/>
      <charset val="178"/>
    </font>
    <font>
      <b/>
      <sz val="14"/>
      <color rgb="FFFF0000"/>
      <name val="Arial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/>
      </patternFill>
    </fill>
    <fill>
      <patternFill patternType="solid">
        <fgColor rgb="FFFFCC99"/>
        <bgColor rgb="FFFFFFFF"/>
      </patternFill>
    </fill>
    <fill>
      <patternFill patternType="solid">
        <fgColor rgb="FF70AD47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5B9BD5"/>
        <bgColor rgb="FFFFFFFF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B5E3E8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E7FD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double">
        <color indexed="64"/>
      </bottom>
      <diagonal/>
    </border>
    <border>
      <left style="thin">
        <color rgb="FF7F7F7F"/>
      </left>
      <right/>
      <top style="thin">
        <color rgb="FF7F7F7F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43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46" fillId="0" borderId="0"/>
    <xf numFmtId="0" fontId="51" fillId="0" borderId="0" applyNumberFormat="0" applyFill="0" applyBorder="0" applyAlignment="0" applyProtection="0"/>
  </cellStyleXfs>
  <cellXfs count="357">
    <xf numFmtId="0" fontId="0" fillId="0" borderId="0" xfId="0"/>
    <xf numFmtId="0" fontId="5" fillId="0" borderId="0" xfId="0" applyFont="1" applyFill="1" applyBorder="1"/>
    <xf numFmtId="0" fontId="6" fillId="0" borderId="0" xfId="2" applyFont="1" applyFill="1" applyBorder="1"/>
    <xf numFmtId="0" fontId="10" fillId="7" borderId="1" xfId="1" applyFont="1" applyFill="1" applyAlignment="1">
      <alignment horizontal="left"/>
    </xf>
    <xf numFmtId="0" fontId="12" fillId="3" borderId="0" xfId="3" applyFont="1" applyFill="1" applyBorder="1" applyAlignment="1">
      <alignment horizontal="center" vertical="center" wrapText="1"/>
    </xf>
    <xf numFmtId="0" fontId="10" fillId="7" borderId="20" xfId="1" applyFont="1" applyFill="1" applyBorder="1" applyAlignment="1">
      <alignment horizontal="center"/>
    </xf>
    <xf numFmtId="0" fontId="5" fillId="0" borderId="0" xfId="0" applyFont="1"/>
    <xf numFmtId="0" fontId="10" fillId="3" borderId="21" xfId="1" applyFont="1" applyFill="1" applyBorder="1" applyAlignment="1">
      <alignment horizontal="center"/>
    </xf>
    <xf numFmtId="0" fontId="10" fillId="3" borderId="0" xfId="1" applyFont="1" applyFill="1" applyBorder="1" applyAlignment="1">
      <alignment horizontal="center"/>
    </xf>
    <xf numFmtId="0" fontId="13" fillId="3" borderId="0" xfId="3" applyFont="1" applyFill="1" applyBorder="1" applyAlignment="1">
      <alignment horizontal="center" vertical="top" wrapText="1"/>
    </xf>
    <xf numFmtId="0" fontId="15" fillId="9" borderId="0" xfId="4" applyFont="1" applyFill="1" applyBorder="1" applyAlignment="1">
      <alignment horizontal="center" vertical="center" wrapText="1"/>
    </xf>
    <xf numFmtId="0" fontId="15" fillId="3" borderId="0" xfId="4" applyFont="1" applyFill="1" applyBorder="1" applyAlignment="1">
      <alignment horizontal="center"/>
    </xf>
    <xf numFmtId="0" fontId="12" fillId="3" borderId="0" xfId="3" applyFont="1" applyFill="1" applyBorder="1" applyAlignment="1">
      <alignment horizontal="center" vertical="top" wrapText="1"/>
    </xf>
    <xf numFmtId="0" fontId="16" fillId="10" borderId="3" xfId="3" applyFont="1" applyFill="1" applyBorder="1" applyAlignment="1">
      <alignment horizontal="center" vertical="top" wrapText="1"/>
    </xf>
    <xf numFmtId="0" fontId="12" fillId="3" borderId="21" xfId="3" applyFont="1" applyFill="1" applyBorder="1" applyAlignment="1">
      <alignment vertical="top" wrapText="1"/>
    </xf>
    <xf numFmtId="0" fontId="15" fillId="9" borderId="9" xfId="4" applyFont="1" applyFill="1" applyBorder="1" applyAlignment="1">
      <alignment horizontal="center" vertical="center" wrapText="1"/>
    </xf>
    <xf numFmtId="0" fontId="17" fillId="3" borderId="0" xfId="4" applyFont="1" applyFill="1" applyBorder="1" applyAlignment="1">
      <alignment horizontal="center"/>
    </xf>
    <xf numFmtId="164" fontId="12" fillId="3" borderId="0" xfId="3" applyNumberFormat="1" applyFont="1" applyFill="1" applyBorder="1" applyAlignment="1">
      <alignment horizontal="center" vertical="top" wrapText="1"/>
    </xf>
    <xf numFmtId="0" fontId="6" fillId="3" borderId="21" xfId="2" applyFont="1" applyFill="1" applyBorder="1" applyAlignment="1">
      <alignment vertical="top" wrapText="1"/>
    </xf>
    <xf numFmtId="0" fontId="12" fillId="3" borderId="8" xfId="3" applyFont="1" applyFill="1" applyBorder="1" applyAlignment="1">
      <alignment vertical="top" wrapText="1"/>
    </xf>
    <xf numFmtId="0" fontId="17" fillId="3" borderId="9" xfId="4" applyFont="1" applyFill="1" applyBorder="1" applyAlignment="1">
      <alignment horizontal="center"/>
    </xf>
    <xf numFmtId="0" fontId="12" fillId="3" borderId="21" xfId="3" applyFont="1" applyFill="1" applyBorder="1" applyAlignment="1">
      <alignment horizontal="center" vertical="top" wrapText="1"/>
    </xf>
    <xf numFmtId="0" fontId="18" fillId="3" borderId="0" xfId="3" applyFont="1" applyFill="1" applyBorder="1" applyAlignment="1">
      <alignment horizontal="center" vertical="top" wrapText="1"/>
    </xf>
    <xf numFmtId="0" fontId="17" fillId="0" borderId="21" xfId="0" applyFont="1" applyBorder="1"/>
    <xf numFmtId="0" fontId="12" fillId="3" borderId="8" xfId="3" applyFont="1" applyFill="1" applyBorder="1" applyAlignment="1">
      <alignment horizontal="center" vertical="top" wrapText="1"/>
    </xf>
    <xf numFmtId="0" fontId="12" fillId="3" borderId="23" xfId="3" applyFont="1" applyFill="1" applyBorder="1" applyAlignment="1">
      <alignment horizontal="center" vertical="top" wrapText="1"/>
    </xf>
    <xf numFmtId="165" fontId="12" fillId="8" borderId="25" xfId="3" applyNumberFormat="1" applyFont="1" applyFill="1" applyBorder="1" applyAlignment="1">
      <alignment horizontal="center" vertical="top" wrapText="1"/>
    </xf>
    <xf numFmtId="165" fontId="12" fillId="8" borderId="3" xfId="3" applyNumberFormat="1" applyFont="1" applyFill="1" applyBorder="1" applyAlignment="1">
      <alignment horizontal="center" vertical="top" wrapText="1"/>
    </xf>
    <xf numFmtId="0" fontId="14" fillId="3" borderId="22" xfId="1" applyFont="1" applyFill="1" applyBorder="1" applyAlignment="1">
      <alignment vertical="center"/>
    </xf>
    <xf numFmtId="164" fontId="12" fillId="8" borderId="25" xfId="3" applyNumberFormat="1" applyFont="1" applyFill="1" applyBorder="1" applyAlignment="1">
      <alignment horizontal="center" vertical="top" wrapText="1"/>
    </xf>
    <xf numFmtId="164" fontId="12" fillId="8" borderId="3" xfId="3" applyNumberFormat="1" applyFont="1" applyFill="1" applyBorder="1" applyAlignment="1">
      <alignment horizontal="center" vertical="top" wrapText="1"/>
    </xf>
    <xf numFmtId="164" fontId="12" fillId="8" borderId="27" xfId="3" applyNumberFormat="1" applyFont="1" applyFill="1" applyBorder="1" applyAlignment="1">
      <alignment horizontal="center" vertical="top" wrapText="1"/>
    </xf>
    <xf numFmtId="164" fontId="12" fillId="8" borderId="28" xfId="3" applyNumberFormat="1" applyFont="1" applyFill="1" applyBorder="1" applyAlignment="1">
      <alignment horizontal="center" vertical="top" wrapText="1"/>
    </xf>
    <xf numFmtId="164" fontId="16" fillId="10" borderId="3" xfId="3" applyNumberFormat="1" applyFont="1" applyFill="1" applyBorder="1" applyAlignment="1">
      <alignment horizontal="center" vertical="top" wrapText="1"/>
    </xf>
    <xf numFmtId="0" fontId="20" fillId="0" borderId="0" xfId="0" applyFont="1"/>
    <xf numFmtId="0" fontId="21" fillId="0" borderId="0" xfId="0" applyFont="1" applyAlignment="1">
      <alignment vertical="center"/>
    </xf>
    <xf numFmtId="0" fontId="22" fillId="0" borderId="3" xfId="0" applyFont="1" applyBorder="1" applyAlignment="1">
      <alignment horizontal="left" vertical="top" wrapText="1"/>
    </xf>
    <xf numFmtId="0" fontId="23" fillId="0" borderId="24" xfId="0" applyFont="1" applyBorder="1" applyAlignment="1">
      <alignment horizontal="justify" vertical="center" wrapText="1"/>
    </xf>
    <xf numFmtId="0" fontId="24" fillId="0" borderId="3" xfId="0" applyFont="1" applyBorder="1" applyAlignment="1">
      <alignment horizontal="left" vertical="top"/>
    </xf>
    <xf numFmtId="164" fontId="25" fillId="12" borderId="3" xfId="0" applyNumberFormat="1" applyFont="1" applyFill="1" applyBorder="1" applyAlignment="1">
      <alignment horizontal="left" vertical="top"/>
    </xf>
    <xf numFmtId="164" fontId="25" fillId="12" borderId="3" xfId="0" quotePrefix="1" applyNumberFormat="1" applyFont="1" applyFill="1" applyBorder="1" applyAlignment="1">
      <alignment horizontal="left" vertical="top"/>
    </xf>
    <xf numFmtId="164" fontId="5" fillId="12" borderId="0" xfId="0" applyNumberFormat="1" applyFont="1" applyFill="1" applyAlignment="1">
      <alignment horizontal="left" vertical="top"/>
    </xf>
    <xf numFmtId="0" fontId="0" fillId="12" borderId="0" xfId="0" applyFill="1"/>
    <xf numFmtId="164" fontId="5" fillId="0" borderId="0" xfId="0" applyNumberFormat="1" applyFont="1"/>
    <xf numFmtId="0" fontId="26" fillId="0" borderId="0" xfId="0" applyFont="1" applyAlignment="1">
      <alignment vertical="center"/>
    </xf>
    <xf numFmtId="0" fontId="28" fillId="14" borderId="11" xfId="0" applyFont="1" applyFill="1" applyBorder="1" applyAlignment="1">
      <alignment horizontal="center" vertical="center"/>
    </xf>
    <xf numFmtId="166" fontId="30" fillId="15" borderId="0" xfId="0" applyNumberFormat="1" applyFont="1" applyFill="1" applyAlignment="1">
      <alignment horizontal="center"/>
    </xf>
    <xf numFmtId="0" fontId="12" fillId="3" borderId="0" xfId="3" applyNumberFormat="1" applyFont="1" applyFill="1" applyBorder="1" applyAlignment="1">
      <alignment horizontal="center" vertical="top" wrapText="1"/>
    </xf>
    <xf numFmtId="0" fontId="33" fillId="0" borderId="9" xfId="0" applyFont="1" applyBorder="1" applyAlignment="1">
      <alignment vertical="center"/>
    </xf>
    <xf numFmtId="0" fontId="33" fillId="0" borderId="5" xfId="0" applyFont="1" applyBorder="1" applyAlignment="1">
      <alignment horizontal="justify" vertical="center" wrapText="1"/>
    </xf>
    <xf numFmtId="0" fontId="34" fillId="0" borderId="24" xfId="0" applyFont="1" applyBorder="1" applyAlignment="1">
      <alignment horizontal="justify" vertical="center" wrapText="1"/>
    </xf>
    <xf numFmtId="0" fontId="35" fillId="0" borderId="5" xfId="0" applyFont="1" applyBorder="1" applyAlignment="1">
      <alignment horizontal="justify" vertical="center" wrapText="1"/>
    </xf>
    <xf numFmtId="164" fontId="35" fillId="0" borderId="5" xfId="0" applyNumberFormat="1" applyFont="1" applyBorder="1" applyAlignment="1">
      <alignment horizontal="justify" vertical="center" wrapText="1"/>
    </xf>
    <xf numFmtId="0" fontId="34" fillId="0" borderId="5" xfId="0" applyFont="1" applyBorder="1" applyAlignment="1">
      <alignment horizontal="justify" vertical="center" wrapText="1"/>
    </xf>
    <xf numFmtId="0" fontId="13" fillId="0" borderId="6" xfId="0" applyFont="1" applyFill="1" applyBorder="1" applyAlignment="1">
      <alignment horizontal="center" vertical="center"/>
    </xf>
    <xf numFmtId="0" fontId="12" fillId="0" borderId="9" xfId="5" applyNumberFormat="1" applyFont="1" applyFill="1" applyBorder="1" applyAlignment="1">
      <alignment horizontal="center" vertical="center" wrapText="1"/>
    </xf>
    <xf numFmtId="0" fontId="12" fillId="0" borderId="7" xfId="5" applyNumberFormat="1" applyFont="1" applyFill="1" applyBorder="1" applyAlignment="1">
      <alignment horizontal="center" vertical="center" wrapText="1"/>
    </xf>
    <xf numFmtId="0" fontId="13" fillId="0" borderId="12" xfId="0" applyFont="1" applyFill="1" applyBorder="1" applyAlignment="1">
      <alignment horizontal="center" vertical="center"/>
    </xf>
    <xf numFmtId="0" fontId="12" fillId="0" borderId="5" xfId="5" applyNumberFormat="1" applyFont="1" applyFill="1" applyBorder="1" applyAlignment="1">
      <alignment horizontal="center" vertical="center" wrapText="1"/>
    </xf>
    <xf numFmtId="0" fontId="12" fillId="0" borderId="13" xfId="5" applyNumberFormat="1" applyFont="1" applyFill="1" applyBorder="1" applyAlignment="1">
      <alignment horizontal="center" vertical="center" wrapText="1"/>
    </xf>
    <xf numFmtId="0" fontId="5" fillId="0" borderId="34" xfId="0" applyFont="1" applyFill="1" applyBorder="1"/>
    <xf numFmtId="2" fontId="5" fillId="0" borderId="8" xfId="5" applyNumberFormat="1" applyFont="1" applyFill="1" applyBorder="1" applyAlignment="1">
      <alignment horizontal="center"/>
    </xf>
    <xf numFmtId="2" fontId="5" fillId="0" borderId="9" xfId="5" applyNumberFormat="1" applyFont="1" applyFill="1" applyBorder="1" applyAlignment="1">
      <alignment horizontal="center"/>
    </xf>
    <xf numFmtId="2" fontId="5" fillId="0" borderId="7" xfId="5" applyNumberFormat="1" applyFont="1" applyFill="1" applyBorder="1" applyAlignment="1">
      <alignment horizontal="center"/>
    </xf>
    <xf numFmtId="0" fontId="5" fillId="22" borderId="34" xfId="0" applyFont="1" applyFill="1" applyBorder="1"/>
    <xf numFmtId="2" fontId="5" fillId="22" borderId="21" xfId="5" applyNumberFormat="1" applyFont="1" applyFill="1" applyBorder="1" applyAlignment="1">
      <alignment horizontal="center"/>
    </xf>
    <xf numFmtId="2" fontId="5" fillId="22" borderId="0" xfId="5" applyNumberFormat="1" applyFont="1" applyFill="1" applyBorder="1" applyAlignment="1">
      <alignment horizontal="center"/>
    </xf>
    <xf numFmtId="2" fontId="5" fillId="22" borderId="32" xfId="5" applyNumberFormat="1" applyFont="1" applyFill="1" applyBorder="1" applyAlignment="1">
      <alignment horizontal="center"/>
    </xf>
    <xf numFmtId="2" fontId="5" fillId="0" borderId="21" xfId="5" applyNumberFormat="1" applyFont="1" applyFill="1" applyBorder="1" applyAlignment="1">
      <alignment horizontal="center"/>
    </xf>
    <xf numFmtId="2" fontId="5" fillId="0" borderId="0" xfId="5" applyNumberFormat="1" applyFont="1" applyFill="1" applyBorder="1" applyAlignment="1">
      <alignment horizontal="center"/>
    </xf>
    <xf numFmtId="2" fontId="5" fillId="0" borderId="32" xfId="5" applyNumberFormat="1" applyFont="1" applyFill="1" applyBorder="1" applyAlignment="1">
      <alignment horizontal="center"/>
    </xf>
    <xf numFmtId="2" fontId="5" fillId="22" borderId="21" xfId="0" applyNumberFormat="1" applyFont="1" applyFill="1" applyBorder="1" applyAlignment="1">
      <alignment horizontal="center"/>
    </xf>
    <xf numFmtId="2" fontId="5" fillId="22" borderId="0" xfId="0" applyNumberFormat="1" applyFont="1" applyFill="1" applyBorder="1" applyAlignment="1">
      <alignment horizontal="center"/>
    </xf>
    <xf numFmtId="2" fontId="5" fillId="22" borderId="32" xfId="0" applyNumberFormat="1" applyFont="1" applyFill="1" applyBorder="1" applyAlignment="1">
      <alignment horizontal="center"/>
    </xf>
    <xf numFmtId="2" fontId="5" fillId="0" borderId="21" xfId="0" applyNumberFormat="1" applyFont="1" applyFill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2" fontId="5" fillId="0" borderId="32" xfId="0" applyNumberFormat="1" applyFont="1" applyFill="1" applyBorder="1" applyAlignment="1">
      <alignment horizontal="center"/>
    </xf>
    <xf numFmtId="0" fontId="38" fillId="0" borderId="12" xfId="0" applyFont="1" applyFill="1" applyBorder="1"/>
    <xf numFmtId="2" fontId="5" fillId="0" borderId="23" xfId="5" applyNumberFormat="1" applyFont="1" applyFill="1" applyBorder="1" applyAlignment="1">
      <alignment horizontal="center"/>
    </xf>
    <xf numFmtId="2" fontId="5" fillId="0" borderId="5" xfId="5" applyNumberFormat="1" applyFont="1" applyFill="1" applyBorder="1" applyAlignment="1">
      <alignment horizontal="center"/>
    </xf>
    <xf numFmtId="2" fontId="5" fillId="0" borderId="13" xfId="5" applyNumberFormat="1" applyFont="1" applyFill="1" applyBorder="1" applyAlignment="1">
      <alignment horizontal="center"/>
    </xf>
    <xf numFmtId="0" fontId="13" fillId="22" borderId="8" xfId="0" applyFont="1" applyFill="1" applyBorder="1"/>
    <xf numFmtId="0" fontId="13" fillId="22" borderId="0" xfId="0" applyFont="1" applyFill="1" applyBorder="1" applyAlignment="1">
      <alignment horizontal="center"/>
    </xf>
    <xf numFmtId="0" fontId="13" fillId="22" borderId="32" xfId="0" applyFont="1" applyFill="1" applyBorder="1" applyAlignment="1">
      <alignment horizontal="center"/>
    </xf>
    <xf numFmtId="0" fontId="13" fillId="22" borderId="6" xfId="0" applyFont="1" applyFill="1" applyBorder="1" applyAlignment="1">
      <alignment horizontal="center"/>
    </xf>
    <xf numFmtId="0" fontId="5" fillId="0" borderId="32" xfId="0" applyFont="1" applyFill="1" applyBorder="1"/>
    <xf numFmtId="0" fontId="5" fillId="22" borderId="21" xfId="0" applyFont="1" applyFill="1" applyBorder="1"/>
    <xf numFmtId="1" fontId="5" fillId="22" borderId="0" xfId="5" applyNumberFormat="1" applyFont="1" applyFill="1" applyBorder="1" applyAlignment="1">
      <alignment horizontal="center"/>
    </xf>
    <xf numFmtId="167" fontId="5" fillId="22" borderId="32" xfId="6" applyNumberFormat="1" applyFont="1" applyFill="1" applyBorder="1" applyAlignment="1">
      <alignment horizontal="center"/>
    </xf>
    <xf numFmtId="168" fontId="5" fillId="22" borderId="34" xfId="0" applyNumberFormat="1" applyFont="1" applyFill="1" applyBorder="1" applyAlignment="1">
      <alignment horizontal="center"/>
    </xf>
    <xf numFmtId="0" fontId="13" fillId="20" borderId="24" xfId="0" applyFont="1" applyFill="1" applyBorder="1" applyAlignment="1">
      <alignment horizontal="right"/>
    </xf>
    <xf numFmtId="168" fontId="13" fillId="20" borderId="11" xfId="5" applyNumberFormat="1" applyFont="1" applyFill="1" applyBorder="1" applyAlignment="1">
      <alignment horizontal="center"/>
    </xf>
    <xf numFmtId="167" fontId="5" fillId="22" borderId="32" xfId="0" applyNumberFormat="1" applyFont="1" applyFill="1" applyBorder="1" applyAlignment="1">
      <alignment horizontal="center"/>
    </xf>
    <xf numFmtId="0" fontId="38" fillId="22" borderId="23" xfId="0" applyFont="1" applyFill="1" applyBorder="1"/>
    <xf numFmtId="1" fontId="5" fillId="22" borderId="5" xfId="0" applyNumberFormat="1" applyFont="1" applyFill="1" applyBorder="1" applyAlignment="1">
      <alignment horizontal="center"/>
    </xf>
    <xf numFmtId="167" fontId="5" fillId="22" borderId="13" xfId="6" applyNumberFormat="1" applyFont="1" applyFill="1" applyBorder="1" applyAlignment="1">
      <alignment horizontal="center"/>
    </xf>
    <xf numFmtId="0" fontId="5" fillId="22" borderId="12" xfId="0" applyFont="1" applyFill="1" applyBorder="1"/>
    <xf numFmtId="0" fontId="5" fillId="0" borderId="5" xfId="0" applyFont="1" applyFill="1" applyBorder="1"/>
    <xf numFmtId="0" fontId="5" fillId="0" borderId="13" xfId="0" applyFont="1" applyFill="1" applyBorder="1"/>
    <xf numFmtId="0" fontId="13" fillId="3" borderId="0" xfId="1" applyFont="1" applyFill="1" applyBorder="1" applyAlignment="1">
      <alignment horizontal="left" vertical="center"/>
    </xf>
    <xf numFmtId="0" fontId="10" fillId="3" borderId="3" xfId="1" applyFont="1" applyFill="1" applyBorder="1" applyAlignment="1">
      <alignment horizontal="center"/>
    </xf>
    <xf numFmtId="0" fontId="13" fillId="3" borderId="3" xfId="1" applyFont="1" applyFill="1" applyBorder="1" applyAlignment="1">
      <alignment horizontal="left" vertical="center"/>
    </xf>
    <xf numFmtId="1" fontId="5" fillId="22" borderId="3" xfId="5" applyNumberFormat="1" applyFont="1" applyFill="1" applyBorder="1" applyAlignment="1">
      <alignment horizontal="center"/>
    </xf>
    <xf numFmtId="167" fontId="5" fillId="22" borderId="3" xfId="6" applyNumberFormat="1" applyFont="1" applyFill="1" applyBorder="1" applyAlignment="1">
      <alignment horizontal="center"/>
    </xf>
    <xf numFmtId="168" fontId="5" fillId="22" borderId="3" xfId="0" applyNumberFormat="1" applyFont="1" applyFill="1" applyBorder="1" applyAlignment="1">
      <alignment horizontal="center"/>
    </xf>
    <xf numFmtId="167" fontId="5" fillId="22" borderId="0" xfId="6" applyNumberFormat="1" applyFont="1" applyFill="1" applyBorder="1" applyAlignment="1">
      <alignment horizontal="center"/>
    </xf>
    <xf numFmtId="168" fontId="5" fillId="22" borderId="0" xfId="0" applyNumberFormat="1" applyFont="1" applyFill="1" applyBorder="1" applyAlignment="1">
      <alignment horizontal="center"/>
    </xf>
    <xf numFmtId="0" fontId="18" fillId="23" borderId="3" xfId="3" applyFont="1" applyFill="1" applyBorder="1" applyAlignment="1">
      <alignment horizontal="center" vertical="top" wrapText="1"/>
    </xf>
    <xf numFmtId="0" fontId="5" fillId="0" borderId="34" xfId="0" applyFont="1" applyFill="1" applyBorder="1" applyAlignment="1">
      <alignment horizontal="center"/>
    </xf>
    <xf numFmtId="0" fontId="5" fillId="0" borderId="32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20" fillId="0" borderId="6" xfId="0" applyFont="1" applyBorder="1" applyAlignment="1">
      <alignment horizontal="center" vertical="center"/>
    </xf>
    <xf numFmtId="0" fontId="40" fillId="0" borderId="9" xfId="5" applyNumberFormat="1" applyFont="1" applyBorder="1" applyAlignment="1">
      <alignment horizontal="center" vertical="center" wrapText="1"/>
    </xf>
    <xf numFmtId="0" fontId="40" fillId="0" borderId="7" xfId="5" applyNumberFormat="1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/>
    </xf>
    <xf numFmtId="0" fontId="40" fillId="0" borderId="5" xfId="5" applyNumberFormat="1" applyFont="1" applyBorder="1" applyAlignment="1">
      <alignment horizontal="center" vertical="center" wrapText="1"/>
    </xf>
    <xf numFmtId="0" fontId="40" fillId="0" borderId="13" xfId="5" applyNumberFormat="1" applyFont="1" applyBorder="1" applyAlignment="1">
      <alignment horizontal="center" vertical="center" wrapText="1"/>
    </xf>
    <xf numFmtId="0" fontId="0" fillId="0" borderId="34" xfId="0" applyBorder="1"/>
    <xf numFmtId="2" fontId="0" fillId="0" borderId="8" xfId="5" applyNumberFormat="1" applyFont="1" applyBorder="1" applyAlignment="1">
      <alignment horizontal="center"/>
    </xf>
    <xf numFmtId="2" fontId="0" fillId="0" borderId="9" xfId="5" applyNumberFormat="1" applyFont="1" applyBorder="1" applyAlignment="1">
      <alignment horizontal="center"/>
    </xf>
    <xf numFmtId="2" fontId="0" fillId="0" borderId="7" xfId="5" applyNumberFormat="1" applyFont="1" applyBorder="1" applyAlignment="1">
      <alignment horizontal="center"/>
    </xf>
    <xf numFmtId="0" fontId="0" fillId="25" borderId="34" xfId="0" applyFill="1" applyBorder="1"/>
    <xf numFmtId="2" fontId="0" fillId="25" borderId="21" xfId="5" applyNumberFormat="1" applyFont="1" applyFill="1" applyBorder="1" applyAlignment="1">
      <alignment horizontal="center"/>
    </xf>
    <xf numFmtId="2" fontId="0" fillId="25" borderId="0" xfId="5" applyNumberFormat="1" applyFont="1" applyFill="1" applyBorder="1" applyAlignment="1">
      <alignment horizontal="center"/>
    </xf>
    <xf numFmtId="2" fontId="0" fillId="25" borderId="32" xfId="5" applyNumberFormat="1" applyFont="1" applyFill="1" applyBorder="1" applyAlignment="1">
      <alignment horizontal="center"/>
    </xf>
    <xf numFmtId="2" fontId="0" fillId="0" borderId="21" xfId="5" applyNumberFormat="1" applyFont="1" applyBorder="1" applyAlignment="1">
      <alignment horizontal="center"/>
    </xf>
    <xf numFmtId="2" fontId="0" fillId="0" borderId="0" xfId="5" applyNumberFormat="1" applyFont="1" applyBorder="1" applyAlignment="1">
      <alignment horizontal="center"/>
    </xf>
    <xf numFmtId="2" fontId="0" fillId="0" borderId="32" xfId="5" applyNumberFormat="1" applyFont="1" applyBorder="1" applyAlignment="1">
      <alignment horizontal="center"/>
    </xf>
    <xf numFmtId="2" fontId="0" fillId="25" borderId="21" xfId="0" applyNumberFormat="1" applyFill="1" applyBorder="1" applyAlignment="1">
      <alignment horizontal="center"/>
    </xf>
    <xf numFmtId="2" fontId="0" fillId="25" borderId="0" xfId="0" applyNumberFormat="1" applyFill="1" applyAlignment="1">
      <alignment horizontal="center"/>
    </xf>
    <xf numFmtId="2" fontId="0" fillId="25" borderId="32" xfId="0" applyNumberFormat="1" applyFill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2" xfId="0" applyNumberFormat="1" applyBorder="1" applyAlignment="1">
      <alignment horizontal="center"/>
    </xf>
    <xf numFmtId="0" fontId="41" fillId="0" borderId="12" xfId="0" applyFont="1" applyBorder="1"/>
    <xf numFmtId="2" fontId="0" fillId="0" borderId="23" xfId="5" applyNumberFormat="1" applyFont="1" applyBorder="1" applyAlignment="1">
      <alignment horizontal="center"/>
    </xf>
    <xf numFmtId="2" fontId="0" fillId="0" borderId="5" xfId="5" applyNumberFormat="1" applyFont="1" applyBorder="1" applyAlignment="1">
      <alignment horizontal="center"/>
    </xf>
    <xf numFmtId="2" fontId="0" fillId="0" borderId="13" xfId="5" applyNumberFormat="1" applyFont="1" applyBorder="1" applyAlignment="1">
      <alignment horizontal="center"/>
    </xf>
    <xf numFmtId="0" fontId="20" fillId="25" borderId="8" xfId="0" applyFont="1" applyFill="1" applyBorder="1"/>
    <xf numFmtId="0" fontId="20" fillId="25" borderId="0" xfId="0" applyFont="1" applyFill="1" applyAlignment="1">
      <alignment horizontal="center"/>
    </xf>
    <xf numFmtId="0" fontId="20" fillId="25" borderId="32" xfId="0" applyFont="1" applyFill="1" applyBorder="1" applyAlignment="1">
      <alignment horizontal="center"/>
    </xf>
    <xf numFmtId="0" fontId="20" fillId="25" borderId="6" xfId="0" applyFont="1" applyFill="1" applyBorder="1" applyAlignment="1">
      <alignment horizontal="center"/>
    </xf>
    <xf numFmtId="0" fontId="0" fillId="0" borderId="32" xfId="0" applyBorder="1"/>
    <xf numFmtId="0" fontId="0" fillId="25" borderId="21" xfId="0" applyFill="1" applyBorder="1"/>
    <xf numFmtId="1" fontId="0" fillId="25" borderId="0" xfId="5" applyNumberFormat="1" applyFont="1" applyFill="1" applyBorder="1" applyAlignment="1">
      <alignment horizontal="center"/>
    </xf>
    <xf numFmtId="167" fontId="0" fillId="25" borderId="32" xfId="6" applyNumberFormat="1" applyFont="1" applyFill="1" applyBorder="1" applyAlignment="1">
      <alignment horizontal="center"/>
    </xf>
    <xf numFmtId="168" fontId="0" fillId="25" borderId="34" xfId="0" applyNumberFormat="1" applyFill="1" applyBorder="1" applyAlignment="1">
      <alignment horizontal="center"/>
    </xf>
    <xf numFmtId="0" fontId="0" fillId="0" borderId="0" xfId="0" applyBorder="1"/>
    <xf numFmtId="0" fontId="20" fillId="14" borderId="24" xfId="0" applyFont="1" applyFill="1" applyBorder="1" applyAlignment="1">
      <alignment horizontal="right"/>
    </xf>
    <xf numFmtId="168" fontId="20" fillId="14" borderId="11" xfId="5" applyNumberFormat="1" applyFont="1" applyFill="1" applyBorder="1" applyAlignment="1">
      <alignment horizontal="center"/>
    </xf>
    <xf numFmtId="167" fontId="0" fillId="25" borderId="32" xfId="0" applyNumberFormat="1" applyFill="1" applyBorder="1" applyAlignment="1">
      <alignment horizontal="center"/>
    </xf>
    <xf numFmtId="0" fontId="41" fillId="25" borderId="23" xfId="0" applyFont="1" applyFill="1" applyBorder="1"/>
    <xf numFmtId="1" fontId="0" fillId="25" borderId="5" xfId="0" applyNumberFormat="1" applyFill="1" applyBorder="1" applyAlignment="1">
      <alignment horizontal="center"/>
    </xf>
    <xf numFmtId="167" fontId="0" fillId="25" borderId="13" xfId="6" applyNumberFormat="1" applyFont="1" applyFill="1" applyBorder="1" applyAlignment="1">
      <alignment horizontal="center"/>
    </xf>
    <xf numFmtId="0" fontId="0" fillId="25" borderId="12" xfId="0" applyFill="1" applyBorder="1"/>
    <xf numFmtId="0" fontId="0" fillId="0" borderId="5" xfId="0" applyBorder="1"/>
    <xf numFmtId="0" fontId="0" fillId="0" borderId="13" xfId="0" applyBorder="1"/>
    <xf numFmtId="0" fontId="14" fillId="3" borderId="0" xfId="1" applyFont="1" applyFill="1" applyBorder="1" applyAlignment="1">
      <alignment horizontal="left" vertical="center"/>
    </xf>
    <xf numFmtId="0" fontId="14" fillId="3" borderId="3" xfId="1" applyFont="1" applyFill="1" applyBorder="1" applyAlignment="1">
      <alignment horizontal="left" vertical="center"/>
    </xf>
    <xf numFmtId="1" fontId="0" fillId="25" borderId="3" xfId="5" applyNumberFormat="1" applyFont="1" applyFill="1" applyBorder="1" applyAlignment="1">
      <alignment horizontal="center"/>
    </xf>
    <xf numFmtId="167" fontId="0" fillId="25" borderId="3" xfId="6" applyNumberFormat="1" applyFont="1" applyFill="1" applyBorder="1" applyAlignment="1">
      <alignment horizontal="center"/>
    </xf>
    <xf numFmtId="168" fontId="0" fillId="25" borderId="3" xfId="0" applyNumberFormat="1" applyFill="1" applyBorder="1" applyAlignment="1">
      <alignment horizontal="center"/>
    </xf>
    <xf numFmtId="167" fontId="0" fillId="25" borderId="0" xfId="6" applyNumberFormat="1" applyFont="1" applyFill="1" applyBorder="1" applyAlignment="1">
      <alignment horizontal="center"/>
    </xf>
    <xf numFmtId="168" fontId="0" fillId="25" borderId="0" xfId="0" applyNumberFormat="1" applyFill="1" applyAlignment="1">
      <alignment horizontal="center"/>
    </xf>
    <xf numFmtId="0" fontId="0" fillId="0" borderId="34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35" fillId="0" borderId="5" xfId="0" applyNumberFormat="1" applyFont="1" applyBorder="1" applyAlignment="1">
      <alignment horizontal="justify" vertical="center" wrapText="1"/>
    </xf>
    <xf numFmtId="0" fontId="32" fillId="0" borderId="24" xfId="0" applyFont="1" applyBorder="1" applyAlignment="1">
      <alignment vertical="center" wrapText="1"/>
    </xf>
    <xf numFmtId="0" fontId="43" fillId="0" borderId="0" xfId="0" applyFont="1"/>
    <xf numFmtId="0" fontId="45" fillId="3" borderId="6" xfId="0" applyFont="1" applyFill="1" applyBorder="1" applyAlignment="1">
      <alignment horizontal="left" vertical="center" wrapText="1" readingOrder="1"/>
    </xf>
    <xf numFmtId="0" fontId="45" fillId="3" borderId="7" xfId="0" applyFont="1" applyFill="1" applyBorder="1" applyAlignment="1">
      <alignment horizontal="left" vertical="center" wrapText="1" readingOrder="1"/>
    </xf>
    <xf numFmtId="0" fontId="44" fillId="3" borderId="3" xfId="0" applyFont="1" applyFill="1" applyBorder="1" applyAlignment="1">
      <alignment horizontal="left" vertical="center" wrapText="1" readingOrder="1"/>
    </xf>
    <xf numFmtId="0" fontId="44" fillId="4" borderId="0" xfId="0" applyFont="1" applyFill="1" applyBorder="1" applyAlignment="1">
      <alignment horizontal="left" vertical="center" readingOrder="1"/>
    </xf>
    <xf numFmtId="0" fontId="43" fillId="4" borderId="0" xfId="0" applyFont="1" applyFill="1" applyBorder="1"/>
    <xf numFmtId="0" fontId="43" fillId="0" borderId="0" xfId="0" applyFont="1" applyFill="1" applyBorder="1"/>
    <xf numFmtId="0" fontId="44" fillId="0" borderId="0" xfId="0" applyFont="1" applyFill="1" applyBorder="1" applyAlignment="1">
      <alignment vertical="center"/>
    </xf>
    <xf numFmtId="0" fontId="45" fillId="0" borderId="10" xfId="0" applyFont="1" applyFill="1" applyBorder="1" applyAlignment="1">
      <alignment horizontal="left" vertical="center" readingOrder="1"/>
    </xf>
    <xf numFmtId="0" fontId="45" fillId="0" borderId="11" xfId="0" applyFont="1" applyFill="1" applyBorder="1" applyAlignment="1">
      <alignment horizontal="left" vertical="center" readingOrder="1"/>
    </xf>
    <xf numFmtId="0" fontId="44" fillId="0" borderId="12" xfId="0" applyFont="1" applyFill="1" applyBorder="1" applyAlignment="1">
      <alignment horizontal="left" vertical="center" readingOrder="1"/>
    </xf>
    <xf numFmtId="0" fontId="44" fillId="0" borderId="13" xfId="0" applyFont="1" applyFill="1" applyBorder="1" applyAlignment="1">
      <alignment horizontal="left" vertical="center" readingOrder="1"/>
    </xf>
    <xf numFmtId="2" fontId="44" fillId="0" borderId="13" xfId="0" applyNumberFormat="1" applyFont="1" applyFill="1" applyBorder="1" applyAlignment="1">
      <alignment horizontal="left" vertical="center" readingOrder="1"/>
    </xf>
    <xf numFmtId="0" fontId="44" fillId="0" borderId="12" xfId="0" applyFont="1" applyFill="1" applyBorder="1" applyAlignment="1">
      <alignment horizontal="left" vertical="center" wrapText="1" readingOrder="1"/>
    </xf>
    <xf numFmtId="0" fontId="44" fillId="0" borderId="0" xfId="0" applyFont="1" applyFill="1" applyBorder="1" applyAlignment="1">
      <alignment horizontal="left" vertical="center" readingOrder="1"/>
    </xf>
    <xf numFmtId="0" fontId="46" fillId="0" borderId="0" xfId="7" applyFont="1" applyAlignment="1"/>
    <xf numFmtId="0" fontId="0" fillId="0" borderId="0" xfId="0" applyProtection="1">
      <protection hidden="1"/>
    </xf>
    <xf numFmtId="0" fontId="10" fillId="7" borderId="1" xfId="1" applyFont="1" applyFill="1" applyAlignment="1" applyProtection="1">
      <alignment horizontal="left"/>
      <protection hidden="1"/>
    </xf>
    <xf numFmtId="0" fontId="12" fillId="3" borderId="0" xfId="3" applyFont="1" applyFill="1" applyBorder="1" applyAlignment="1" applyProtection="1">
      <alignment horizontal="center" vertical="center" wrapText="1"/>
      <protection hidden="1"/>
    </xf>
    <xf numFmtId="0" fontId="10" fillId="7" borderId="20" xfId="1" applyFont="1" applyFill="1" applyBorder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10" fillId="3" borderId="21" xfId="1" applyFont="1" applyFill="1" applyBorder="1" applyAlignment="1" applyProtection="1">
      <alignment horizontal="center"/>
      <protection hidden="1"/>
    </xf>
    <xf numFmtId="0" fontId="10" fillId="3" borderId="0" xfId="1" applyFont="1" applyFill="1" applyBorder="1" applyAlignment="1" applyProtection="1">
      <alignment horizontal="center"/>
      <protection hidden="1"/>
    </xf>
    <xf numFmtId="0" fontId="13" fillId="3" borderId="0" xfId="3" applyFont="1" applyFill="1" applyBorder="1" applyAlignment="1" applyProtection="1">
      <alignment horizontal="center" vertical="top" wrapText="1"/>
      <protection hidden="1"/>
    </xf>
    <xf numFmtId="0" fontId="15" fillId="9" borderId="0" xfId="4" applyFont="1" applyFill="1" applyBorder="1" applyAlignment="1" applyProtection="1">
      <alignment horizontal="center" vertical="center" wrapText="1"/>
      <protection hidden="1"/>
    </xf>
    <xf numFmtId="0" fontId="15" fillId="3" borderId="0" xfId="4" applyFont="1" applyFill="1" applyBorder="1" applyAlignment="1" applyProtection="1">
      <alignment horizontal="center"/>
      <protection hidden="1"/>
    </xf>
    <xf numFmtId="0" fontId="12" fillId="3" borderId="0" xfId="3" applyFont="1" applyFill="1" applyBorder="1" applyAlignment="1" applyProtection="1">
      <alignment horizontal="center" vertical="top" wrapText="1"/>
      <protection hidden="1"/>
    </xf>
    <xf numFmtId="0" fontId="16" fillId="10" borderId="3" xfId="3" applyFont="1" applyFill="1" applyBorder="1" applyAlignment="1" applyProtection="1">
      <alignment horizontal="center" vertical="top" wrapText="1"/>
      <protection hidden="1"/>
    </xf>
    <xf numFmtId="0" fontId="12" fillId="3" borderId="21" xfId="3" applyFont="1" applyFill="1" applyBorder="1" applyAlignment="1" applyProtection="1">
      <alignment vertical="top" wrapText="1"/>
      <protection hidden="1"/>
    </xf>
    <xf numFmtId="0" fontId="15" fillId="9" borderId="9" xfId="4" applyFont="1" applyFill="1" applyBorder="1" applyAlignment="1" applyProtection="1">
      <alignment horizontal="center" vertical="center" wrapText="1"/>
      <protection hidden="1"/>
    </xf>
    <xf numFmtId="0" fontId="17" fillId="3" borderId="0" xfId="4" applyFont="1" applyFill="1" applyBorder="1" applyAlignment="1" applyProtection="1">
      <alignment horizontal="center"/>
      <protection hidden="1"/>
    </xf>
    <xf numFmtId="164" fontId="16" fillId="10" borderId="3" xfId="3" applyNumberFormat="1" applyFont="1" applyFill="1" applyBorder="1" applyAlignment="1" applyProtection="1">
      <alignment horizontal="center" vertical="top" wrapText="1"/>
      <protection hidden="1"/>
    </xf>
    <xf numFmtId="0" fontId="6" fillId="3" borderId="21" xfId="2" applyFont="1" applyFill="1" applyBorder="1" applyAlignment="1" applyProtection="1">
      <alignment vertical="top" wrapText="1"/>
      <protection hidden="1"/>
    </xf>
    <xf numFmtId="0" fontId="12" fillId="3" borderId="8" xfId="3" applyFont="1" applyFill="1" applyBorder="1" applyAlignment="1" applyProtection="1">
      <alignment vertical="top" wrapText="1"/>
      <protection hidden="1"/>
    </xf>
    <xf numFmtId="0" fontId="17" fillId="3" borderId="9" xfId="4" applyFont="1" applyFill="1" applyBorder="1" applyAlignment="1" applyProtection="1">
      <alignment horizontal="center"/>
      <protection hidden="1"/>
    </xf>
    <xf numFmtId="0" fontId="12" fillId="3" borderId="21" xfId="3" applyFont="1" applyFill="1" applyBorder="1" applyAlignment="1" applyProtection="1">
      <alignment horizontal="center" vertical="top" wrapText="1"/>
      <protection hidden="1"/>
    </xf>
    <xf numFmtId="0" fontId="18" fillId="3" borderId="0" xfId="3" applyFont="1" applyFill="1" applyBorder="1" applyAlignment="1" applyProtection="1">
      <alignment horizontal="center" vertical="top" wrapText="1"/>
      <protection hidden="1"/>
    </xf>
    <xf numFmtId="0" fontId="17" fillId="0" borderId="21" xfId="0" applyFont="1" applyBorder="1" applyProtection="1">
      <protection hidden="1"/>
    </xf>
    <xf numFmtId="0" fontId="12" fillId="3" borderId="8" xfId="3" applyFont="1" applyFill="1" applyBorder="1" applyAlignment="1" applyProtection="1">
      <alignment horizontal="center" vertical="top" wrapText="1"/>
      <protection hidden="1"/>
    </xf>
    <xf numFmtId="0" fontId="12" fillId="3" borderId="23" xfId="3" applyFont="1" applyFill="1" applyBorder="1" applyAlignment="1" applyProtection="1">
      <alignment horizontal="center" vertical="top" wrapText="1"/>
      <protection hidden="1"/>
    </xf>
    <xf numFmtId="165" fontId="12" fillId="8" borderId="25" xfId="3" applyNumberFormat="1" applyFont="1" applyFill="1" applyBorder="1" applyAlignment="1" applyProtection="1">
      <alignment horizontal="center" vertical="top" wrapText="1"/>
      <protection hidden="1"/>
    </xf>
    <xf numFmtId="165" fontId="12" fillId="8" borderId="3" xfId="3" applyNumberFormat="1" applyFont="1" applyFill="1" applyBorder="1" applyAlignment="1" applyProtection="1">
      <alignment horizontal="center" vertical="top" wrapText="1"/>
      <protection hidden="1"/>
    </xf>
    <xf numFmtId="0" fontId="14" fillId="3" borderId="22" xfId="1" applyFont="1" applyFill="1" applyBorder="1" applyAlignment="1" applyProtection="1">
      <alignment vertical="center"/>
      <protection hidden="1"/>
    </xf>
    <xf numFmtId="164" fontId="12" fillId="8" borderId="25" xfId="3" applyNumberFormat="1" applyFont="1" applyFill="1" applyBorder="1" applyAlignment="1" applyProtection="1">
      <alignment horizontal="center" vertical="top" wrapText="1"/>
      <protection hidden="1"/>
    </xf>
    <xf numFmtId="164" fontId="12" fillId="8" borderId="3" xfId="3" applyNumberFormat="1" applyFont="1" applyFill="1" applyBorder="1" applyAlignment="1" applyProtection="1">
      <alignment horizontal="center" vertical="top" wrapText="1"/>
      <protection hidden="1"/>
    </xf>
    <xf numFmtId="164" fontId="12" fillId="8" borderId="27" xfId="3" applyNumberFormat="1" applyFont="1" applyFill="1" applyBorder="1" applyAlignment="1" applyProtection="1">
      <alignment horizontal="center" vertical="top" wrapText="1"/>
      <protection hidden="1"/>
    </xf>
    <xf numFmtId="164" fontId="12" fillId="8" borderId="28" xfId="3" applyNumberFormat="1" applyFont="1" applyFill="1" applyBorder="1" applyAlignment="1" applyProtection="1">
      <alignment horizontal="center" vertical="top" wrapText="1"/>
      <protection hidden="1"/>
    </xf>
    <xf numFmtId="0" fontId="14" fillId="3" borderId="22" xfId="1" applyFont="1" applyFill="1" applyBorder="1" applyAlignment="1" applyProtection="1">
      <alignment horizontal="left" vertical="center"/>
      <protection hidden="1"/>
    </xf>
    <xf numFmtId="0" fontId="12" fillId="8" borderId="6" xfId="3" applyFont="1" applyFill="1" applyBorder="1" applyAlignment="1" applyProtection="1">
      <alignment horizontal="center" vertical="top" wrapText="1"/>
      <protection hidden="1"/>
    </xf>
    <xf numFmtId="0" fontId="18" fillId="3" borderId="9" xfId="3" applyFont="1" applyFill="1" applyBorder="1" applyAlignment="1" applyProtection="1">
      <alignment horizontal="center" vertical="top" wrapText="1"/>
      <protection hidden="1"/>
    </xf>
    <xf numFmtId="165" fontId="12" fillId="3" borderId="9" xfId="3" applyNumberFormat="1" applyFont="1" applyFill="1" applyBorder="1" applyAlignment="1" applyProtection="1">
      <alignment horizontal="center" vertical="top" wrapText="1"/>
      <protection hidden="1"/>
    </xf>
    <xf numFmtId="0" fontId="12" fillId="8" borderId="21" xfId="3" applyFont="1" applyFill="1" applyBorder="1" applyAlignment="1" applyProtection="1">
      <alignment horizontal="center" vertical="top" wrapText="1"/>
      <protection hidden="1"/>
    </xf>
    <xf numFmtId="0" fontId="12" fillId="8" borderId="23" xfId="3" applyFont="1" applyFill="1" applyBorder="1" applyAlignment="1" applyProtection="1">
      <alignment horizontal="center" vertical="top" wrapText="1"/>
      <protection hidden="1"/>
    </xf>
    <xf numFmtId="165" fontId="12" fillId="4" borderId="3" xfId="3" applyNumberFormat="1" applyFont="1" applyFill="1" applyBorder="1" applyAlignment="1" applyProtection="1">
      <alignment horizontal="center" vertical="top" wrapText="1"/>
      <protection hidden="1"/>
    </xf>
    <xf numFmtId="0" fontId="12" fillId="3" borderId="24" xfId="3" applyFont="1" applyFill="1" applyBorder="1" applyAlignment="1" applyProtection="1">
      <alignment horizontal="center" vertical="top" wrapText="1"/>
      <protection hidden="1"/>
    </xf>
    <xf numFmtId="164" fontId="12" fillId="3" borderId="0" xfId="3" applyNumberFormat="1" applyFont="1" applyFill="1" applyBorder="1" applyAlignment="1" applyProtection="1">
      <alignment horizontal="center" vertical="top" wrapText="1"/>
      <protection hidden="1"/>
    </xf>
    <xf numFmtId="164" fontId="0" fillId="0" borderId="0" xfId="0" applyNumberFormat="1" applyProtection="1">
      <protection hidden="1"/>
    </xf>
    <xf numFmtId="0" fontId="28" fillId="14" borderId="11" xfId="0" applyFont="1" applyFill="1" applyBorder="1" applyAlignment="1" applyProtection="1">
      <alignment horizontal="center" vertical="center"/>
      <protection hidden="1"/>
    </xf>
    <xf numFmtId="0" fontId="19" fillId="11" borderId="30" xfId="0" applyFont="1" applyFill="1" applyBorder="1" applyAlignment="1" applyProtection="1">
      <alignment horizontal="center"/>
      <protection hidden="1"/>
    </xf>
    <xf numFmtId="0" fontId="19" fillId="11" borderId="31" xfId="0" applyFont="1" applyFill="1" applyBorder="1" applyAlignment="1" applyProtection="1">
      <alignment horizontal="center"/>
      <protection hidden="1"/>
    </xf>
    <xf numFmtId="0" fontId="27" fillId="13" borderId="0" xfId="0" applyFont="1" applyFill="1" applyAlignment="1" applyProtection="1">
      <alignment horizontal="center" vertical="center"/>
      <protection hidden="1"/>
    </xf>
    <xf numFmtId="0" fontId="27" fillId="13" borderId="32" xfId="0" applyFont="1" applyFill="1" applyBorder="1" applyAlignment="1" applyProtection="1">
      <alignment horizontal="center" vertical="center"/>
      <protection hidden="1"/>
    </xf>
    <xf numFmtId="166" fontId="29" fillId="3" borderId="11" xfId="0" applyNumberFormat="1" applyFont="1" applyFill="1" applyBorder="1" applyAlignment="1" applyProtection="1">
      <alignment vertical="center" wrapText="1"/>
      <protection hidden="1"/>
    </xf>
    <xf numFmtId="166" fontId="30" fillId="15" borderId="0" xfId="0" applyNumberFormat="1" applyFont="1" applyFill="1" applyAlignment="1" applyProtection="1">
      <alignment horizontal="center"/>
      <protection hidden="1"/>
    </xf>
    <xf numFmtId="0" fontId="31" fillId="16" borderId="6" xfId="0" applyFont="1" applyFill="1" applyBorder="1" applyAlignment="1" applyProtection="1">
      <alignment horizontal="center" vertical="center"/>
      <protection hidden="1"/>
    </xf>
    <xf numFmtId="0" fontId="31" fillId="17" borderId="6" xfId="0" applyFont="1" applyFill="1" applyBorder="1" applyAlignment="1" applyProtection="1">
      <alignment horizontal="center" vertical="center"/>
      <protection hidden="1"/>
    </xf>
    <xf numFmtId="0" fontId="31" fillId="18" borderId="6" xfId="0" applyFont="1" applyFill="1" applyBorder="1" applyAlignment="1" applyProtection="1">
      <alignment horizontal="center" vertical="center"/>
      <protection hidden="1"/>
    </xf>
    <xf numFmtId="0" fontId="31" fillId="19" borderId="6" xfId="0" applyFont="1" applyFill="1" applyBorder="1" applyAlignment="1" applyProtection="1">
      <alignment horizontal="center" vertical="center"/>
      <protection hidden="1"/>
    </xf>
    <xf numFmtId="0" fontId="31" fillId="16" borderId="12" xfId="0" applyFont="1" applyFill="1" applyBorder="1" applyAlignment="1" applyProtection="1">
      <alignment horizontal="center" vertical="center"/>
      <protection hidden="1"/>
    </xf>
    <xf numFmtId="0" fontId="31" fillId="17" borderId="12" xfId="0" applyFont="1" applyFill="1" applyBorder="1" applyAlignment="1" applyProtection="1">
      <alignment horizontal="center" vertical="center"/>
      <protection hidden="1"/>
    </xf>
    <xf numFmtId="0" fontId="31" fillId="18" borderId="12" xfId="0" applyFont="1" applyFill="1" applyBorder="1" applyAlignment="1" applyProtection="1">
      <alignment horizontal="center" vertical="center"/>
      <protection hidden="1"/>
    </xf>
    <xf numFmtId="0" fontId="31" fillId="19" borderId="12" xfId="0" applyFont="1" applyFill="1" applyBorder="1" applyAlignment="1" applyProtection="1">
      <alignment horizontal="center" vertical="center"/>
      <protection hidden="1"/>
    </xf>
    <xf numFmtId="0" fontId="12" fillId="3" borderId="0" xfId="3" applyNumberFormat="1" applyFont="1" applyFill="1" applyBorder="1" applyAlignment="1" applyProtection="1">
      <alignment horizontal="center" vertical="top" wrapText="1"/>
      <protection hidden="1"/>
    </xf>
    <xf numFmtId="164" fontId="53" fillId="0" borderId="3" xfId="0" applyNumberFormat="1" applyFont="1" applyBorder="1" applyAlignment="1">
      <alignment horizontal="left" vertical="top" wrapText="1"/>
    </xf>
    <xf numFmtId="0" fontId="43" fillId="0" borderId="0" xfId="0" applyFont="1" applyProtection="1">
      <protection hidden="1"/>
    </xf>
    <xf numFmtId="0" fontId="46" fillId="0" borderId="0" xfId="7" applyFont="1" applyAlignment="1" applyProtection="1">
      <protection hidden="1"/>
    </xf>
    <xf numFmtId="0" fontId="20" fillId="0" borderId="3" xfId="0" applyFont="1" applyBorder="1" applyAlignment="1">
      <alignment vertical="top"/>
    </xf>
    <xf numFmtId="0" fontId="20" fillId="0" borderId="3" xfId="0" applyFont="1" applyBorder="1" applyAlignment="1">
      <alignment vertical="top" wrapText="1"/>
    </xf>
    <xf numFmtId="0" fontId="2" fillId="3" borderId="38" xfId="1" applyFont="1" applyFill="1" applyBorder="1" applyAlignment="1">
      <alignment horizontal="left" vertical="center" wrapText="1" readingOrder="1"/>
    </xf>
    <xf numFmtId="0" fontId="3" fillId="3" borderId="39" xfId="2" applyFill="1" applyBorder="1" applyAlignment="1">
      <alignment vertical="top"/>
    </xf>
    <xf numFmtId="0" fontId="20" fillId="0" borderId="28" xfId="0" applyFont="1" applyBorder="1" applyAlignment="1">
      <alignment vertical="top"/>
    </xf>
    <xf numFmtId="0" fontId="3" fillId="3" borderId="41" xfId="2" applyFill="1" applyBorder="1" applyAlignment="1">
      <alignment vertical="top"/>
    </xf>
    <xf numFmtId="0" fontId="50" fillId="0" borderId="0" xfId="7" applyFont="1" applyBorder="1" applyAlignment="1">
      <alignment horizontal="center" vertical="center" readingOrder="1"/>
    </xf>
    <xf numFmtId="0" fontId="46" fillId="0" borderId="21" xfId="7" applyFont="1" applyBorder="1" applyAlignment="1">
      <alignment horizontal="center"/>
    </xf>
    <xf numFmtId="0" fontId="49" fillId="0" borderId="32" xfId="7" applyFont="1" applyBorder="1" applyAlignment="1">
      <alignment horizontal="justify" vertical="center" readingOrder="1"/>
    </xf>
    <xf numFmtId="0" fontId="26" fillId="0" borderId="42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52" fillId="0" borderId="21" xfId="0" applyFont="1" applyBorder="1" applyAlignment="1">
      <alignment horizontal="center" vertical="center"/>
    </xf>
    <xf numFmtId="0" fontId="52" fillId="0" borderId="0" xfId="0" applyFont="1" applyBorder="1" applyAlignment="1">
      <alignment horizontal="center" vertical="center"/>
    </xf>
    <xf numFmtId="0" fontId="52" fillId="0" borderId="32" xfId="0" applyFont="1" applyBorder="1" applyAlignment="1">
      <alignment horizontal="center" vertical="center"/>
    </xf>
    <xf numFmtId="0" fontId="52" fillId="0" borderId="21" xfId="0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0" borderId="32" xfId="0" applyFont="1" applyBorder="1" applyAlignment="1">
      <alignment horizontal="center"/>
    </xf>
    <xf numFmtId="0" fontId="50" fillId="0" borderId="21" xfId="7" applyFont="1" applyBorder="1" applyAlignment="1">
      <alignment horizontal="center" vertical="center" wrapText="1" readingOrder="1"/>
    </xf>
    <xf numFmtId="0" fontId="50" fillId="0" borderId="0" xfId="7" applyFont="1" applyBorder="1" applyAlignment="1">
      <alignment horizontal="center" vertical="center" wrapText="1" readingOrder="1"/>
    </xf>
    <xf numFmtId="0" fontId="50" fillId="0" borderId="32" xfId="7" applyFont="1" applyBorder="1" applyAlignment="1">
      <alignment horizontal="center" vertical="center" wrapText="1" readingOrder="1"/>
    </xf>
    <xf numFmtId="0" fontId="51" fillId="0" borderId="23" xfId="8" applyBorder="1" applyAlignment="1">
      <alignment horizontal="center" vertical="center" readingOrder="1"/>
    </xf>
    <xf numFmtId="0" fontId="51" fillId="0" borderId="5" xfId="8" applyBorder="1" applyAlignment="1">
      <alignment horizontal="center" vertical="center" readingOrder="1"/>
    </xf>
    <xf numFmtId="0" fontId="51" fillId="0" borderId="13" xfId="8" applyBorder="1" applyAlignment="1">
      <alignment horizontal="center" vertical="center" readingOrder="1"/>
    </xf>
    <xf numFmtId="0" fontId="48" fillId="0" borderId="38" xfId="7" applyFont="1" applyBorder="1" applyAlignment="1">
      <alignment horizontal="center" vertical="center" wrapText="1"/>
    </xf>
    <xf numFmtId="0" fontId="48" fillId="0" borderId="3" xfId="7" applyFont="1" applyBorder="1" applyAlignment="1">
      <alignment horizontal="center" vertical="center" wrapText="1"/>
    </xf>
    <xf numFmtId="0" fontId="48" fillId="0" borderId="39" xfId="7" applyFont="1" applyBorder="1" applyAlignment="1">
      <alignment horizontal="center" vertical="center" wrapText="1"/>
    </xf>
    <xf numFmtId="0" fontId="47" fillId="0" borderId="35" xfId="7" applyFont="1" applyBorder="1" applyAlignment="1">
      <alignment horizontal="center" vertical="center" wrapText="1" readingOrder="2"/>
    </xf>
    <xf numFmtId="0" fontId="47" fillId="0" borderId="36" xfId="7" applyFont="1" applyBorder="1" applyAlignment="1">
      <alignment horizontal="center" vertical="center" wrapText="1" readingOrder="2"/>
    </xf>
    <xf numFmtId="0" fontId="47" fillId="0" borderId="37" xfId="7" applyFont="1" applyBorder="1" applyAlignment="1">
      <alignment horizontal="center" vertical="center" wrapText="1" readingOrder="2"/>
    </xf>
    <xf numFmtId="0" fontId="2" fillId="3" borderId="38" xfId="1" applyFont="1" applyFill="1" applyBorder="1" applyAlignment="1">
      <alignment horizontal="left" vertical="center" wrapText="1" readingOrder="1"/>
    </xf>
    <xf numFmtId="0" fontId="2" fillId="3" borderId="40" xfId="1" applyFont="1" applyFill="1" applyBorder="1" applyAlignment="1">
      <alignment horizontal="left" vertical="center" wrapText="1" readingOrder="1"/>
    </xf>
    <xf numFmtId="0" fontId="54" fillId="0" borderId="44" xfId="0" applyFont="1" applyBorder="1" applyAlignment="1">
      <alignment horizontal="center" vertical="center" wrapText="1"/>
    </xf>
    <xf numFmtId="0" fontId="54" fillId="0" borderId="29" xfId="0" applyFont="1" applyBorder="1" applyAlignment="1">
      <alignment horizontal="center" vertical="center" wrapText="1"/>
    </xf>
    <xf numFmtId="0" fontId="54" fillId="0" borderId="45" xfId="0" applyFont="1" applyBorder="1" applyAlignment="1">
      <alignment horizontal="center" vertical="center" wrapText="1"/>
    </xf>
    <xf numFmtId="0" fontId="42" fillId="25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wrapText="1"/>
    </xf>
    <xf numFmtId="0" fontId="44" fillId="3" borderId="3" xfId="0" applyFont="1" applyFill="1" applyBorder="1" applyAlignment="1">
      <alignment horizontal="left" vertical="center" wrapText="1" readingOrder="1"/>
    </xf>
    <xf numFmtId="0" fontId="44" fillId="0" borderId="5" xfId="0" applyFont="1" applyFill="1" applyBorder="1" applyAlignment="1">
      <alignment horizontal="left" vertical="center"/>
    </xf>
    <xf numFmtId="0" fontId="45" fillId="3" borderId="8" xfId="0" applyFont="1" applyFill="1" applyBorder="1" applyAlignment="1">
      <alignment horizontal="left" vertical="center" wrapText="1" readingOrder="1"/>
    </xf>
    <xf numFmtId="0" fontId="45" fillId="3" borderId="9" xfId="0" applyFont="1" applyFill="1" applyBorder="1" applyAlignment="1">
      <alignment horizontal="left" vertical="center" wrapText="1" readingOrder="1"/>
    </xf>
    <xf numFmtId="0" fontId="45" fillId="3" borderId="7" xfId="0" applyFont="1" applyFill="1" applyBorder="1" applyAlignment="1">
      <alignment horizontal="left" vertical="center" wrapText="1" readingOrder="1"/>
    </xf>
    <xf numFmtId="0" fontId="9" fillId="0" borderId="5" xfId="0" applyFont="1" applyBorder="1" applyAlignment="1" applyProtection="1">
      <alignment horizontal="left" wrapText="1"/>
      <protection hidden="1"/>
    </xf>
    <xf numFmtId="0" fontId="10" fillId="6" borderId="14" xfId="1" applyFont="1" applyFill="1" applyBorder="1" applyAlignment="1" applyProtection="1">
      <alignment horizontal="center"/>
      <protection hidden="1"/>
    </xf>
    <xf numFmtId="0" fontId="10" fillId="6" borderId="15" xfId="1" applyFont="1" applyFill="1" applyBorder="1" applyAlignment="1" applyProtection="1">
      <alignment horizontal="center"/>
      <protection hidden="1"/>
    </xf>
    <xf numFmtId="0" fontId="11" fillId="7" borderId="16" xfId="1" applyFont="1" applyFill="1" applyBorder="1" applyAlignment="1" applyProtection="1">
      <alignment horizontal="left" wrapText="1"/>
      <protection hidden="1"/>
    </xf>
    <xf numFmtId="0" fontId="11" fillId="7" borderId="9" xfId="1" applyFont="1" applyFill="1" applyBorder="1" applyAlignment="1" applyProtection="1">
      <alignment horizontal="left" wrapText="1"/>
      <protection hidden="1"/>
    </xf>
    <xf numFmtId="0" fontId="14" fillId="3" borderId="22" xfId="1" applyFont="1" applyFill="1" applyBorder="1" applyAlignment="1" applyProtection="1">
      <alignment horizontal="left" vertical="center"/>
      <protection hidden="1"/>
    </xf>
    <xf numFmtId="0" fontId="12" fillId="8" borderId="8" xfId="3" applyFont="1" applyFill="1" applyBorder="1" applyAlignment="1" applyProtection="1">
      <alignment horizontal="center" vertical="top" wrapText="1"/>
      <protection hidden="1"/>
    </xf>
    <xf numFmtId="0" fontId="12" fillId="8" borderId="21" xfId="3" applyFont="1" applyFill="1" applyBorder="1" applyAlignment="1" applyProtection="1">
      <alignment horizontal="center" vertical="top" wrapText="1"/>
      <protection hidden="1"/>
    </xf>
    <xf numFmtId="0" fontId="12" fillId="8" borderId="23" xfId="3" applyFont="1" applyFill="1" applyBorder="1" applyAlignment="1" applyProtection="1">
      <alignment horizontal="center" vertical="top" wrapText="1"/>
      <protection hidden="1"/>
    </xf>
    <xf numFmtId="0" fontId="10" fillId="6" borderId="17" xfId="1" applyFont="1" applyFill="1" applyBorder="1" applyAlignment="1" applyProtection="1">
      <alignment horizontal="center"/>
      <protection hidden="1"/>
    </xf>
    <xf numFmtId="0" fontId="10" fillId="6" borderId="1" xfId="1" applyFont="1" applyFill="1" applyAlignment="1" applyProtection="1">
      <alignment horizontal="center"/>
      <protection hidden="1"/>
    </xf>
    <xf numFmtId="0" fontId="10" fillId="6" borderId="18" xfId="1" applyFont="1" applyFill="1" applyBorder="1" applyAlignment="1" applyProtection="1">
      <alignment horizontal="center"/>
      <protection hidden="1"/>
    </xf>
    <xf numFmtId="0" fontId="10" fillId="6" borderId="19" xfId="1" applyFont="1" applyFill="1" applyBorder="1" applyAlignment="1" applyProtection="1">
      <alignment horizontal="center"/>
      <protection hidden="1"/>
    </xf>
    <xf numFmtId="0" fontId="12" fillId="8" borderId="6" xfId="3" applyFont="1" applyFill="1" applyBorder="1" applyAlignment="1" applyProtection="1">
      <alignment horizontal="center" vertical="top" wrapText="1"/>
      <protection hidden="1"/>
    </xf>
    <xf numFmtId="0" fontId="19" fillId="11" borderId="3" xfId="0" applyFont="1" applyFill="1" applyBorder="1" applyAlignment="1" applyProtection="1">
      <alignment horizontal="center"/>
      <protection hidden="1"/>
    </xf>
    <xf numFmtId="0" fontId="14" fillId="3" borderId="26" xfId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2" fillId="25" borderId="0" xfId="0" applyFont="1" applyFill="1" applyBorder="1" applyAlignment="1" applyProtection="1">
      <alignment horizontal="center" vertical="center"/>
      <protection hidden="1"/>
    </xf>
    <xf numFmtId="0" fontId="12" fillId="3" borderId="3" xfId="3" applyFont="1" applyFill="1" applyBorder="1" applyAlignment="1" applyProtection="1">
      <alignment horizontal="center" vertical="top" wrapText="1"/>
      <protection hidden="1"/>
    </xf>
    <xf numFmtId="0" fontId="12" fillId="3" borderId="24" xfId="3" applyFont="1" applyFill="1" applyBorder="1" applyAlignment="1" applyProtection="1">
      <alignment horizontal="center" vertical="top" wrapText="1"/>
      <protection hidden="1"/>
    </xf>
    <xf numFmtId="0" fontId="12" fillId="8" borderId="6" xfId="3" applyFont="1" applyFill="1" applyBorder="1" applyAlignment="1">
      <alignment horizontal="center" vertical="top" wrapText="1"/>
    </xf>
    <xf numFmtId="0" fontId="12" fillId="8" borderId="21" xfId="3" applyFont="1" applyFill="1" applyBorder="1" applyAlignment="1">
      <alignment horizontal="center" vertical="top" wrapText="1"/>
    </xf>
    <xf numFmtId="0" fontId="12" fillId="8" borderId="23" xfId="3" applyFont="1" applyFill="1" applyBorder="1" applyAlignment="1">
      <alignment horizontal="center" vertical="top" wrapText="1"/>
    </xf>
    <xf numFmtId="0" fontId="9" fillId="0" borderId="5" xfId="0" applyFont="1" applyBorder="1" applyAlignment="1">
      <alignment horizontal="left" wrapText="1"/>
    </xf>
    <xf numFmtId="0" fontId="10" fillId="6" borderId="14" xfId="1" applyFont="1" applyFill="1" applyBorder="1" applyAlignment="1">
      <alignment horizontal="center"/>
    </xf>
    <xf numFmtId="0" fontId="10" fillId="6" borderId="15" xfId="1" applyFont="1" applyFill="1" applyBorder="1" applyAlignment="1">
      <alignment horizontal="center"/>
    </xf>
    <xf numFmtId="0" fontId="11" fillId="7" borderId="16" xfId="1" applyFont="1" applyFill="1" applyBorder="1" applyAlignment="1">
      <alignment horizontal="left" wrapText="1"/>
    </xf>
    <xf numFmtId="0" fontId="11" fillId="7" borderId="9" xfId="1" applyFont="1" applyFill="1" applyBorder="1" applyAlignment="1">
      <alignment horizontal="left" wrapText="1"/>
    </xf>
    <xf numFmtId="0" fontId="10" fillId="6" borderId="17" xfId="1" applyFont="1" applyFill="1" applyBorder="1" applyAlignment="1">
      <alignment horizontal="center"/>
    </xf>
    <xf numFmtId="0" fontId="10" fillId="6" borderId="1" xfId="1" applyFont="1" applyFill="1" applyAlignment="1">
      <alignment horizontal="center"/>
    </xf>
    <xf numFmtId="0" fontId="10" fillId="6" borderId="18" xfId="1" applyFont="1" applyFill="1" applyBorder="1" applyAlignment="1">
      <alignment horizontal="center"/>
    </xf>
    <xf numFmtId="0" fontId="10" fillId="6" borderId="19" xfId="1" applyFont="1" applyFill="1" applyBorder="1" applyAlignment="1">
      <alignment horizontal="center"/>
    </xf>
    <xf numFmtId="0" fontId="14" fillId="3" borderId="22" xfId="1" applyFont="1" applyFill="1" applyBorder="1" applyAlignment="1">
      <alignment horizontal="left" vertical="center"/>
    </xf>
    <xf numFmtId="0" fontId="12" fillId="8" borderId="8" xfId="3" applyFont="1" applyFill="1" applyBorder="1" applyAlignment="1">
      <alignment horizontal="center" vertical="top" wrapText="1"/>
    </xf>
    <xf numFmtId="0" fontId="12" fillId="3" borderId="24" xfId="3" applyFont="1" applyFill="1" applyBorder="1" applyAlignment="1">
      <alignment horizontal="center" vertical="top" wrapText="1"/>
    </xf>
    <xf numFmtId="0" fontId="12" fillId="3" borderId="3" xfId="3" applyFont="1" applyFill="1" applyBorder="1" applyAlignment="1">
      <alignment horizontal="center" vertical="top" wrapText="1"/>
    </xf>
    <xf numFmtId="0" fontId="19" fillId="11" borderId="3" xfId="0" applyFont="1" applyFill="1" applyBorder="1" applyAlignment="1">
      <alignment horizontal="center"/>
    </xf>
    <xf numFmtId="0" fontId="14" fillId="3" borderId="26" xfId="1" applyFont="1" applyFill="1" applyBorder="1" applyAlignment="1">
      <alignment horizontal="center" vertical="center"/>
    </xf>
    <xf numFmtId="0" fontId="19" fillId="11" borderId="30" xfId="0" applyFont="1" applyFill="1" applyBorder="1" applyAlignment="1" applyProtection="1">
      <alignment horizontal="center"/>
      <protection hidden="1"/>
    </xf>
    <xf numFmtId="0" fontId="19" fillId="11" borderId="31" xfId="0" applyFont="1" applyFill="1" applyBorder="1" applyAlignment="1" applyProtection="1">
      <alignment horizontal="center"/>
      <protection hidden="1"/>
    </xf>
    <xf numFmtId="0" fontId="27" fillId="13" borderId="0" xfId="0" applyFont="1" applyFill="1" applyAlignment="1" applyProtection="1">
      <alignment horizontal="center" vertical="center"/>
      <protection hidden="1"/>
    </xf>
    <xf numFmtId="0" fontId="27" fillId="13" borderId="32" xfId="0" applyFont="1" applyFill="1" applyBorder="1" applyAlignment="1" applyProtection="1">
      <alignment horizontal="center" vertical="center"/>
      <protection hidden="1"/>
    </xf>
    <xf numFmtId="0" fontId="31" fillId="16" borderId="6" xfId="0" applyFont="1" applyFill="1" applyBorder="1" applyAlignment="1" applyProtection="1">
      <alignment horizontal="center" vertical="center"/>
      <protection hidden="1"/>
    </xf>
    <xf numFmtId="0" fontId="31" fillId="16" borderId="12" xfId="0" applyFont="1" applyFill="1" applyBorder="1" applyAlignment="1" applyProtection="1">
      <alignment horizontal="center" vertical="center"/>
      <protection hidden="1"/>
    </xf>
    <xf numFmtId="0" fontId="31" fillId="17" borderId="6" xfId="0" applyFont="1" applyFill="1" applyBorder="1" applyAlignment="1" applyProtection="1">
      <alignment horizontal="center" vertical="center"/>
      <protection hidden="1"/>
    </xf>
    <xf numFmtId="0" fontId="31" fillId="17" borderId="12" xfId="0" applyFont="1" applyFill="1" applyBorder="1" applyAlignment="1" applyProtection="1">
      <alignment horizontal="center" vertical="center"/>
      <protection hidden="1"/>
    </xf>
    <xf numFmtId="0" fontId="31" fillId="18" borderId="6" xfId="0" applyFont="1" applyFill="1" applyBorder="1" applyAlignment="1" applyProtection="1">
      <alignment horizontal="center" vertical="center"/>
      <protection hidden="1"/>
    </xf>
    <xf numFmtId="0" fontId="31" fillId="18" borderId="12" xfId="0" applyFont="1" applyFill="1" applyBorder="1" applyAlignment="1" applyProtection="1">
      <alignment horizontal="center" vertical="center"/>
      <protection hidden="1"/>
    </xf>
    <xf numFmtId="0" fontId="31" fillId="19" borderId="6" xfId="0" applyFont="1" applyFill="1" applyBorder="1" applyAlignment="1" applyProtection="1">
      <alignment horizontal="center" vertical="center"/>
      <protection hidden="1"/>
    </xf>
    <xf numFmtId="0" fontId="31" fillId="19" borderId="12" xfId="0" applyFont="1" applyFill="1" applyBorder="1" applyAlignment="1" applyProtection="1">
      <alignment horizontal="center" vertical="center"/>
      <protection hidden="1"/>
    </xf>
    <xf numFmtId="0" fontId="31" fillId="13" borderId="6" xfId="0" applyFont="1" applyFill="1" applyBorder="1" applyAlignment="1" applyProtection="1">
      <alignment horizontal="center" vertical="center" wrapText="1"/>
      <protection hidden="1"/>
    </xf>
    <xf numFmtId="0" fontId="31" fillId="13" borderId="12" xfId="0" applyFont="1" applyFill="1" applyBorder="1" applyAlignment="1" applyProtection="1">
      <alignment horizontal="center" vertical="center" wrapText="1"/>
      <protection hidden="1"/>
    </xf>
    <xf numFmtId="0" fontId="31" fillId="13" borderId="6" xfId="0" applyFont="1" applyFill="1" applyBorder="1" applyAlignment="1">
      <alignment horizontal="center" vertical="center" wrapText="1"/>
    </xf>
    <xf numFmtId="0" fontId="31" fillId="13" borderId="12" xfId="0" applyFont="1" applyFill="1" applyBorder="1" applyAlignment="1">
      <alignment horizontal="center" vertical="center" wrapText="1"/>
    </xf>
    <xf numFmtId="0" fontId="13" fillId="3" borderId="22" xfId="1" applyFont="1" applyFill="1" applyBorder="1" applyAlignment="1">
      <alignment horizontal="left" vertical="center"/>
    </xf>
    <xf numFmtId="0" fontId="39" fillId="24" borderId="33" xfId="0" applyFont="1" applyFill="1" applyBorder="1" applyAlignment="1">
      <alignment horizontal="center"/>
    </xf>
    <xf numFmtId="0" fontId="39" fillId="24" borderId="24" xfId="0" applyFont="1" applyFill="1" applyBorder="1" applyAlignment="1">
      <alignment horizontal="center"/>
    </xf>
    <xf numFmtId="0" fontId="39" fillId="24" borderId="11" xfId="0" applyFont="1" applyFill="1" applyBorder="1" applyAlignment="1">
      <alignment horizontal="center"/>
    </xf>
    <xf numFmtId="0" fontId="37" fillId="21" borderId="33" xfId="0" applyFont="1" applyFill="1" applyBorder="1" applyAlignment="1">
      <alignment horizontal="center"/>
    </xf>
    <xf numFmtId="0" fontId="37" fillId="21" borderId="24" xfId="0" applyFont="1" applyFill="1" applyBorder="1" applyAlignment="1">
      <alignment horizontal="center"/>
    </xf>
    <xf numFmtId="0" fontId="37" fillId="21" borderId="11" xfId="0" applyFont="1" applyFill="1" applyBorder="1" applyAlignment="1">
      <alignment horizontal="center"/>
    </xf>
    <xf numFmtId="0" fontId="20" fillId="0" borderId="0" xfId="0" applyFont="1" applyAlignment="1">
      <alignment horizontal="left" wrapText="1"/>
    </xf>
    <xf numFmtId="0" fontId="24" fillId="0" borderId="2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4" fillId="0" borderId="29" xfId="0" applyFont="1" applyBorder="1" applyAlignment="1">
      <alignment horizontal="center" vertical="top"/>
    </xf>
    <xf numFmtId="0" fontId="32" fillId="0" borderId="9" xfId="0" applyFont="1" applyBorder="1" applyAlignment="1">
      <alignment horizontal="justify" vertical="center"/>
    </xf>
    <xf numFmtId="0" fontId="32" fillId="0" borderId="5" xfId="0" applyFont="1" applyBorder="1" applyAlignment="1">
      <alignment horizontal="justify" vertical="center"/>
    </xf>
    <xf numFmtId="0" fontId="32" fillId="0" borderId="24" xfId="0" applyFont="1" applyBorder="1" applyAlignment="1">
      <alignment horizontal="center" vertical="center" wrapText="1"/>
    </xf>
  </cellXfs>
  <cellStyles count="9">
    <cellStyle name="Accent1" xfId="4" builtinId="29"/>
    <cellStyle name="Comma" xfId="5" builtinId="3"/>
    <cellStyle name="Explanatory Text" xfId="3" builtinId="53"/>
    <cellStyle name="Hyperlink" xfId="2" builtinId="8"/>
    <cellStyle name="Hyperlink 2" xfId="8"/>
    <cellStyle name="Input" xfId="1" builtinId="20"/>
    <cellStyle name="Normal" xfId="0" builtinId="0"/>
    <cellStyle name="Normal 2" xfId="7"/>
    <cellStyle name="Percent" xfId="6" builtinId="5"/>
  </cellStyles>
  <dxfs count="161"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rgb="FF7030A0"/>
      </font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8E0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4C6E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'5.a'!$I$4</c:f>
              <c:strCache>
                <c:ptCount val="1"/>
                <c:pt idx="0">
                  <c:v>Risk Environment</c:v>
                </c:pt>
              </c:strCache>
            </c:strRef>
          </c:tx>
          <c:spPr>
            <a:ln w="9525" cap="rnd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'5.a'!$B$5:$C$13</c:f>
              <c:multiLvlStrCache>
                <c:ptCount val="9"/>
                <c:lvl>
                  <c:pt idx="0">
                    <c:v>Case 2019</c:v>
                  </c:pt>
                  <c:pt idx="1">
                    <c:v>Case 2021</c:v>
                  </c:pt>
                  <c:pt idx="2">
                    <c:v>Aggregated</c:v>
                  </c:pt>
                  <c:pt idx="3">
                    <c:v>Case 2019</c:v>
                  </c:pt>
                  <c:pt idx="4">
                    <c:v>Case 2021</c:v>
                  </c:pt>
                  <c:pt idx="5">
                    <c:v>Aggregated</c:v>
                  </c:pt>
                  <c:pt idx="6">
                    <c:v>Case 2019</c:v>
                  </c:pt>
                  <c:pt idx="7">
                    <c:v>Case 2021</c:v>
                  </c:pt>
                  <c:pt idx="8">
                    <c:v>Aggregated</c:v>
                  </c:pt>
                </c:lvl>
                <c:lvl>
                  <c:pt idx="0">
                    <c:v>Non-EU</c:v>
                  </c:pt>
                  <c:pt idx="3">
                    <c:v>African R</c:v>
                  </c:pt>
                  <c:pt idx="6">
                    <c:v>EMR</c:v>
                  </c:pt>
                </c:lvl>
              </c:multiLvlStrCache>
            </c:multiLvlStrRef>
          </c:cat>
          <c:val>
            <c:numRef>
              <c:f>'5.a'!$I$5:$I$13</c:f>
              <c:numCache>
                <c:formatCode>0.000</c:formatCode>
                <c:ptCount val="9"/>
                <c:pt idx="0">
                  <c:v>6.588810602562109E-2</c:v>
                </c:pt>
                <c:pt idx="1">
                  <c:v>6.4422784810664324E-2</c:v>
                </c:pt>
                <c:pt idx="2">
                  <c:v>6.6844868005963565E-2</c:v>
                </c:pt>
                <c:pt idx="3">
                  <c:v>5.4535825370188716E-2</c:v>
                </c:pt>
                <c:pt idx="4">
                  <c:v>6.2505973479965796E-2</c:v>
                </c:pt>
                <c:pt idx="5">
                  <c:v>6.1231509069968312E-2</c:v>
                </c:pt>
                <c:pt idx="6">
                  <c:v>9.4502478918484151E-2</c:v>
                </c:pt>
                <c:pt idx="7">
                  <c:v>9.8654708575936029E-2</c:v>
                </c:pt>
                <c:pt idx="8">
                  <c:v>9.8931937718460525E-2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ACE-44D2-9FEA-8EEA21D5B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331936"/>
        <c:axId val="345332496"/>
      </c:lineChart>
      <c:scatterChart>
        <c:scatterStyle val="smoothMarker"/>
        <c:varyColors val="0"/>
        <c:ser>
          <c:idx val="0"/>
          <c:order val="0"/>
          <c:tx>
            <c:strRef>
              <c:f>'5.a'!$D$4</c:f>
              <c:strCache>
                <c:ptCount val="1"/>
                <c:pt idx="0">
                  <c:v>Prevention</c:v>
                </c:pt>
              </c:strCache>
            </c:strRef>
          </c:tx>
          <c:spPr>
            <a:ln w="9525" cap="rnd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multiLvlStrRef>
              <c:f>'5.a'!$B$5:$C$13</c:f>
              <c:multiLvlStrCache>
                <c:ptCount val="9"/>
                <c:lvl>
                  <c:pt idx="0">
                    <c:v>Case 2019</c:v>
                  </c:pt>
                  <c:pt idx="1">
                    <c:v>Case 2021</c:v>
                  </c:pt>
                  <c:pt idx="2">
                    <c:v>Aggregated</c:v>
                  </c:pt>
                  <c:pt idx="3">
                    <c:v>Case 2019</c:v>
                  </c:pt>
                  <c:pt idx="4">
                    <c:v>Case 2021</c:v>
                  </c:pt>
                  <c:pt idx="5">
                    <c:v>Aggregated</c:v>
                  </c:pt>
                  <c:pt idx="6">
                    <c:v>Case 2019</c:v>
                  </c:pt>
                  <c:pt idx="7">
                    <c:v>Case 2021</c:v>
                  </c:pt>
                  <c:pt idx="8">
                    <c:v>Aggregated</c:v>
                  </c:pt>
                </c:lvl>
                <c:lvl>
                  <c:pt idx="0">
                    <c:v>Non-EU</c:v>
                  </c:pt>
                  <c:pt idx="3">
                    <c:v>African R</c:v>
                  </c:pt>
                  <c:pt idx="6">
                    <c:v>EMR</c:v>
                  </c:pt>
                </c:lvl>
              </c:multiLvlStrCache>
            </c:multiLvlStrRef>
          </c:xVal>
          <c:yVal>
            <c:numRef>
              <c:f>'5.a'!$D$5:$D$13</c:f>
              <c:numCache>
                <c:formatCode>0.000</c:formatCode>
                <c:ptCount val="9"/>
                <c:pt idx="0">
                  <c:v>0.20434907728812768</c:v>
                </c:pt>
                <c:pt idx="1">
                  <c:v>0.21796568197014837</c:v>
                </c:pt>
                <c:pt idx="2">
                  <c:v>0.21387055978147676</c:v>
                </c:pt>
                <c:pt idx="3">
                  <c:v>0.32977200414215746</c:v>
                </c:pt>
                <c:pt idx="4">
                  <c:v>0.35233738124428282</c:v>
                </c:pt>
                <c:pt idx="5">
                  <c:v>0.32530202512611095</c:v>
                </c:pt>
                <c:pt idx="6">
                  <c:v>0.20851398344147185</c:v>
                </c:pt>
                <c:pt idx="7">
                  <c:v>0.25934508004080797</c:v>
                </c:pt>
                <c:pt idx="8">
                  <c:v>0.22830241614828281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CE-44D2-9FEA-8EEA21D5B09A}"/>
            </c:ext>
          </c:extLst>
        </c:ser>
        <c:ser>
          <c:idx val="1"/>
          <c:order val="1"/>
          <c:tx>
            <c:strRef>
              <c:f>'5.a'!$E$4</c:f>
              <c:strCache>
                <c:ptCount val="1"/>
                <c:pt idx="0">
                  <c:v>Detection and Reporting </c:v>
                </c:pt>
              </c:strCache>
            </c:strRef>
          </c:tx>
          <c:spPr>
            <a:ln w="9525" cap="rnd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xVal>
            <c:multiLvlStrRef>
              <c:f>'5.a'!$B$5:$C$13</c:f>
              <c:multiLvlStrCache>
                <c:ptCount val="9"/>
                <c:lvl>
                  <c:pt idx="0">
                    <c:v>Case 2019</c:v>
                  </c:pt>
                  <c:pt idx="1">
                    <c:v>Case 2021</c:v>
                  </c:pt>
                  <c:pt idx="2">
                    <c:v>Aggregated</c:v>
                  </c:pt>
                  <c:pt idx="3">
                    <c:v>Case 2019</c:v>
                  </c:pt>
                  <c:pt idx="4">
                    <c:v>Case 2021</c:v>
                  </c:pt>
                  <c:pt idx="5">
                    <c:v>Aggregated</c:v>
                  </c:pt>
                  <c:pt idx="6">
                    <c:v>Case 2019</c:v>
                  </c:pt>
                  <c:pt idx="7">
                    <c:v>Case 2021</c:v>
                  </c:pt>
                  <c:pt idx="8">
                    <c:v>Aggregated</c:v>
                  </c:pt>
                </c:lvl>
                <c:lvl>
                  <c:pt idx="0">
                    <c:v>Non-EU</c:v>
                  </c:pt>
                  <c:pt idx="3">
                    <c:v>African R</c:v>
                  </c:pt>
                  <c:pt idx="6">
                    <c:v>EMR</c:v>
                  </c:pt>
                </c:lvl>
              </c:multiLvlStrCache>
            </c:multiLvlStrRef>
          </c:xVal>
          <c:yVal>
            <c:numRef>
              <c:f>'5.a'!$E$5:$E$13</c:f>
              <c:numCache>
                <c:formatCode>0.000</c:formatCode>
                <c:ptCount val="9"/>
                <c:pt idx="0">
                  <c:v>0.39916783249767129</c:v>
                </c:pt>
                <c:pt idx="1">
                  <c:v>0.37170591595951402</c:v>
                </c:pt>
                <c:pt idx="2">
                  <c:v>0.388060939660478</c:v>
                </c:pt>
                <c:pt idx="3">
                  <c:v>0.32589584956575057</c:v>
                </c:pt>
                <c:pt idx="4">
                  <c:v>0.29372841297318347</c:v>
                </c:pt>
                <c:pt idx="5">
                  <c:v>0.32181429817767421</c:v>
                </c:pt>
                <c:pt idx="6">
                  <c:v>0.2171924578283885</c:v>
                </c:pt>
                <c:pt idx="7">
                  <c:v>0.22143931673073891</c:v>
                </c:pt>
                <c:pt idx="8">
                  <c:v>0.2202054386751183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CE-44D2-9FEA-8EEA21D5B09A}"/>
            </c:ext>
          </c:extLst>
        </c:ser>
        <c:ser>
          <c:idx val="2"/>
          <c:order val="2"/>
          <c:tx>
            <c:strRef>
              <c:f>'5.a'!$F$4</c:f>
              <c:strCache>
                <c:ptCount val="1"/>
                <c:pt idx="0">
                  <c:v>Rapid Response</c:v>
                </c:pt>
              </c:strCache>
            </c:strRef>
          </c:tx>
          <c:spPr>
            <a:ln w="9525" cap="rnd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xVal>
            <c:multiLvlStrRef>
              <c:f>'5.a'!$B$5:$C$13</c:f>
              <c:multiLvlStrCache>
                <c:ptCount val="9"/>
                <c:lvl>
                  <c:pt idx="0">
                    <c:v>Case 2019</c:v>
                  </c:pt>
                  <c:pt idx="1">
                    <c:v>Case 2021</c:v>
                  </c:pt>
                  <c:pt idx="2">
                    <c:v>Aggregated</c:v>
                  </c:pt>
                  <c:pt idx="3">
                    <c:v>Case 2019</c:v>
                  </c:pt>
                  <c:pt idx="4">
                    <c:v>Case 2021</c:v>
                  </c:pt>
                  <c:pt idx="5">
                    <c:v>Aggregated</c:v>
                  </c:pt>
                  <c:pt idx="6">
                    <c:v>Case 2019</c:v>
                  </c:pt>
                  <c:pt idx="7">
                    <c:v>Case 2021</c:v>
                  </c:pt>
                  <c:pt idx="8">
                    <c:v>Aggregated</c:v>
                  </c:pt>
                </c:lvl>
                <c:lvl>
                  <c:pt idx="0">
                    <c:v>Non-EU</c:v>
                  </c:pt>
                  <c:pt idx="3">
                    <c:v>African R</c:v>
                  </c:pt>
                  <c:pt idx="6">
                    <c:v>EMR</c:v>
                  </c:pt>
                </c:lvl>
              </c:multiLvlStrCache>
            </c:multiLvlStrRef>
          </c:xVal>
          <c:yVal>
            <c:numRef>
              <c:f>'5.a'!$F$5:$F$13</c:f>
              <c:numCache>
                <c:formatCode>0.000</c:formatCode>
                <c:ptCount val="9"/>
                <c:pt idx="0">
                  <c:v>0.10372749664548138</c:v>
                </c:pt>
                <c:pt idx="1">
                  <c:v>9.7535375137318914E-2</c:v>
                </c:pt>
                <c:pt idx="2">
                  <c:v>9.7365695220294382E-2</c:v>
                </c:pt>
                <c:pt idx="3">
                  <c:v>6.0176185861690788E-2</c:v>
                </c:pt>
                <c:pt idx="4">
                  <c:v>7.1549764825424286E-2</c:v>
                </c:pt>
                <c:pt idx="5">
                  <c:v>6.0545809652912286E-2</c:v>
                </c:pt>
                <c:pt idx="6">
                  <c:v>9.8302133418787602E-2</c:v>
                </c:pt>
                <c:pt idx="7">
                  <c:v>9.5780300622312464E-2</c:v>
                </c:pt>
                <c:pt idx="8">
                  <c:v>9.2353315743573944E-2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CE-44D2-9FEA-8EEA21D5B09A}"/>
            </c:ext>
          </c:extLst>
        </c:ser>
        <c:ser>
          <c:idx val="3"/>
          <c:order val="3"/>
          <c:tx>
            <c:strRef>
              <c:f>'5.a'!$G$4</c:f>
              <c:strCache>
                <c:ptCount val="1"/>
                <c:pt idx="0">
                  <c:v>Health System</c:v>
                </c:pt>
              </c:strCache>
            </c:strRef>
          </c:tx>
          <c:spPr>
            <a:ln w="9525" cap="rnd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x"/>
            <c:size val="6"/>
            <c:spPr>
              <a:noFill/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multiLvlStrRef>
              <c:f>'5.a'!$B$5:$C$13</c:f>
              <c:multiLvlStrCache>
                <c:ptCount val="9"/>
                <c:lvl>
                  <c:pt idx="0">
                    <c:v>Case 2019</c:v>
                  </c:pt>
                  <c:pt idx="1">
                    <c:v>Case 2021</c:v>
                  </c:pt>
                  <c:pt idx="2">
                    <c:v>Aggregated</c:v>
                  </c:pt>
                  <c:pt idx="3">
                    <c:v>Case 2019</c:v>
                  </c:pt>
                  <c:pt idx="4">
                    <c:v>Case 2021</c:v>
                  </c:pt>
                  <c:pt idx="5">
                    <c:v>Aggregated</c:v>
                  </c:pt>
                  <c:pt idx="6">
                    <c:v>Case 2019</c:v>
                  </c:pt>
                  <c:pt idx="7">
                    <c:v>Case 2021</c:v>
                  </c:pt>
                  <c:pt idx="8">
                    <c:v>Aggregated</c:v>
                  </c:pt>
                </c:lvl>
                <c:lvl>
                  <c:pt idx="0">
                    <c:v>Non-EU</c:v>
                  </c:pt>
                  <c:pt idx="3">
                    <c:v>African R</c:v>
                  </c:pt>
                  <c:pt idx="6">
                    <c:v>EMR</c:v>
                  </c:pt>
                </c:lvl>
              </c:multiLvlStrCache>
            </c:multiLvlStrRef>
          </c:xVal>
          <c:yVal>
            <c:numRef>
              <c:f>'5.a'!$G$5:$G$13</c:f>
              <c:numCache>
                <c:formatCode>0.000</c:formatCode>
                <c:ptCount val="9"/>
                <c:pt idx="0">
                  <c:v>0.13544995782874866</c:v>
                </c:pt>
                <c:pt idx="1">
                  <c:v>0.12553222051918292</c:v>
                </c:pt>
                <c:pt idx="2">
                  <c:v>0.13034225914511893</c:v>
                </c:pt>
                <c:pt idx="3">
                  <c:v>0.17240214881762053</c:v>
                </c:pt>
                <c:pt idx="4">
                  <c:v>0.16876777761068903</c:v>
                </c:pt>
                <c:pt idx="5">
                  <c:v>0.17505282248299148</c:v>
                </c:pt>
                <c:pt idx="6">
                  <c:v>0.32156450471550296</c:v>
                </c:pt>
                <c:pt idx="7">
                  <c:v>0.26128646439422992</c:v>
                </c:pt>
                <c:pt idx="8">
                  <c:v>0.29770178605984216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ACE-44D2-9FEA-8EEA21D5B09A}"/>
            </c:ext>
          </c:extLst>
        </c:ser>
        <c:ser>
          <c:idx val="4"/>
          <c:order val="4"/>
          <c:tx>
            <c:strRef>
              <c:f>'5.a'!$H$4</c:f>
              <c:strCache>
                <c:ptCount val="1"/>
                <c:pt idx="0">
                  <c:v>Compliance with Norms</c:v>
                </c:pt>
              </c:strCache>
            </c:strRef>
          </c:tx>
          <c:spPr>
            <a:ln w="9525" cap="rnd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star"/>
            <c:size val="6"/>
            <c:spPr>
              <a:noFill/>
              <a:ln w="15875">
                <a:solidFill>
                  <a:schemeClr val="accent5"/>
                </a:solidFill>
                <a:round/>
              </a:ln>
              <a:effectLst/>
            </c:spPr>
          </c:marker>
          <c:xVal>
            <c:multiLvlStrRef>
              <c:f>'5.a'!$B$5:$C$13</c:f>
              <c:multiLvlStrCache>
                <c:ptCount val="9"/>
                <c:lvl>
                  <c:pt idx="0">
                    <c:v>Case 2019</c:v>
                  </c:pt>
                  <c:pt idx="1">
                    <c:v>Case 2021</c:v>
                  </c:pt>
                  <c:pt idx="2">
                    <c:v>Aggregated</c:v>
                  </c:pt>
                  <c:pt idx="3">
                    <c:v>Case 2019</c:v>
                  </c:pt>
                  <c:pt idx="4">
                    <c:v>Case 2021</c:v>
                  </c:pt>
                  <c:pt idx="5">
                    <c:v>Aggregated</c:v>
                  </c:pt>
                  <c:pt idx="6">
                    <c:v>Case 2019</c:v>
                  </c:pt>
                  <c:pt idx="7">
                    <c:v>Case 2021</c:v>
                  </c:pt>
                  <c:pt idx="8">
                    <c:v>Aggregated</c:v>
                  </c:pt>
                </c:lvl>
                <c:lvl>
                  <c:pt idx="0">
                    <c:v>Non-EU</c:v>
                  </c:pt>
                  <c:pt idx="3">
                    <c:v>African R</c:v>
                  </c:pt>
                  <c:pt idx="6">
                    <c:v>EMR</c:v>
                  </c:pt>
                </c:lvl>
              </c:multiLvlStrCache>
            </c:multiLvlStrRef>
          </c:xVal>
          <c:yVal>
            <c:numRef>
              <c:f>'5.a'!$H$5:$H$13</c:f>
              <c:numCache>
                <c:formatCode>0.000</c:formatCode>
                <c:ptCount val="9"/>
                <c:pt idx="0">
                  <c:v>9.1417529714349868E-2</c:v>
                </c:pt>
                <c:pt idx="1">
                  <c:v>0.12283802160317142</c:v>
                </c:pt>
                <c:pt idx="2">
                  <c:v>0.10351567818666836</c:v>
                </c:pt>
                <c:pt idx="3">
                  <c:v>5.721798624259191E-2</c:v>
                </c:pt>
                <c:pt idx="4">
                  <c:v>5.1110689866454562E-2</c:v>
                </c:pt>
                <c:pt idx="5">
                  <c:v>5.6053535490342796E-2</c:v>
                </c:pt>
                <c:pt idx="6">
                  <c:v>5.9924441677364902E-2</c:v>
                </c:pt>
                <c:pt idx="7">
                  <c:v>6.34941296359747E-2</c:v>
                </c:pt>
                <c:pt idx="8">
                  <c:v>6.2505105654722268E-2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6ACE-44D2-9FEA-8EEA21D5B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331936"/>
        <c:axId val="345332496"/>
      </c:scatterChart>
      <c:catAx>
        <c:axId val="34533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j-cs"/>
              </a:defRPr>
            </a:pPr>
            <a:endParaRPr lang="ar-SA"/>
          </a:p>
        </c:txPr>
        <c:crossAx val="345332496"/>
        <c:crosses val="autoZero"/>
        <c:auto val="1"/>
        <c:lblAlgn val="ctr"/>
        <c:lblOffset val="100"/>
        <c:tickMarkSkip val="1"/>
        <c:noMultiLvlLbl val="0"/>
      </c:catAx>
      <c:valAx>
        <c:axId val="3453324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  <a:cs typeface="+mj-cs"/>
                  </a:rPr>
                  <a:t>Weeghts values</a:t>
                </a:r>
                <a:endParaRPr lang="ar-SA" sz="1000">
                  <a:effectLst/>
                  <a:cs typeface="+mj-cs"/>
                </a:endParaRPr>
              </a:p>
            </c:rich>
          </c:tx>
          <c:layout>
            <c:manualLayout>
              <c:xMode val="edge"/>
              <c:yMode val="edge"/>
              <c:x val="0.9593936653091607"/>
              <c:y val="0.272740657203816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533193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tx1"/>
          </a:solidFill>
        </a:defRPr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'5.b'!$E$4</c:f>
              <c:strCache>
                <c:ptCount val="1"/>
                <c:pt idx="0">
                  <c:v>Ri (2019)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'5.b'!$E$5:$E$31</c:f>
              <c:numCache>
                <c:formatCode>0.000</c:formatCode>
                <c:ptCount val="27"/>
                <c:pt idx="0">
                  <c:v>8</c:v>
                </c:pt>
                <c:pt idx="1">
                  <c:v>27</c:v>
                </c:pt>
                <c:pt idx="2">
                  <c:v>2</c:v>
                </c:pt>
                <c:pt idx="3">
                  <c:v>23</c:v>
                </c:pt>
                <c:pt idx="4">
                  <c:v>14</c:v>
                </c:pt>
                <c:pt idx="5">
                  <c:v>21</c:v>
                </c:pt>
                <c:pt idx="6">
                  <c:v>6</c:v>
                </c:pt>
                <c:pt idx="7">
                  <c:v>10</c:v>
                </c:pt>
                <c:pt idx="8">
                  <c:v>5</c:v>
                </c:pt>
                <c:pt idx="9">
                  <c:v>12</c:v>
                </c:pt>
                <c:pt idx="10">
                  <c:v>15</c:v>
                </c:pt>
                <c:pt idx="11">
                  <c:v>17</c:v>
                </c:pt>
                <c:pt idx="12">
                  <c:v>13</c:v>
                </c:pt>
                <c:pt idx="13">
                  <c:v>24</c:v>
                </c:pt>
                <c:pt idx="14">
                  <c:v>18</c:v>
                </c:pt>
                <c:pt idx="15">
                  <c:v>16</c:v>
                </c:pt>
                <c:pt idx="16">
                  <c:v>3</c:v>
                </c:pt>
                <c:pt idx="17">
                  <c:v>9</c:v>
                </c:pt>
                <c:pt idx="18">
                  <c:v>25</c:v>
                </c:pt>
                <c:pt idx="19">
                  <c:v>11</c:v>
                </c:pt>
                <c:pt idx="20">
                  <c:v>4</c:v>
                </c:pt>
                <c:pt idx="21">
                  <c:v>26</c:v>
                </c:pt>
                <c:pt idx="22">
                  <c:v>7</c:v>
                </c:pt>
                <c:pt idx="23">
                  <c:v>22</c:v>
                </c:pt>
                <c:pt idx="24">
                  <c:v>19</c:v>
                </c:pt>
                <c:pt idx="25">
                  <c:v>1</c:v>
                </c:pt>
                <c:pt idx="26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26-4A0E-8381-36F547FDFD36}"/>
            </c:ext>
          </c:extLst>
        </c:ser>
        <c:ser>
          <c:idx val="4"/>
          <c:order val="4"/>
          <c:tx>
            <c:strRef>
              <c:f>'5.b'!$H$4</c:f>
              <c:strCache>
                <c:ptCount val="1"/>
                <c:pt idx="0">
                  <c:v>Ri(2021)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'5.b'!$H$5:$H$31</c:f>
              <c:numCache>
                <c:formatCode>0.000</c:formatCode>
                <c:ptCount val="27"/>
                <c:pt idx="0">
                  <c:v>10</c:v>
                </c:pt>
                <c:pt idx="1">
                  <c:v>27</c:v>
                </c:pt>
                <c:pt idx="2">
                  <c:v>2</c:v>
                </c:pt>
                <c:pt idx="3">
                  <c:v>21</c:v>
                </c:pt>
                <c:pt idx="4">
                  <c:v>13</c:v>
                </c:pt>
                <c:pt idx="5">
                  <c:v>22</c:v>
                </c:pt>
                <c:pt idx="6">
                  <c:v>4</c:v>
                </c:pt>
                <c:pt idx="7">
                  <c:v>9</c:v>
                </c:pt>
                <c:pt idx="8">
                  <c:v>8</c:v>
                </c:pt>
                <c:pt idx="9">
                  <c:v>11</c:v>
                </c:pt>
                <c:pt idx="10">
                  <c:v>18</c:v>
                </c:pt>
                <c:pt idx="11">
                  <c:v>16</c:v>
                </c:pt>
                <c:pt idx="12">
                  <c:v>17</c:v>
                </c:pt>
                <c:pt idx="13">
                  <c:v>26</c:v>
                </c:pt>
                <c:pt idx="14">
                  <c:v>14</c:v>
                </c:pt>
                <c:pt idx="15">
                  <c:v>15</c:v>
                </c:pt>
                <c:pt idx="16">
                  <c:v>3</c:v>
                </c:pt>
                <c:pt idx="17">
                  <c:v>7</c:v>
                </c:pt>
                <c:pt idx="18">
                  <c:v>24</c:v>
                </c:pt>
                <c:pt idx="19">
                  <c:v>12</c:v>
                </c:pt>
                <c:pt idx="20">
                  <c:v>5</c:v>
                </c:pt>
                <c:pt idx="21">
                  <c:v>25</c:v>
                </c:pt>
                <c:pt idx="22">
                  <c:v>6</c:v>
                </c:pt>
                <c:pt idx="23">
                  <c:v>23</c:v>
                </c:pt>
                <c:pt idx="24">
                  <c:v>20</c:v>
                </c:pt>
                <c:pt idx="25">
                  <c:v>1</c:v>
                </c:pt>
                <c:pt idx="26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E26-4A0E-8381-36F547FDFD36}"/>
            </c:ext>
          </c:extLst>
        </c:ser>
        <c:ser>
          <c:idx val="7"/>
          <c:order val="7"/>
          <c:tx>
            <c:strRef>
              <c:f>'5.b'!$K$4</c:f>
              <c:strCache>
                <c:ptCount val="1"/>
                <c:pt idx="0">
                  <c:v>Ri (2017-2021)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'5.b'!$K$5:$K$31</c:f>
              <c:numCache>
                <c:formatCode>0.000</c:formatCode>
                <c:ptCount val="27"/>
                <c:pt idx="0">
                  <c:v>9</c:v>
                </c:pt>
                <c:pt idx="1">
                  <c:v>27</c:v>
                </c:pt>
                <c:pt idx="2">
                  <c:v>2</c:v>
                </c:pt>
                <c:pt idx="3">
                  <c:v>22</c:v>
                </c:pt>
                <c:pt idx="4">
                  <c:v>13</c:v>
                </c:pt>
                <c:pt idx="5">
                  <c:v>21</c:v>
                </c:pt>
                <c:pt idx="6">
                  <c:v>5</c:v>
                </c:pt>
                <c:pt idx="7">
                  <c:v>10</c:v>
                </c:pt>
                <c:pt idx="8">
                  <c:v>7</c:v>
                </c:pt>
                <c:pt idx="9">
                  <c:v>12</c:v>
                </c:pt>
                <c:pt idx="10">
                  <c:v>18</c:v>
                </c:pt>
                <c:pt idx="11">
                  <c:v>16</c:v>
                </c:pt>
                <c:pt idx="12">
                  <c:v>14</c:v>
                </c:pt>
                <c:pt idx="13">
                  <c:v>24</c:v>
                </c:pt>
                <c:pt idx="14">
                  <c:v>17</c:v>
                </c:pt>
                <c:pt idx="15">
                  <c:v>15</c:v>
                </c:pt>
                <c:pt idx="16">
                  <c:v>3</c:v>
                </c:pt>
                <c:pt idx="17">
                  <c:v>8</c:v>
                </c:pt>
                <c:pt idx="18">
                  <c:v>25</c:v>
                </c:pt>
                <c:pt idx="19">
                  <c:v>11</c:v>
                </c:pt>
                <c:pt idx="20">
                  <c:v>4</c:v>
                </c:pt>
                <c:pt idx="21">
                  <c:v>26</c:v>
                </c:pt>
                <c:pt idx="22">
                  <c:v>6</c:v>
                </c:pt>
                <c:pt idx="23">
                  <c:v>23</c:v>
                </c:pt>
                <c:pt idx="24">
                  <c:v>20</c:v>
                </c:pt>
                <c:pt idx="25">
                  <c:v>1</c:v>
                </c:pt>
                <c:pt idx="26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E26-4A0E-8381-36F547FDF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846672"/>
        <c:axId val="348847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'5.b'!$D$4</c15:sqref>
                        </c15:formulaRef>
                      </c:ext>
                    </c:extLst>
                    <c:strCache>
                      <c:ptCount val="1"/>
                      <c:pt idx="0">
                        <c:v>Ci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'5.b'!$D$5:$D$31</c15:sqref>
                        </c15:formulaRef>
                      </c:ext>
                    </c:extLst>
                    <c:numCache>
                      <c:formatCode>0.000</c:formatCode>
                      <c:ptCount val="27"/>
                      <c:pt idx="0">
                        <c:v>3.0879958678473347</c:v>
                      </c:pt>
                      <c:pt idx="1">
                        <c:v>1.1618985325783646</c:v>
                      </c:pt>
                      <c:pt idx="2">
                        <c:v>4.3880049472414884</c:v>
                      </c:pt>
                      <c:pt idx="3">
                        <c:v>2.0389702727077812</c:v>
                      </c:pt>
                      <c:pt idx="4">
                        <c:v>2.5715540603037637</c:v>
                      </c:pt>
                      <c:pt idx="5">
                        <c:v>2.0933908650712141</c:v>
                      </c:pt>
                      <c:pt idx="6">
                        <c:v>3.2473310680818819</c:v>
                      </c:pt>
                      <c:pt idx="7">
                        <c:v>2.8925735208743251</c:v>
                      </c:pt>
                      <c:pt idx="8">
                        <c:v>3.2848680157610279</c:v>
                      </c:pt>
                      <c:pt idx="9">
                        <c:v>2.6801313049252902</c:v>
                      </c:pt>
                      <c:pt idx="10">
                        <c:v>2.5703500017417937</c:v>
                      </c:pt>
                      <c:pt idx="11">
                        <c:v>2.5176008712320845</c:v>
                      </c:pt>
                      <c:pt idx="12">
                        <c:v>2.6729163919402268</c:v>
                      </c:pt>
                      <c:pt idx="13">
                        <c:v>1.7116341234408017</c:v>
                      </c:pt>
                      <c:pt idx="14">
                        <c:v>2.3721817730210626</c:v>
                      </c:pt>
                      <c:pt idx="15">
                        <c:v>2.5395527977656713</c:v>
                      </c:pt>
                      <c:pt idx="16">
                        <c:v>3.8904105402246199</c:v>
                      </c:pt>
                      <c:pt idx="17">
                        <c:v>3.0298928699085685</c:v>
                      </c:pt>
                      <c:pt idx="18">
                        <c:v>1.4134567293721658</c:v>
                      </c:pt>
                      <c:pt idx="19">
                        <c:v>2.7941923704123739</c:v>
                      </c:pt>
                      <c:pt idx="20">
                        <c:v>3.664806031258574</c:v>
                      </c:pt>
                      <c:pt idx="21">
                        <c:v>1.3863052622230096</c:v>
                      </c:pt>
                      <c:pt idx="22">
                        <c:v>3.1506194466984869</c:v>
                      </c:pt>
                      <c:pt idx="23">
                        <c:v>2.0807915004009176</c:v>
                      </c:pt>
                      <c:pt idx="24">
                        <c:v>2.242790317824654</c:v>
                      </c:pt>
                      <c:pt idx="25">
                        <c:v>4.4674319738505179</c:v>
                      </c:pt>
                      <c:pt idx="26">
                        <c:v>2.2165775308687583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EE26-4A0E-8381-36F547FDFD3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'5.b'!$F$4</c15:sqref>
                        </c15:formulaRef>
                      </c:ext>
                    </c:extLst>
                    <c:strCache>
                      <c:ptCount val="1"/>
                      <c:pt idx="0">
                        <c:v>Si  (2019)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'5.b'!$F$5:$F$31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4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1</c:v>
                      </c:pt>
                      <c:pt idx="17">
                        <c:v>2</c:v>
                      </c:pt>
                      <c:pt idx="18">
                        <c:v>5</c:v>
                      </c:pt>
                      <c:pt idx="19">
                        <c:v>3</c:v>
                      </c:pt>
                      <c:pt idx="20">
                        <c:v>2</c:v>
                      </c:pt>
                      <c:pt idx="21">
                        <c:v>5</c:v>
                      </c:pt>
                      <c:pt idx="22">
                        <c:v>2</c:v>
                      </c:pt>
                      <c:pt idx="23">
                        <c:v>4</c:v>
                      </c:pt>
                      <c:pt idx="24">
                        <c:v>4</c:v>
                      </c:pt>
                      <c:pt idx="25">
                        <c:v>1</c:v>
                      </c:pt>
                      <c:pt idx="26">
                        <c:v>4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EE26-4A0E-8381-36F547FDFD3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'5.b'!$G$4</c15:sqref>
                        </c15:formulaRef>
                      </c:ext>
                    </c:extLst>
                    <c:strCache>
                      <c:ptCount val="1"/>
                      <c:pt idx="0">
                        <c:v>Ci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'5.b'!$G$5:$G$31</c15:sqref>
                        </c15:formulaRef>
                      </c:ext>
                    </c:extLst>
                    <c:numCache>
                      <c:formatCode>0.000</c:formatCode>
                      <c:ptCount val="27"/>
                      <c:pt idx="0">
                        <c:v>2.2308224554263445</c:v>
                      </c:pt>
                      <c:pt idx="1">
                        <c:v>1.2162956846463584</c:v>
                      </c:pt>
                      <c:pt idx="2">
                        <c:v>3.0655558538867211</c:v>
                      </c:pt>
                      <c:pt idx="3">
                        <c:v>1.6807334211937477</c:v>
                      </c:pt>
                      <c:pt idx="4">
                        <c:v>2.1347730602750099</c:v>
                      </c:pt>
                      <c:pt idx="5">
                        <c:v>1.6521968599522125</c:v>
                      </c:pt>
                      <c:pt idx="6">
                        <c:v>2.6921611614834449</c:v>
                      </c:pt>
                      <c:pt idx="7">
                        <c:v>2.2646406413273366</c:v>
                      </c:pt>
                      <c:pt idx="8">
                        <c:v>2.3270032424857097</c:v>
                      </c:pt>
                      <c:pt idx="9">
                        <c:v>2.1918413330154545</c:v>
                      </c:pt>
                      <c:pt idx="10">
                        <c:v>1.9933565291096054</c:v>
                      </c:pt>
                      <c:pt idx="11">
                        <c:v>2.0368697953892734</c:v>
                      </c:pt>
                      <c:pt idx="12">
                        <c:v>2.0321829011499983</c:v>
                      </c:pt>
                      <c:pt idx="13">
                        <c:v>1.3503489679675833</c:v>
                      </c:pt>
                      <c:pt idx="14">
                        <c:v>2.1155048249080233</c:v>
                      </c:pt>
                      <c:pt idx="15">
                        <c:v>2.087653811434321</c:v>
                      </c:pt>
                      <c:pt idx="16">
                        <c:v>2.7513418158594241</c:v>
                      </c:pt>
                      <c:pt idx="17">
                        <c:v>2.4044757382997211</c:v>
                      </c:pt>
                      <c:pt idx="18">
                        <c:v>1.3728632764590383</c:v>
                      </c:pt>
                      <c:pt idx="19">
                        <c:v>2.1372794134393813</c:v>
                      </c:pt>
                      <c:pt idx="20">
                        <c:v>2.6777081144470363</c:v>
                      </c:pt>
                      <c:pt idx="21">
                        <c:v>1.3625075521517211</c:v>
                      </c:pt>
                      <c:pt idx="22">
                        <c:v>2.4243694876990158</c:v>
                      </c:pt>
                      <c:pt idx="23">
                        <c:v>1.4410811002738515</c:v>
                      </c:pt>
                      <c:pt idx="24">
                        <c:v>1.7529684858448178</c:v>
                      </c:pt>
                      <c:pt idx="25">
                        <c:v>3.2078870920153748</c:v>
                      </c:pt>
                      <c:pt idx="26">
                        <c:v>1.8348588179373317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6-EE26-4A0E-8381-36F547FDFD3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'5.b'!$I$4</c15:sqref>
                        </c15:formulaRef>
                      </c:ext>
                    </c:extLst>
                    <c:strCache>
                      <c:ptCount val="1"/>
                      <c:pt idx="0">
                        <c:v>Si  (2021)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'5.b'!$I$5:$I$31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1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3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1</c:v>
                      </c:pt>
                      <c:pt idx="17">
                        <c:v>2</c:v>
                      </c:pt>
                      <c:pt idx="18">
                        <c:v>5</c:v>
                      </c:pt>
                      <c:pt idx="19">
                        <c:v>3</c:v>
                      </c:pt>
                      <c:pt idx="20">
                        <c:v>1</c:v>
                      </c:pt>
                      <c:pt idx="21">
                        <c:v>5</c:v>
                      </c:pt>
                      <c:pt idx="22">
                        <c:v>2</c:v>
                      </c:pt>
                      <c:pt idx="23">
                        <c:v>5</c:v>
                      </c:pt>
                      <c:pt idx="24">
                        <c:v>4</c:v>
                      </c:pt>
                      <c:pt idx="25">
                        <c:v>1</c:v>
                      </c:pt>
                      <c:pt idx="26">
                        <c:v>4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7-EE26-4A0E-8381-36F547FDFD3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1"/>
          <c:order val="11"/>
          <c:tx>
            <c:strRef>
              <c:f>'5.b'!$O$4</c:f>
              <c:strCache>
                <c:ptCount val="1"/>
                <c:pt idx="0">
                  <c:v>Ri (Shifts)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'5.b'!$O$5:$O$31</c:f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26-4A0E-8381-36F547FDF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48352"/>
        <c:axId val="348847792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'5.b'!$J$4</c15:sqref>
                        </c15:formulaRef>
                      </c:ext>
                    </c:extLst>
                    <c:strCache>
                      <c:ptCount val="1"/>
                      <c:pt idx="0">
                        <c:v>Ci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'5.b'!$J$5:$J$31</c15:sqref>
                        </c15:formulaRef>
                      </c:ext>
                    </c:extLst>
                    <c:numCache>
                      <c:formatCode>0.000</c:formatCode>
                      <c:ptCount val="27"/>
                      <c:pt idx="0">
                        <c:v>2.4638426016430977</c:v>
                      </c:pt>
                      <c:pt idx="1">
                        <c:v>1.1483849344717583</c:v>
                      </c:pt>
                      <c:pt idx="2">
                        <c:v>3.4388507701791462</c:v>
                      </c:pt>
                      <c:pt idx="3">
                        <c:v>1.7472489340844561</c:v>
                      </c:pt>
                      <c:pt idx="4">
                        <c:v>2.2142653975551143</c:v>
                      </c:pt>
                      <c:pt idx="5">
                        <c:v>1.7543394546138433</c:v>
                      </c:pt>
                      <c:pt idx="6">
                        <c:v>2.8033219582835129</c:v>
                      </c:pt>
                      <c:pt idx="7">
                        <c:v>2.4173425293171098</c:v>
                      </c:pt>
                      <c:pt idx="8">
                        <c:v>2.5981735967283992</c:v>
                      </c:pt>
                      <c:pt idx="9">
                        <c:v>2.2906089908519269</c:v>
                      </c:pt>
                      <c:pt idx="10">
                        <c:v>2.1304846237550596</c:v>
                      </c:pt>
                      <c:pt idx="11">
                        <c:v>2.1361734565977391</c:v>
                      </c:pt>
                      <c:pt idx="12">
                        <c:v>2.1897122969112046</c:v>
                      </c:pt>
                      <c:pt idx="13">
                        <c:v>1.4356205014449093</c:v>
                      </c:pt>
                      <c:pt idx="14">
                        <c:v>2.1341508309619477</c:v>
                      </c:pt>
                      <c:pt idx="15">
                        <c:v>2.1760336248981353</c:v>
                      </c:pt>
                      <c:pt idx="16">
                        <c:v>3.065747850041689</c:v>
                      </c:pt>
                      <c:pt idx="17">
                        <c:v>2.5448996202633682</c:v>
                      </c:pt>
                      <c:pt idx="18">
                        <c:v>1.3969148896492001</c:v>
                      </c:pt>
                      <c:pt idx="19">
                        <c:v>2.2968513456774549</c:v>
                      </c:pt>
                      <c:pt idx="20">
                        <c:v>2.947120114751296</c:v>
                      </c:pt>
                      <c:pt idx="21">
                        <c:v>1.3732678310650757</c:v>
                      </c:pt>
                      <c:pt idx="22">
                        <c:v>2.6009008024839915</c:v>
                      </c:pt>
                      <c:pt idx="23">
                        <c:v>1.5501490879303885</c:v>
                      </c:pt>
                      <c:pt idx="24">
                        <c:v>1.8035265571815513</c:v>
                      </c:pt>
                      <c:pt idx="25">
                        <c:v>3.5565127302193194</c:v>
                      </c:pt>
                      <c:pt idx="26">
                        <c:v>1.9021561591224816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8-EE26-4A0E-8381-36F547FDFD3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'5.b'!$L$4</c15:sqref>
                        </c15:formulaRef>
                      </c:ext>
                    </c:extLst>
                    <c:strCache>
                      <c:ptCount val="1"/>
                      <c:pt idx="0">
                        <c:v>Si  (2017-2021)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'5.b'!$L$5:$L$31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1</c:v>
                      </c:pt>
                      <c:pt idx="17">
                        <c:v>2</c:v>
                      </c:pt>
                      <c:pt idx="18">
                        <c:v>5</c:v>
                      </c:pt>
                      <c:pt idx="19">
                        <c:v>3</c:v>
                      </c:pt>
                      <c:pt idx="20">
                        <c:v>2</c:v>
                      </c:pt>
                      <c:pt idx="21">
                        <c:v>5</c:v>
                      </c:pt>
                      <c:pt idx="22">
                        <c:v>2</c:v>
                      </c:pt>
                      <c:pt idx="23">
                        <c:v>4</c:v>
                      </c:pt>
                      <c:pt idx="24">
                        <c:v>4</c:v>
                      </c:pt>
                      <c:pt idx="25">
                        <c:v>1</c:v>
                      </c:pt>
                      <c:pt idx="26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9-EE26-4A0E-8381-36F547FDFD3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'5.b'!$M$4</c15:sqref>
                        </c15:formulaRef>
                      </c:ext>
                    </c:extLst>
                    <c:strCache>
                      <c:ptCount val="1"/>
                      <c:pt idx="0">
                        <c:v>Ri (Shifts)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'5.b'!$M$5:$M$31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-2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</c:v>
                      </c:pt>
                      <c:pt idx="4">
                        <c:v>1</c:v>
                      </c:pt>
                      <c:pt idx="5">
                        <c:v>-1</c:v>
                      </c:pt>
                      <c:pt idx="6">
                        <c:v>2</c:v>
                      </c:pt>
                      <c:pt idx="7">
                        <c:v>1</c:v>
                      </c:pt>
                      <c:pt idx="8">
                        <c:v>-3</c:v>
                      </c:pt>
                      <c:pt idx="9">
                        <c:v>1</c:v>
                      </c:pt>
                      <c:pt idx="10">
                        <c:v>-3</c:v>
                      </c:pt>
                      <c:pt idx="11">
                        <c:v>1</c:v>
                      </c:pt>
                      <c:pt idx="12">
                        <c:v>-4</c:v>
                      </c:pt>
                      <c:pt idx="13">
                        <c:v>-2</c:v>
                      </c:pt>
                      <c:pt idx="14">
                        <c:v>4</c:v>
                      </c:pt>
                      <c:pt idx="15">
                        <c:v>1</c:v>
                      </c:pt>
                      <c:pt idx="16">
                        <c:v>0</c:v>
                      </c:pt>
                      <c:pt idx="17">
                        <c:v>2</c:v>
                      </c:pt>
                      <c:pt idx="18">
                        <c:v>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-1</c:v>
                      </c:pt>
                      <c:pt idx="24">
                        <c:v>-1</c:v>
                      </c:pt>
                      <c:pt idx="25">
                        <c:v>0</c:v>
                      </c:pt>
                      <c:pt idx="26">
                        <c:v>1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EE26-4A0E-8381-36F547FDFD36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'5.b'!$N$4</c15:sqref>
                        </c15:formulaRef>
                      </c:ext>
                    </c:extLst>
                    <c:strCache>
                      <c:ptCount val="1"/>
                      <c:pt idx="0">
                        <c:v>Si  (Shifts)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'5.b'!$N$5:$N$31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B-EE26-4A0E-8381-36F547FDFD3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'5.b'!$P$4</c15:sqref>
                        </c15:formulaRef>
                      </c:ext>
                    </c:extLst>
                    <c:strCache>
                      <c:ptCount val="1"/>
                      <c:pt idx="0">
                        <c:v>Si  (Shifts)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'5.b'!$P$5:$P$31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C-EE26-4A0E-8381-36F547FDFD36}"/>
                  </c:ext>
                </c:extLst>
              </c15:ser>
            </c15:filteredLineSeries>
          </c:ext>
        </c:extLst>
      </c:lineChart>
      <c:catAx>
        <c:axId val="348846672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8847232"/>
        <c:crosses val="autoZero"/>
        <c:auto val="1"/>
        <c:lblAlgn val="ctr"/>
        <c:lblOffset val="100"/>
        <c:noMultiLvlLbl val="0"/>
      </c:catAx>
      <c:valAx>
        <c:axId val="348847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8846672"/>
        <c:crosses val="autoZero"/>
        <c:crossBetween val="between"/>
      </c:valAx>
      <c:valAx>
        <c:axId val="348847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Shifts in</a:t>
                </a:r>
                <a:r>
                  <a:rPr lang="en-US" baseline="0"/>
                  <a:t> Ranks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8848352"/>
        <c:crosses val="autoZero"/>
        <c:crossBetween val="between"/>
      </c:valAx>
      <c:catAx>
        <c:axId val="348848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8847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28245002866363E-2"/>
          <c:y val="1.9306850651812785E-2"/>
          <c:w val="0.53363845001817434"/>
          <c:h val="4.20068515892762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chemeClr val="tx1"/>
          </a:solidFill>
        </a:defRPr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'5.b'!$F$4</c:f>
              <c:strCache>
                <c:ptCount val="1"/>
                <c:pt idx="0">
                  <c:v>Si  (2019)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'5.b'!$F$5:$F$31</c:f>
              <c:numCache>
                <c:formatCode>General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</c:numCache>
            </c:numRef>
          </c:val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011F-49F9-8018-FD2A8D0488F6}"/>
            </c:ext>
          </c:extLst>
        </c:ser>
        <c:ser>
          <c:idx val="8"/>
          <c:order val="8"/>
          <c:tx>
            <c:strRef>
              <c:f>'5.b'!$L$4</c:f>
              <c:strCache>
                <c:ptCount val="1"/>
                <c:pt idx="0">
                  <c:v>Si  (2017-2021)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'5.b'!$L$5:$L$31</c:f>
              <c:numCache>
                <c:formatCode>General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</c:numCache>
            </c:numRef>
          </c:val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9-011F-49F9-8018-FD2A8D0488F6}"/>
            </c:ext>
          </c:extLst>
        </c:ser>
        <c:ser>
          <c:idx val="5"/>
          <c:order val="5"/>
          <c:tx>
            <c:strRef>
              <c:f>'5.b'!$I$4</c:f>
              <c:strCache>
                <c:ptCount val="1"/>
                <c:pt idx="0">
                  <c:v>Si  (2021)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'5.b'!$I$5:$I$31</c:f>
              <c:numCache>
                <c:formatCode>General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3</c:v>
                </c:pt>
                <c:pt idx="20">
                  <c:v>1</c:v>
                </c:pt>
                <c:pt idx="21">
                  <c:v>5</c:v>
                </c:pt>
                <c:pt idx="22">
                  <c:v>2</c:v>
                </c:pt>
                <c:pt idx="23">
                  <c:v>5</c:v>
                </c:pt>
                <c:pt idx="24">
                  <c:v>4</c:v>
                </c:pt>
                <c:pt idx="25">
                  <c:v>1</c:v>
                </c:pt>
                <c:pt idx="26">
                  <c:v>4</c:v>
                </c:pt>
              </c:numCache>
            </c:numRef>
          </c:val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011F-49F9-8018-FD2A8D048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155744"/>
        <c:axId val="34915630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'5.b'!$D$4</c15:sqref>
                        </c15:formulaRef>
                      </c:ext>
                    </c:extLst>
                    <c:strCache>
                      <c:ptCount val="1"/>
                      <c:pt idx="0">
                        <c:v>Ci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'5.b'!$D$5:$D$31</c15:sqref>
                        </c15:formulaRef>
                      </c:ext>
                    </c:extLst>
                    <c:numCache>
                      <c:formatCode>0.000</c:formatCode>
                      <c:ptCount val="27"/>
                      <c:pt idx="0">
                        <c:v>3.0879958678473347</c:v>
                      </c:pt>
                      <c:pt idx="1">
                        <c:v>1.1618985325783646</c:v>
                      </c:pt>
                      <c:pt idx="2">
                        <c:v>4.3880049472414884</c:v>
                      </c:pt>
                      <c:pt idx="3">
                        <c:v>2.0389702727077812</c:v>
                      </c:pt>
                      <c:pt idx="4">
                        <c:v>2.5715540603037637</c:v>
                      </c:pt>
                      <c:pt idx="5">
                        <c:v>2.0933908650712141</c:v>
                      </c:pt>
                      <c:pt idx="6">
                        <c:v>3.2473310680818819</c:v>
                      </c:pt>
                      <c:pt idx="7">
                        <c:v>2.8925735208743251</c:v>
                      </c:pt>
                      <c:pt idx="8">
                        <c:v>3.2848680157610279</c:v>
                      </c:pt>
                      <c:pt idx="9">
                        <c:v>2.6801313049252902</c:v>
                      </c:pt>
                      <c:pt idx="10">
                        <c:v>2.5703500017417937</c:v>
                      </c:pt>
                      <c:pt idx="11">
                        <c:v>2.5176008712320845</c:v>
                      </c:pt>
                      <c:pt idx="12">
                        <c:v>2.6729163919402268</c:v>
                      </c:pt>
                      <c:pt idx="13">
                        <c:v>1.7116341234408017</c:v>
                      </c:pt>
                      <c:pt idx="14">
                        <c:v>2.3721817730210626</c:v>
                      </c:pt>
                      <c:pt idx="15">
                        <c:v>2.5395527977656713</c:v>
                      </c:pt>
                      <c:pt idx="16">
                        <c:v>3.8904105402246199</c:v>
                      </c:pt>
                      <c:pt idx="17">
                        <c:v>3.0298928699085685</c:v>
                      </c:pt>
                      <c:pt idx="18">
                        <c:v>1.4134567293721658</c:v>
                      </c:pt>
                      <c:pt idx="19">
                        <c:v>2.7941923704123739</c:v>
                      </c:pt>
                      <c:pt idx="20">
                        <c:v>3.664806031258574</c:v>
                      </c:pt>
                      <c:pt idx="21">
                        <c:v>1.3863052622230096</c:v>
                      </c:pt>
                      <c:pt idx="22">
                        <c:v>3.1506194466984869</c:v>
                      </c:pt>
                      <c:pt idx="23">
                        <c:v>2.0807915004009176</c:v>
                      </c:pt>
                      <c:pt idx="24">
                        <c:v>2.242790317824654</c:v>
                      </c:pt>
                      <c:pt idx="25">
                        <c:v>4.4674319738505179</c:v>
                      </c:pt>
                      <c:pt idx="26">
                        <c:v>2.2165775308687583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011F-49F9-8018-FD2A8D0488F6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'5.b'!$E$4</c15:sqref>
                        </c15:formulaRef>
                      </c:ext>
                    </c:extLst>
                    <c:strCache>
                      <c:ptCount val="1"/>
                      <c:pt idx="0">
                        <c:v>Ri (2019)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'5.b'!$F$5:$F$31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4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1</c:v>
                      </c:pt>
                      <c:pt idx="17">
                        <c:v>2</c:v>
                      </c:pt>
                      <c:pt idx="18">
                        <c:v>5</c:v>
                      </c:pt>
                      <c:pt idx="19">
                        <c:v>3</c:v>
                      </c:pt>
                      <c:pt idx="20">
                        <c:v>2</c:v>
                      </c:pt>
                      <c:pt idx="21">
                        <c:v>5</c:v>
                      </c:pt>
                      <c:pt idx="22">
                        <c:v>2</c:v>
                      </c:pt>
                      <c:pt idx="23">
                        <c:v>4</c:v>
                      </c:pt>
                      <c:pt idx="24">
                        <c:v>4</c:v>
                      </c:pt>
                      <c:pt idx="25">
                        <c:v>1</c:v>
                      </c:pt>
                      <c:pt idx="26">
                        <c:v>4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0-011F-49F9-8018-FD2A8D0488F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'5.b'!$G$4</c15:sqref>
                        </c15:formulaRef>
                      </c:ext>
                    </c:extLst>
                    <c:strCache>
                      <c:ptCount val="1"/>
                      <c:pt idx="0">
                        <c:v>Ci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'5.b'!$G$5:$G$31</c15:sqref>
                        </c15:formulaRef>
                      </c:ext>
                    </c:extLst>
                    <c:numCache>
                      <c:formatCode>0.000</c:formatCode>
                      <c:ptCount val="27"/>
                      <c:pt idx="0">
                        <c:v>2.2308224554263445</c:v>
                      </c:pt>
                      <c:pt idx="1">
                        <c:v>1.2162956846463584</c:v>
                      </c:pt>
                      <c:pt idx="2">
                        <c:v>3.0655558538867211</c:v>
                      </c:pt>
                      <c:pt idx="3">
                        <c:v>1.6807334211937477</c:v>
                      </c:pt>
                      <c:pt idx="4">
                        <c:v>2.1347730602750099</c:v>
                      </c:pt>
                      <c:pt idx="5">
                        <c:v>1.6521968599522125</c:v>
                      </c:pt>
                      <c:pt idx="6">
                        <c:v>2.6921611614834449</c:v>
                      </c:pt>
                      <c:pt idx="7">
                        <c:v>2.2646406413273366</c:v>
                      </c:pt>
                      <c:pt idx="8">
                        <c:v>2.3270032424857097</c:v>
                      </c:pt>
                      <c:pt idx="9">
                        <c:v>2.1918413330154545</c:v>
                      </c:pt>
                      <c:pt idx="10">
                        <c:v>1.9933565291096054</c:v>
                      </c:pt>
                      <c:pt idx="11">
                        <c:v>2.0368697953892734</c:v>
                      </c:pt>
                      <c:pt idx="12">
                        <c:v>2.0321829011499983</c:v>
                      </c:pt>
                      <c:pt idx="13">
                        <c:v>1.3503489679675833</c:v>
                      </c:pt>
                      <c:pt idx="14">
                        <c:v>2.1155048249080233</c:v>
                      </c:pt>
                      <c:pt idx="15">
                        <c:v>2.087653811434321</c:v>
                      </c:pt>
                      <c:pt idx="16">
                        <c:v>2.7513418158594241</c:v>
                      </c:pt>
                      <c:pt idx="17">
                        <c:v>2.4044757382997211</c:v>
                      </c:pt>
                      <c:pt idx="18">
                        <c:v>1.3728632764590383</c:v>
                      </c:pt>
                      <c:pt idx="19">
                        <c:v>2.1372794134393813</c:v>
                      </c:pt>
                      <c:pt idx="20">
                        <c:v>2.6777081144470363</c:v>
                      </c:pt>
                      <c:pt idx="21">
                        <c:v>1.3625075521517211</c:v>
                      </c:pt>
                      <c:pt idx="22">
                        <c:v>2.4243694876990158</c:v>
                      </c:pt>
                      <c:pt idx="23">
                        <c:v>1.4410811002738515</c:v>
                      </c:pt>
                      <c:pt idx="24">
                        <c:v>1.7529684858448178</c:v>
                      </c:pt>
                      <c:pt idx="25">
                        <c:v>3.2078870920153748</c:v>
                      </c:pt>
                      <c:pt idx="26">
                        <c:v>1.8348588179373317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6-011F-49F9-8018-FD2A8D0488F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'5.b'!$H$4</c15:sqref>
                        </c15:formulaRef>
                      </c:ext>
                    </c:extLst>
                    <c:strCache>
                      <c:ptCount val="1"/>
                      <c:pt idx="0">
                        <c:v>Ri(2021)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'5.b'!$I$5:$I$31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1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3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1</c:v>
                      </c:pt>
                      <c:pt idx="17">
                        <c:v>2</c:v>
                      </c:pt>
                      <c:pt idx="18">
                        <c:v>5</c:v>
                      </c:pt>
                      <c:pt idx="19">
                        <c:v>3</c:v>
                      </c:pt>
                      <c:pt idx="20">
                        <c:v>1</c:v>
                      </c:pt>
                      <c:pt idx="21">
                        <c:v>5</c:v>
                      </c:pt>
                      <c:pt idx="22">
                        <c:v>2</c:v>
                      </c:pt>
                      <c:pt idx="23">
                        <c:v>5</c:v>
                      </c:pt>
                      <c:pt idx="24">
                        <c:v>4</c:v>
                      </c:pt>
                      <c:pt idx="25">
                        <c:v>1</c:v>
                      </c:pt>
                      <c:pt idx="26">
                        <c:v>4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1-011F-49F9-8018-FD2A8D0488F6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'5.b'!$J$4</c15:sqref>
                        </c15:formulaRef>
                      </c:ext>
                    </c:extLst>
                    <c:strCache>
                      <c:ptCount val="1"/>
                      <c:pt idx="0">
                        <c:v>Ci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'5.b'!$J$5:$J$31</c15:sqref>
                        </c15:formulaRef>
                      </c:ext>
                    </c:extLst>
                    <c:numCache>
                      <c:formatCode>0.000</c:formatCode>
                      <c:ptCount val="27"/>
                      <c:pt idx="0">
                        <c:v>2.4638426016430977</c:v>
                      </c:pt>
                      <c:pt idx="1">
                        <c:v>1.1483849344717583</c:v>
                      </c:pt>
                      <c:pt idx="2">
                        <c:v>3.4388507701791462</c:v>
                      </c:pt>
                      <c:pt idx="3">
                        <c:v>1.7472489340844561</c:v>
                      </c:pt>
                      <c:pt idx="4">
                        <c:v>2.2142653975551143</c:v>
                      </c:pt>
                      <c:pt idx="5">
                        <c:v>1.7543394546138433</c:v>
                      </c:pt>
                      <c:pt idx="6">
                        <c:v>2.8033219582835129</c:v>
                      </c:pt>
                      <c:pt idx="7">
                        <c:v>2.4173425293171098</c:v>
                      </c:pt>
                      <c:pt idx="8">
                        <c:v>2.5981735967283992</c:v>
                      </c:pt>
                      <c:pt idx="9">
                        <c:v>2.2906089908519269</c:v>
                      </c:pt>
                      <c:pt idx="10">
                        <c:v>2.1304846237550596</c:v>
                      </c:pt>
                      <c:pt idx="11">
                        <c:v>2.1361734565977391</c:v>
                      </c:pt>
                      <c:pt idx="12">
                        <c:v>2.1897122969112046</c:v>
                      </c:pt>
                      <c:pt idx="13">
                        <c:v>1.4356205014449093</c:v>
                      </c:pt>
                      <c:pt idx="14">
                        <c:v>2.1341508309619477</c:v>
                      </c:pt>
                      <c:pt idx="15">
                        <c:v>2.1760336248981353</c:v>
                      </c:pt>
                      <c:pt idx="16">
                        <c:v>3.065747850041689</c:v>
                      </c:pt>
                      <c:pt idx="17">
                        <c:v>2.5448996202633682</c:v>
                      </c:pt>
                      <c:pt idx="18">
                        <c:v>1.3969148896492001</c:v>
                      </c:pt>
                      <c:pt idx="19">
                        <c:v>2.2968513456774549</c:v>
                      </c:pt>
                      <c:pt idx="20">
                        <c:v>2.947120114751296</c:v>
                      </c:pt>
                      <c:pt idx="21">
                        <c:v>1.3732678310650757</c:v>
                      </c:pt>
                      <c:pt idx="22">
                        <c:v>2.6009008024839915</c:v>
                      </c:pt>
                      <c:pt idx="23">
                        <c:v>1.5501490879303885</c:v>
                      </c:pt>
                      <c:pt idx="24">
                        <c:v>1.8035265571815513</c:v>
                      </c:pt>
                      <c:pt idx="25">
                        <c:v>3.5565127302193194</c:v>
                      </c:pt>
                      <c:pt idx="26">
                        <c:v>1.9021561591224816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011F-49F9-8018-FD2A8D0488F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'5.b'!$K$4</c15:sqref>
                        </c15:formulaRef>
                      </c:ext>
                    </c:extLst>
                    <c:strCache>
                      <c:ptCount val="1"/>
                      <c:pt idx="0">
                        <c:v>Ri (2017-2021)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'5.b'!$L$5:$L$31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3</c:v>
                      </c:pt>
                      <c:pt idx="5">
                        <c:v>4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3</c:v>
                      </c:pt>
                      <c:pt idx="12">
                        <c:v>3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3</c:v>
                      </c:pt>
                      <c:pt idx="16">
                        <c:v>1</c:v>
                      </c:pt>
                      <c:pt idx="17">
                        <c:v>2</c:v>
                      </c:pt>
                      <c:pt idx="18">
                        <c:v>5</c:v>
                      </c:pt>
                      <c:pt idx="19">
                        <c:v>3</c:v>
                      </c:pt>
                      <c:pt idx="20">
                        <c:v>2</c:v>
                      </c:pt>
                      <c:pt idx="21">
                        <c:v>5</c:v>
                      </c:pt>
                      <c:pt idx="22">
                        <c:v>2</c:v>
                      </c:pt>
                      <c:pt idx="23">
                        <c:v>4</c:v>
                      </c:pt>
                      <c:pt idx="24">
                        <c:v>4</c:v>
                      </c:pt>
                      <c:pt idx="25">
                        <c:v>1</c:v>
                      </c:pt>
                      <c:pt idx="26">
                        <c:v>4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2-011F-49F9-8018-FD2A8D0488F6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'5.b'!$N$4</c15:sqref>
                        </c15:formulaRef>
                      </c:ext>
                    </c:extLst>
                    <c:strCache>
                      <c:ptCount val="1"/>
                      <c:pt idx="0">
                        <c:v>Si  (Shifts)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'5.b'!$N$5:$N$31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-1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B-011F-49F9-8018-FD2A8D0488F6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12"/>
          <c:order val="12"/>
          <c:tx>
            <c:strRef>
              <c:f>'5.b'!$P$4</c:f>
              <c:strCache>
                <c:ptCount val="1"/>
                <c:pt idx="0">
                  <c:v>Si  (Shifts)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'5.b'!$C$5:$C$31</c:f>
              <c:strCache>
                <c:ptCount val="27"/>
                <c:pt idx="0">
                  <c:v>Albania</c:v>
                </c:pt>
                <c:pt idx="1">
                  <c:v>Andorra</c:v>
                </c:pt>
                <c:pt idx="2">
                  <c:v>Armenia</c:v>
                </c:pt>
                <c:pt idx="3">
                  <c:v>Azerbaijan</c:v>
                </c:pt>
                <c:pt idx="4">
                  <c:v>Belarus</c:v>
                </c:pt>
                <c:pt idx="5">
                  <c:v>Bosnia &amp; Herceg.</c:v>
                </c:pt>
                <c:pt idx="6">
                  <c:v>Georgia</c:v>
                </c:pt>
                <c:pt idx="7">
                  <c:v>Iceland</c:v>
                </c:pt>
                <c:pt idx="8">
                  <c:v>Israel</c:v>
                </c:pt>
                <c:pt idx="9">
                  <c:v>Kazakhstan</c:v>
                </c:pt>
                <c:pt idx="10">
                  <c:v>Kyrgyz Republic</c:v>
                </c:pt>
                <c:pt idx="11">
                  <c:v>Liechtenstein</c:v>
                </c:pt>
                <c:pt idx="12">
                  <c:v>Moldova</c:v>
                </c:pt>
                <c:pt idx="13">
                  <c:v>Monaco</c:v>
                </c:pt>
                <c:pt idx="14">
                  <c:v>Montenegro</c:v>
                </c:pt>
                <c:pt idx="15">
                  <c:v>North Macedonia</c:v>
                </c:pt>
                <c:pt idx="16">
                  <c:v>Norway</c:v>
                </c:pt>
                <c:pt idx="17">
                  <c:v>Russia</c:v>
                </c:pt>
                <c:pt idx="18">
                  <c:v>San Marino</c:v>
                </c:pt>
                <c:pt idx="19">
                  <c:v>Serbia</c:v>
                </c:pt>
                <c:pt idx="20">
                  <c:v>Switzerland</c:v>
                </c:pt>
                <c:pt idx="21">
                  <c:v>Tajikistan</c:v>
                </c:pt>
                <c:pt idx="22">
                  <c:v>Turkey</c:v>
                </c:pt>
                <c:pt idx="23">
                  <c:v>Turkmenistan</c:v>
                </c:pt>
                <c:pt idx="24">
                  <c:v>Ukraine</c:v>
                </c:pt>
                <c:pt idx="25">
                  <c:v>United King.</c:v>
                </c:pt>
                <c:pt idx="26">
                  <c:v>Uzbekistan</c:v>
                </c:pt>
              </c:strCache>
            </c:strRef>
          </c:cat>
          <c:val>
            <c:numRef>
              <c:f>'5.b'!$P$5:$P$31</c:f>
            </c:numRef>
          </c: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011F-49F9-8018-FD2A8D048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157424"/>
        <c:axId val="34915686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9"/>
                <c:order val="9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'5.b'!$M$4</c15:sqref>
                        </c15:formulaRef>
                      </c:ext>
                    </c:extLst>
                    <c:strCache>
                      <c:ptCount val="1"/>
                      <c:pt idx="0">
                        <c:v>Ri (Shifts)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rgbClr val="FF0000"/>
                      </a:solidFill>
                    </a:ln>
                    <a:effectLst/>
                  </c:spPr>
                </c:marker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'5.b'!$M$5:$M$31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-2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</c:v>
                      </c:pt>
                      <c:pt idx="4">
                        <c:v>1</c:v>
                      </c:pt>
                      <c:pt idx="5">
                        <c:v>-1</c:v>
                      </c:pt>
                      <c:pt idx="6">
                        <c:v>2</c:v>
                      </c:pt>
                      <c:pt idx="7">
                        <c:v>1</c:v>
                      </c:pt>
                      <c:pt idx="8">
                        <c:v>-3</c:v>
                      </c:pt>
                      <c:pt idx="9">
                        <c:v>1</c:v>
                      </c:pt>
                      <c:pt idx="10">
                        <c:v>-3</c:v>
                      </c:pt>
                      <c:pt idx="11">
                        <c:v>1</c:v>
                      </c:pt>
                      <c:pt idx="12">
                        <c:v>-4</c:v>
                      </c:pt>
                      <c:pt idx="13">
                        <c:v>-2</c:v>
                      </c:pt>
                      <c:pt idx="14">
                        <c:v>4</c:v>
                      </c:pt>
                      <c:pt idx="15">
                        <c:v>1</c:v>
                      </c:pt>
                      <c:pt idx="16">
                        <c:v>0</c:v>
                      </c:pt>
                      <c:pt idx="17">
                        <c:v>2</c:v>
                      </c:pt>
                      <c:pt idx="18">
                        <c:v>1</c:v>
                      </c:pt>
                      <c:pt idx="19">
                        <c:v>-1</c:v>
                      </c:pt>
                      <c:pt idx="20">
                        <c:v>-1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-1</c:v>
                      </c:pt>
                      <c:pt idx="24">
                        <c:v>-1</c:v>
                      </c:pt>
                      <c:pt idx="25">
                        <c:v>0</c:v>
                      </c:pt>
                      <c:pt idx="26">
                        <c:v>1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A-011F-49F9-8018-FD2A8D0488F6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'5.b'!$O$4</c15:sqref>
                        </c15:formulaRef>
                      </c:ext>
                    </c:extLst>
                    <c:strCache>
                      <c:ptCount val="1"/>
                      <c:pt idx="0">
                        <c:v>Ri (Shifts)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'5.b'!$C$5:$C$31</c15:sqref>
                        </c15:formulaRef>
                      </c:ext>
                    </c:extLst>
                    <c:strCache>
                      <c:ptCount val="27"/>
                      <c:pt idx="0">
                        <c:v>Albania</c:v>
                      </c:pt>
                      <c:pt idx="1">
                        <c:v>Andorra</c:v>
                      </c:pt>
                      <c:pt idx="2">
                        <c:v>Armenia</c:v>
                      </c:pt>
                      <c:pt idx="3">
                        <c:v>Azerbaijan</c:v>
                      </c:pt>
                      <c:pt idx="4">
                        <c:v>Belarus</c:v>
                      </c:pt>
                      <c:pt idx="5">
                        <c:v>Bosnia &amp; Herceg.</c:v>
                      </c:pt>
                      <c:pt idx="6">
                        <c:v>Georgia</c:v>
                      </c:pt>
                      <c:pt idx="7">
                        <c:v>Iceland</c:v>
                      </c:pt>
                      <c:pt idx="8">
                        <c:v>Israel</c:v>
                      </c:pt>
                      <c:pt idx="9">
                        <c:v>Kazakhstan</c:v>
                      </c:pt>
                      <c:pt idx="10">
                        <c:v>Kyrgyz Republic</c:v>
                      </c:pt>
                      <c:pt idx="11">
                        <c:v>Liechtenstein</c:v>
                      </c:pt>
                      <c:pt idx="12">
                        <c:v>Moldova</c:v>
                      </c:pt>
                      <c:pt idx="13">
                        <c:v>Monaco</c:v>
                      </c:pt>
                      <c:pt idx="14">
                        <c:v>Montenegro</c:v>
                      </c:pt>
                      <c:pt idx="15">
                        <c:v>North Macedonia</c:v>
                      </c:pt>
                      <c:pt idx="16">
                        <c:v>Norway</c:v>
                      </c:pt>
                      <c:pt idx="17">
                        <c:v>Russia</c:v>
                      </c:pt>
                      <c:pt idx="18">
                        <c:v>San Marino</c:v>
                      </c:pt>
                      <c:pt idx="19">
                        <c:v>Serbia</c:v>
                      </c:pt>
                      <c:pt idx="20">
                        <c:v>Switzerland</c:v>
                      </c:pt>
                      <c:pt idx="21">
                        <c:v>Tajikistan</c:v>
                      </c:pt>
                      <c:pt idx="22">
                        <c:v>Turkey</c:v>
                      </c:pt>
                      <c:pt idx="23">
                        <c:v>Turkmenistan</c:v>
                      </c:pt>
                      <c:pt idx="24">
                        <c:v>Ukraine</c:v>
                      </c:pt>
                      <c:pt idx="25">
                        <c:v>United King.</c:v>
                      </c:pt>
                      <c:pt idx="26">
                        <c:v>Uzbekistan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'5.b'!$P$5:$P$31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011F-49F9-8018-FD2A8D0488F6}"/>
                  </c:ext>
                </c:extLst>
              </c15:ser>
            </c15:filteredLineSeries>
          </c:ext>
        </c:extLst>
      </c:lineChart>
      <c:catAx>
        <c:axId val="34915574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9156304"/>
        <c:crosses val="autoZero"/>
        <c:auto val="1"/>
        <c:lblAlgn val="ctr"/>
        <c:lblOffset val="100"/>
        <c:noMultiLvlLbl val="0"/>
      </c:catAx>
      <c:valAx>
        <c:axId val="349156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cluster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9155744"/>
        <c:crosses val="autoZero"/>
        <c:crossBetween val="between"/>
      </c:valAx>
      <c:valAx>
        <c:axId val="3491568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Shifts in</a:t>
                </a:r>
                <a:r>
                  <a:rPr lang="en-US" baseline="0"/>
                  <a:t> cluster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9157424"/>
        <c:crosses val="autoZero"/>
        <c:crossBetween val="between"/>
      </c:valAx>
      <c:catAx>
        <c:axId val="34915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9156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28245002866363E-2"/>
          <c:y val="1.9306850651812785E-2"/>
          <c:w val="0.53586604158189866"/>
          <c:h val="6.70645213680268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chemeClr val="tx1"/>
          </a:solidFill>
        </a:defRPr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'5.c'!$D$4</c:f>
              <c:strCache>
                <c:ptCount val="1"/>
                <c:pt idx="0">
                  <c:v>Cluster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'5.c'!$C$5:$C$41</c:f>
              <c:strCache>
                <c:ptCount val="37"/>
                <c:pt idx="0">
                  <c:v>1.1) Antimicrobial resistance (AMR)</c:v>
                </c:pt>
                <c:pt idx="1">
                  <c:v>1.2) Zoonotic disease</c:v>
                </c:pt>
                <c:pt idx="2">
                  <c:v>1.3) Biosecurity</c:v>
                </c:pt>
                <c:pt idx="3">
                  <c:v>1.4) Biosafety</c:v>
                </c:pt>
                <c:pt idx="4">
                  <c:v>1.5) Dual-use research and culture of responsible science</c:v>
                </c:pt>
                <c:pt idx="5">
                  <c:v>1.6) Immunization</c:v>
                </c:pt>
                <c:pt idx="6">
                  <c:v>2.1) Laboratory systems strength and quality</c:v>
                </c:pt>
                <c:pt idx="7">
                  <c:v>2.2) Laboratory supply chains</c:v>
                </c:pt>
                <c:pt idx="8">
                  <c:v>2.3) Real-time surveillance and reporting</c:v>
                </c:pt>
                <c:pt idx="9">
                  <c:v>2.4) Surveillance data accessibility and transparency</c:v>
                </c:pt>
                <c:pt idx="10">
                  <c:v>2.5) Case-based investigation</c:v>
                </c:pt>
                <c:pt idx="11">
                  <c:v>2.6) Epidemiology workforce</c:v>
                </c:pt>
                <c:pt idx="12">
                  <c:v>3.1) Emergency preparedness and response planning</c:v>
                </c:pt>
                <c:pt idx="13">
                  <c:v>3.2) Exercising response plans</c:v>
                </c:pt>
                <c:pt idx="14">
                  <c:v>3.3) Emergency response operation</c:v>
                </c:pt>
                <c:pt idx="15">
                  <c:v>3.4) Linking public health and security authorities</c:v>
                </c:pt>
                <c:pt idx="16">
                  <c:v>3.5) Risk communication</c:v>
                </c:pt>
                <c:pt idx="17">
                  <c:v>3.6) Access to communications infrastructure</c:v>
                </c:pt>
                <c:pt idx="18">
                  <c:v>3.7) Trade and travel restrictions</c:v>
                </c:pt>
                <c:pt idx="19">
                  <c:v>4.1) Health capacity in clinics, hospitals and community care centers</c:v>
                </c:pt>
                <c:pt idx="20">
                  <c:v>4.2) Supply chain for health system and healthcare workers</c:v>
                </c:pt>
                <c:pt idx="21">
                  <c:v>4.3) Medical countermeasures and personnel deployment</c:v>
                </c:pt>
                <c:pt idx="22">
                  <c:v>4.4) Healthcare access</c:v>
                </c:pt>
                <c:pt idx="23">
                  <c:v>4.5) Communications with healthcare workers during a public health emergency</c:v>
                </c:pt>
                <c:pt idx="24">
                  <c:v>4.6) Infection control practices</c:v>
                </c:pt>
                <c:pt idx="25">
                  <c:v>4.7) Capacity to test and approve new medical countermeasures</c:v>
                </c:pt>
                <c:pt idx="26">
                  <c:v>5.1) IHR reporting compliance and disaster risk reduction</c:v>
                </c:pt>
                <c:pt idx="27">
                  <c:v>5.2) Cross-border agreements on public health and animal health emergency response</c:v>
                </c:pt>
                <c:pt idx="28">
                  <c:v>5.3) International commitments</c:v>
                </c:pt>
                <c:pt idx="29">
                  <c:v>5.4) JEE and PVS</c:v>
                </c:pt>
                <c:pt idx="30">
                  <c:v>5.5) Financing</c:v>
                </c:pt>
                <c:pt idx="31">
                  <c:v>5.6) Commitment to sharing of genetic &amp; biological data &amp; specimens</c:v>
                </c:pt>
                <c:pt idx="32">
                  <c:v>6.1) Political and security risk</c:v>
                </c:pt>
                <c:pt idx="33">
                  <c:v>6.2) Socio-economic resilience</c:v>
                </c:pt>
                <c:pt idx="34">
                  <c:v>6.3) Infrastructure adequacy</c:v>
                </c:pt>
                <c:pt idx="35">
                  <c:v>6.4) Environmental risks</c:v>
                </c:pt>
                <c:pt idx="36">
                  <c:v>6.5) Public health vulnerabilities</c:v>
                </c:pt>
              </c:strCache>
            </c:strRef>
          </c:cat>
          <c:val>
            <c:numRef>
              <c:f>'5.c'!$D$5:$D$41</c:f>
              <c:numCache>
                <c:formatCode>0.000</c:formatCode>
                <c:ptCount val="37"/>
                <c:pt idx="0">
                  <c:v>87.483333333333334</c:v>
                </c:pt>
                <c:pt idx="1">
                  <c:v>46.283333333333339</c:v>
                </c:pt>
                <c:pt idx="2">
                  <c:v>63.1</c:v>
                </c:pt>
                <c:pt idx="3">
                  <c:v>66.666666666666671</c:v>
                </c:pt>
                <c:pt idx="4">
                  <c:v>33.333333333333336</c:v>
                </c:pt>
                <c:pt idx="5">
                  <c:v>87.5</c:v>
                </c:pt>
                <c:pt idx="6">
                  <c:v>64.583333333333329</c:v>
                </c:pt>
                <c:pt idx="7">
                  <c:v>50</c:v>
                </c:pt>
                <c:pt idx="8">
                  <c:v>66.666666666666671</c:v>
                </c:pt>
                <c:pt idx="9">
                  <c:v>88.333333333333329</c:v>
                </c:pt>
                <c:pt idx="10">
                  <c:v>33.333333333333336</c:v>
                </c:pt>
                <c:pt idx="11">
                  <c:v>66.666666666666671</c:v>
                </c:pt>
                <c:pt idx="12">
                  <c:v>52.800000000000004</c:v>
                </c:pt>
                <c:pt idx="13">
                  <c:v>22.916666666666668</c:v>
                </c:pt>
                <c:pt idx="14">
                  <c:v>55.566666666666663</c:v>
                </c:pt>
                <c:pt idx="15">
                  <c:v>100</c:v>
                </c:pt>
                <c:pt idx="16">
                  <c:v>79.166666666666671</c:v>
                </c:pt>
                <c:pt idx="17">
                  <c:v>83.35</c:v>
                </c:pt>
                <c:pt idx="18">
                  <c:v>58.333333333333336</c:v>
                </c:pt>
                <c:pt idx="19">
                  <c:v>53.083333333333336</c:v>
                </c:pt>
                <c:pt idx="20">
                  <c:v>64.816666666666663</c:v>
                </c:pt>
                <c:pt idx="21">
                  <c:v>33.333333333333336</c:v>
                </c:pt>
                <c:pt idx="22">
                  <c:v>51.783333333333339</c:v>
                </c:pt>
                <c:pt idx="23">
                  <c:v>16.666666666666668</c:v>
                </c:pt>
                <c:pt idx="24">
                  <c:v>100</c:v>
                </c:pt>
                <c:pt idx="25">
                  <c:v>75</c:v>
                </c:pt>
                <c:pt idx="26">
                  <c:v>100</c:v>
                </c:pt>
                <c:pt idx="27">
                  <c:v>58.333333333333336</c:v>
                </c:pt>
                <c:pt idx="28">
                  <c:v>81.266666666666666</c:v>
                </c:pt>
                <c:pt idx="29">
                  <c:v>12.5</c:v>
                </c:pt>
                <c:pt idx="30">
                  <c:v>59.733333333333327</c:v>
                </c:pt>
                <c:pt idx="31">
                  <c:v>77.8</c:v>
                </c:pt>
                <c:pt idx="32">
                  <c:v>72.600000000000009</c:v>
                </c:pt>
                <c:pt idx="33">
                  <c:v>84.5</c:v>
                </c:pt>
                <c:pt idx="34">
                  <c:v>63.9</c:v>
                </c:pt>
                <c:pt idx="35">
                  <c:v>54.833333333333336</c:v>
                </c:pt>
                <c:pt idx="36">
                  <c:v>76.666666666666671</c:v>
                </c:pt>
              </c:numCache>
            </c:numRef>
          </c:val>
        </c:ser>
        <c:ser>
          <c:idx val="1"/>
          <c:order val="1"/>
          <c:tx>
            <c:strRef>
              <c:f>'5.c'!$E$4</c:f>
              <c:strCache>
                <c:ptCount val="1"/>
                <c:pt idx="0">
                  <c:v>Cluster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'5.c'!$C$5:$C$41</c:f>
              <c:strCache>
                <c:ptCount val="37"/>
                <c:pt idx="0">
                  <c:v>1.1) Antimicrobial resistance (AMR)</c:v>
                </c:pt>
                <c:pt idx="1">
                  <c:v>1.2) Zoonotic disease</c:v>
                </c:pt>
                <c:pt idx="2">
                  <c:v>1.3) Biosecurity</c:v>
                </c:pt>
                <c:pt idx="3">
                  <c:v>1.4) Biosafety</c:v>
                </c:pt>
                <c:pt idx="4">
                  <c:v>1.5) Dual-use research and culture of responsible science</c:v>
                </c:pt>
                <c:pt idx="5">
                  <c:v>1.6) Immunization</c:v>
                </c:pt>
                <c:pt idx="6">
                  <c:v>2.1) Laboratory systems strength and quality</c:v>
                </c:pt>
                <c:pt idx="7">
                  <c:v>2.2) Laboratory supply chains</c:v>
                </c:pt>
                <c:pt idx="8">
                  <c:v>2.3) Real-time surveillance and reporting</c:v>
                </c:pt>
                <c:pt idx="9">
                  <c:v>2.4) Surveillance data accessibility and transparency</c:v>
                </c:pt>
                <c:pt idx="10">
                  <c:v>2.5) Case-based investigation</c:v>
                </c:pt>
                <c:pt idx="11">
                  <c:v>2.6) Epidemiology workforce</c:v>
                </c:pt>
                <c:pt idx="12">
                  <c:v>3.1) Emergency preparedness and response planning</c:v>
                </c:pt>
                <c:pt idx="13">
                  <c:v>3.2) Exercising response plans</c:v>
                </c:pt>
                <c:pt idx="14">
                  <c:v>3.3) Emergency response operation</c:v>
                </c:pt>
                <c:pt idx="15">
                  <c:v>3.4) Linking public health and security authorities</c:v>
                </c:pt>
                <c:pt idx="16">
                  <c:v>3.5) Risk communication</c:v>
                </c:pt>
                <c:pt idx="17">
                  <c:v>3.6) Access to communications infrastructure</c:v>
                </c:pt>
                <c:pt idx="18">
                  <c:v>3.7) Trade and travel restrictions</c:v>
                </c:pt>
                <c:pt idx="19">
                  <c:v>4.1) Health capacity in clinics, hospitals and community care centers</c:v>
                </c:pt>
                <c:pt idx="20">
                  <c:v>4.2) Supply chain for health system and healthcare workers</c:v>
                </c:pt>
                <c:pt idx="21">
                  <c:v>4.3) Medical countermeasures and personnel deployment</c:v>
                </c:pt>
                <c:pt idx="22">
                  <c:v>4.4) Healthcare access</c:v>
                </c:pt>
                <c:pt idx="23">
                  <c:v>4.5) Communications with healthcare workers during a public health emergency</c:v>
                </c:pt>
                <c:pt idx="24">
                  <c:v>4.6) Infection control practices</c:v>
                </c:pt>
                <c:pt idx="25">
                  <c:v>4.7) Capacity to test and approve new medical countermeasures</c:v>
                </c:pt>
                <c:pt idx="26">
                  <c:v>5.1) IHR reporting compliance and disaster risk reduction</c:v>
                </c:pt>
                <c:pt idx="27">
                  <c:v>5.2) Cross-border agreements on public health and animal health emergency response</c:v>
                </c:pt>
                <c:pt idx="28">
                  <c:v>5.3) International commitments</c:v>
                </c:pt>
                <c:pt idx="29">
                  <c:v>5.4) JEE and PVS</c:v>
                </c:pt>
                <c:pt idx="30">
                  <c:v>5.5) Financing</c:v>
                </c:pt>
                <c:pt idx="31">
                  <c:v>5.6) Commitment to sharing of genetic &amp; biological data &amp; specimens</c:v>
                </c:pt>
                <c:pt idx="32">
                  <c:v>6.1) Political and security risk</c:v>
                </c:pt>
                <c:pt idx="33">
                  <c:v>6.2) Socio-economic resilience</c:v>
                </c:pt>
                <c:pt idx="34">
                  <c:v>6.3) Infrastructure adequacy</c:v>
                </c:pt>
                <c:pt idx="35">
                  <c:v>6.4) Environmental risks</c:v>
                </c:pt>
                <c:pt idx="36">
                  <c:v>6.5) Public health vulnerabilities</c:v>
                </c:pt>
              </c:strCache>
            </c:strRef>
          </c:cat>
          <c:val>
            <c:numRef>
              <c:f>'5.c'!$E$5:$E$41</c:f>
              <c:numCache>
                <c:formatCode>0.000</c:formatCode>
                <c:ptCount val="37"/>
                <c:pt idx="0">
                  <c:v>59.507142857142867</c:v>
                </c:pt>
                <c:pt idx="1">
                  <c:v>37.442857142857143</c:v>
                </c:pt>
                <c:pt idx="2">
                  <c:v>31.042857142857144</c:v>
                </c:pt>
                <c:pt idx="3">
                  <c:v>53.571428571428569</c:v>
                </c:pt>
                <c:pt idx="4">
                  <c:v>0</c:v>
                </c:pt>
                <c:pt idx="5">
                  <c:v>91.071428571428569</c:v>
                </c:pt>
                <c:pt idx="6">
                  <c:v>70.535714285714292</c:v>
                </c:pt>
                <c:pt idx="7">
                  <c:v>17.857142857142858</c:v>
                </c:pt>
                <c:pt idx="8">
                  <c:v>25</c:v>
                </c:pt>
                <c:pt idx="9">
                  <c:v>50.471428571428575</c:v>
                </c:pt>
                <c:pt idx="10">
                  <c:v>38.392857142857146</c:v>
                </c:pt>
                <c:pt idx="11">
                  <c:v>53.571428571428569</c:v>
                </c:pt>
                <c:pt idx="12">
                  <c:v>42.857142857142854</c:v>
                </c:pt>
                <c:pt idx="13">
                  <c:v>12.5</c:v>
                </c:pt>
                <c:pt idx="14">
                  <c:v>26.171428571428571</c:v>
                </c:pt>
                <c:pt idx="15">
                  <c:v>42.857142857142854</c:v>
                </c:pt>
                <c:pt idx="16">
                  <c:v>75.29285714285713</c:v>
                </c:pt>
                <c:pt idx="17">
                  <c:v>79.471428571428575</c:v>
                </c:pt>
                <c:pt idx="18">
                  <c:v>60.714285714285715</c:v>
                </c:pt>
                <c:pt idx="19">
                  <c:v>41.771428571428565</c:v>
                </c:pt>
                <c:pt idx="20">
                  <c:v>46.421428571428571</c:v>
                </c:pt>
                <c:pt idx="21">
                  <c:v>35.714285714285715</c:v>
                </c:pt>
                <c:pt idx="22">
                  <c:v>57.764285714285712</c:v>
                </c:pt>
                <c:pt idx="23">
                  <c:v>21.428571428571427</c:v>
                </c:pt>
                <c:pt idx="24">
                  <c:v>71.428571428571431</c:v>
                </c:pt>
                <c:pt idx="25">
                  <c:v>57.142857142857146</c:v>
                </c:pt>
                <c:pt idx="26">
                  <c:v>60.714285714285715</c:v>
                </c:pt>
                <c:pt idx="27">
                  <c:v>64.285714285714292</c:v>
                </c:pt>
                <c:pt idx="28">
                  <c:v>77.25</c:v>
                </c:pt>
                <c:pt idx="29">
                  <c:v>17.857142857142858</c:v>
                </c:pt>
                <c:pt idx="30">
                  <c:v>32.157142857142858</c:v>
                </c:pt>
                <c:pt idx="31">
                  <c:v>66.7</c:v>
                </c:pt>
                <c:pt idx="32">
                  <c:v>58.31428571428571</c:v>
                </c:pt>
                <c:pt idx="33">
                  <c:v>76.271428571428586</c:v>
                </c:pt>
                <c:pt idx="34">
                  <c:v>65.471428571428575</c:v>
                </c:pt>
                <c:pt idx="35">
                  <c:v>52.18571428571429</c:v>
                </c:pt>
                <c:pt idx="36">
                  <c:v>64.478571428571428</c:v>
                </c:pt>
              </c:numCache>
            </c:numRef>
          </c:val>
        </c:ser>
        <c:ser>
          <c:idx val="2"/>
          <c:order val="2"/>
          <c:tx>
            <c:strRef>
              <c:f>'5.c'!$F$4</c:f>
              <c:strCache>
                <c:ptCount val="1"/>
                <c:pt idx="0">
                  <c:v>Cluster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'5.c'!$C$5:$C$41</c:f>
              <c:strCache>
                <c:ptCount val="37"/>
                <c:pt idx="0">
                  <c:v>1.1) Antimicrobial resistance (AMR)</c:v>
                </c:pt>
                <c:pt idx="1">
                  <c:v>1.2) Zoonotic disease</c:v>
                </c:pt>
                <c:pt idx="2">
                  <c:v>1.3) Biosecurity</c:v>
                </c:pt>
                <c:pt idx="3">
                  <c:v>1.4) Biosafety</c:v>
                </c:pt>
                <c:pt idx="4">
                  <c:v>1.5) Dual-use research and culture of responsible science</c:v>
                </c:pt>
                <c:pt idx="5">
                  <c:v>1.6) Immunization</c:v>
                </c:pt>
                <c:pt idx="6">
                  <c:v>2.1) Laboratory systems strength and quality</c:v>
                </c:pt>
                <c:pt idx="7">
                  <c:v>2.2) Laboratory supply chains</c:v>
                </c:pt>
                <c:pt idx="8">
                  <c:v>2.3) Real-time surveillance and reporting</c:v>
                </c:pt>
                <c:pt idx="9">
                  <c:v>2.4) Surveillance data accessibility and transparency</c:v>
                </c:pt>
                <c:pt idx="10">
                  <c:v>2.5) Case-based investigation</c:v>
                </c:pt>
                <c:pt idx="11">
                  <c:v>2.6) Epidemiology workforce</c:v>
                </c:pt>
                <c:pt idx="12">
                  <c:v>3.1) Emergency preparedness and response planning</c:v>
                </c:pt>
                <c:pt idx="13">
                  <c:v>3.2) Exercising response plans</c:v>
                </c:pt>
                <c:pt idx="14">
                  <c:v>3.3) Emergency response operation</c:v>
                </c:pt>
                <c:pt idx="15">
                  <c:v>3.4) Linking public health and security authorities</c:v>
                </c:pt>
                <c:pt idx="16">
                  <c:v>3.5) Risk communication</c:v>
                </c:pt>
                <c:pt idx="17">
                  <c:v>3.6) Access to communications infrastructure</c:v>
                </c:pt>
                <c:pt idx="18">
                  <c:v>3.7) Trade and travel restrictions</c:v>
                </c:pt>
                <c:pt idx="19">
                  <c:v>4.1) Health capacity in clinics, hospitals and community care centers</c:v>
                </c:pt>
                <c:pt idx="20">
                  <c:v>4.2) Supply chain for health system and healthcare workers</c:v>
                </c:pt>
                <c:pt idx="21">
                  <c:v>4.3) Medical countermeasures and personnel deployment</c:v>
                </c:pt>
                <c:pt idx="22">
                  <c:v>4.4) Healthcare access</c:v>
                </c:pt>
                <c:pt idx="23">
                  <c:v>4.5) Communications with healthcare workers during a public health emergency</c:v>
                </c:pt>
                <c:pt idx="24">
                  <c:v>4.6) Infection control practices</c:v>
                </c:pt>
                <c:pt idx="25">
                  <c:v>4.7) Capacity to test and approve new medical countermeasures</c:v>
                </c:pt>
                <c:pt idx="26">
                  <c:v>5.1) IHR reporting compliance and disaster risk reduction</c:v>
                </c:pt>
                <c:pt idx="27">
                  <c:v>5.2) Cross-border agreements on public health and animal health emergency response</c:v>
                </c:pt>
                <c:pt idx="28">
                  <c:v>5.3) International commitments</c:v>
                </c:pt>
                <c:pt idx="29">
                  <c:v>5.4) JEE and PVS</c:v>
                </c:pt>
                <c:pt idx="30">
                  <c:v>5.5) Financing</c:v>
                </c:pt>
                <c:pt idx="31">
                  <c:v>5.6) Commitment to sharing of genetic &amp; biological data &amp; specimens</c:v>
                </c:pt>
                <c:pt idx="32">
                  <c:v>6.1) Political and security risk</c:v>
                </c:pt>
                <c:pt idx="33">
                  <c:v>6.2) Socio-economic resilience</c:v>
                </c:pt>
                <c:pt idx="34">
                  <c:v>6.3) Infrastructure adequacy</c:v>
                </c:pt>
                <c:pt idx="35">
                  <c:v>6.4) Environmental risks</c:v>
                </c:pt>
                <c:pt idx="36">
                  <c:v>6.5) Public health vulnerabilities</c:v>
                </c:pt>
              </c:strCache>
            </c:strRef>
          </c:cat>
          <c:val>
            <c:numRef>
              <c:f>'5.c'!$F$5:$F$41</c:f>
              <c:numCache>
                <c:formatCode>0.000</c:formatCode>
                <c:ptCount val="37"/>
                <c:pt idx="0">
                  <c:v>56.243749999999999</c:v>
                </c:pt>
                <c:pt idx="1">
                  <c:v>36.081249999999997</c:v>
                </c:pt>
                <c:pt idx="2">
                  <c:v>32.837499999999999</c:v>
                </c:pt>
                <c:pt idx="3">
                  <c:v>28.125</c:v>
                </c:pt>
                <c:pt idx="4">
                  <c:v>0</c:v>
                </c:pt>
                <c:pt idx="5">
                  <c:v>78.125</c:v>
                </c:pt>
                <c:pt idx="6">
                  <c:v>42.1875</c:v>
                </c:pt>
                <c:pt idx="7">
                  <c:v>6.25</c:v>
                </c:pt>
                <c:pt idx="8">
                  <c:v>26.5625</c:v>
                </c:pt>
                <c:pt idx="9">
                  <c:v>40.21875</c:v>
                </c:pt>
                <c:pt idx="10">
                  <c:v>19.53125</c:v>
                </c:pt>
                <c:pt idx="11">
                  <c:v>31.25</c:v>
                </c:pt>
                <c:pt idx="12">
                  <c:v>44.274999999999999</c:v>
                </c:pt>
                <c:pt idx="13">
                  <c:v>14.0625</c:v>
                </c:pt>
                <c:pt idx="14">
                  <c:v>24.975000000000001</c:v>
                </c:pt>
                <c:pt idx="15">
                  <c:v>0</c:v>
                </c:pt>
                <c:pt idx="16">
                  <c:v>51.306249999999999</c:v>
                </c:pt>
                <c:pt idx="17">
                  <c:v>77.693749999999994</c:v>
                </c:pt>
                <c:pt idx="18">
                  <c:v>62.5</c:v>
                </c:pt>
                <c:pt idx="19">
                  <c:v>33.818750000000001</c:v>
                </c:pt>
                <c:pt idx="20">
                  <c:v>42.34375</c:v>
                </c:pt>
                <c:pt idx="21">
                  <c:v>12.5</c:v>
                </c:pt>
                <c:pt idx="22">
                  <c:v>61.968750000000007</c:v>
                </c:pt>
                <c:pt idx="23">
                  <c:v>3.125</c:v>
                </c:pt>
                <c:pt idx="24">
                  <c:v>75</c:v>
                </c:pt>
                <c:pt idx="25">
                  <c:v>62.5</c:v>
                </c:pt>
                <c:pt idx="26">
                  <c:v>78.125</c:v>
                </c:pt>
                <c:pt idx="27">
                  <c:v>68.75</c:v>
                </c:pt>
                <c:pt idx="28">
                  <c:v>51.774999999999991</c:v>
                </c:pt>
                <c:pt idx="29">
                  <c:v>21.875</c:v>
                </c:pt>
                <c:pt idx="30">
                  <c:v>27.1</c:v>
                </c:pt>
                <c:pt idx="31">
                  <c:v>66.7</c:v>
                </c:pt>
                <c:pt idx="32">
                  <c:v>54.468749999999993</c:v>
                </c:pt>
                <c:pt idx="33">
                  <c:v>72.8125</c:v>
                </c:pt>
                <c:pt idx="34">
                  <c:v>54.181249999999999</c:v>
                </c:pt>
                <c:pt idx="35">
                  <c:v>64.3125</c:v>
                </c:pt>
                <c:pt idx="36">
                  <c:v>54.793749999999996</c:v>
                </c:pt>
              </c:numCache>
            </c:numRef>
          </c:val>
        </c:ser>
        <c:ser>
          <c:idx val="3"/>
          <c:order val="3"/>
          <c:tx>
            <c:strRef>
              <c:f>'5.c'!$G$4</c:f>
              <c:strCache>
                <c:ptCount val="1"/>
                <c:pt idx="0">
                  <c:v>Cluster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'5.c'!$C$5:$C$41</c:f>
              <c:strCache>
                <c:ptCount val="37"/>
                <c:pt idx="0">
                  <c:v>1.1) Antimicrobial resistance (AMR)</c:v>
                </c:pt>
                <c:pt idx="1">
                  <c:v>1.2) Zoonotic disease</c:v>
                </c:pt>
                <c:pt idx="2">
                  <c:v>1.3) Biosecurity</c:v>
                </c:pt>
                <c:pt idx="3">
                  <c:v>1.4) Biosafety</c:v>
                </c:pt>
                <c:pt idx="4">
                  <c:v>1.5) Dual-use research and culture of responsible science</c:v>
                </c:pt>
                <c:pt idx="5">
                  <c:v>1.6) Immunization</c:v>
                </c:pt>
                <c:pt idx="6">
                  <c:v>2.1) Laboratory systems strength and quality</c:v>
                </c:pt>
                <c:pt idx="7">
                  <c:v>2.2) Laboratory supply chains</c:v>
                </c:pt>
                <c:pt idx="8">
                  <c:v>2.3) Real-time surveillance and reporting</c:v>
                </c:pt>
                <c:pt idx="9">
                  <c:v>2.4) Surveillance data accessibility and transparency</c:v>
                </c:pt>
                <c:pt idx="10">
                  <c:v>2.5) Case-based investigation</c:v>
                </c:pt>
                <c:pt idx="11">
                  <c:v>2.6) Epidemiology workforce</c:v>
                </c:pt>
                <c:pt idx="12">
                  <c:v>3.1) Emergency preparedness and response planning</c:v>
                </c:pt>
                <c:pt idx="13">
                  <c:v>3.2) Exercising response plans</c:v>
                </c:pt>
                <c:pt idx="14">
                  <c:v>3.3) Emergency response operation</c:v>
                </c:pt>
                <c:pt idx="15">
                  <c:v>3.4) Linking public health and security authorities</c:v>
                </c:pt>
                <c:pt idx="16">
                  <c:v>3.5) Risk communication</c:v>
                </c:pt>
                <c:pt idx="17">
                  <c:v>3.6) Access to communications infrastructure</c:v>
                </c:pt>
                <c:pt idx="18">
                  <c:v>3.7) Trade and travel restrictions</c:v>
                </c:pt>
                <c:pt idx="19">
                  <c:v>4.1) Health capacity in clinics, hospitals and community care centers</c:v>
                </c:pt>
                <c:pt idx="20">
                  <c:v>4.2) Supply chain for health system and healthcare workers</c:v>
                </c:pt>
                <c:pt idx="21">
                  <c:v>4.3) Medical countermeasures and personnel deployment</c:v>
                </c:pt>
                <c:pt idx="22">
                  <c:v>4.4) Healthcare access</c:v>
                </c:pt>
                <c:pt idx="23">
                  <c:v>4.5) Communications with healthcare workers during a public health emergency</c:v>
                </c:pt>
                <c:pt idx="24">
                  <c:v>4.6) Infection control practices</c:v>
                </c:pt>
                <c:pt idx="25">
                  <c:v>4.7) Capacity to test and approve new medical countermeasures</c:v>
                </c:pt>
                <c:pt idx="26">
                  <c:v>5.1) IHR reporting compliance and disaster risk reduction</c:v>
                </c:pt>
                <c:pt idx="27">
                  <c:v>5.2) Cross-border agreements on public health and animal health emergency response</c:v>
                </c:pt>
                <c:pt idx="28">
                  <c:v>5.3) International commitments</c:v>
                </c:pt>
                <c:pt idx="29">
                  <c:v>5.4) JEE and PVS</c:v>
                </c:pt>
                <c:pt idx="30">
                  <c:v>5.5) Financing</c:v>
                </c:pt>
                <c:pt idx="31">
                  <c:v>5.6) Commitment to sharing of genetic &amp; biological data &amp; specimens</c:v>
                </c:pt>
                <c:pt idx="32">
                  <c:v>6.1) Political and security risk</c:v>
                </c:pt>
                <c:pt idx="33">
                  <c:v>6.2) Socio-economic resilience</c:v>
                </c:pt>
                <c:pt idx="34">
                  <c:v>6.3) Infrastructure adequacy</c:v>
                </c:pt>
                <c:pt idx="35">
                  <c:v>6.4) Environmental risks</c:v>
                </c:pt>
                <c:pt idx="36">
                  <c:v>6.5) Public health vulnerabilities</c:v>
                </c:pt>
              </c:strCache>
            </c:strRef>
          </c:cat>
          <c:val>
            <c:numRef>
              <c:f>'5.c'!$G$5:$G$41</c:f>
              <c:numCache>
                <c:formatCode>0.000</c:formatCode>
                <c:ptCount val="37"/>
                <c:pt idx="0">
                  <c:v>32.49</c:v>
                </c:pt>
                <c:pt idx="1">
                  <c:v>23.9</c:v>
                </c:pt>
                <c:pt idx="2">
                  <c:v>20.27</c:v>
                </c:pt>
                <c:pt idx="3">
                  <c:v>25</c:v>
                </c:pt>
                <c:pt idx="4">
                  <c:v>0</c:v>
                </c:pt>
                <c:pt idx="5">
                  <c:v>87.5</c:v>
                </c:pt>
                <c:pt idx="6">
                  <c:v>37.5</c:v>
                </c:pt>
                <c:pt idx="7">
                  <c:v>10</c:v>
                </c:pt>
                <c:pt idx="8">
                  <c:v>17.5</c:v>
                </c:pt>
                <c:pt idx="9">
                  <c:v>25.660000000000004</c:v>
                </c:pt>
                <c:pt idx="10">
                  <c:v>1.25</c:v>
                </c:pt>
                <c:pt idx="11">
                  <c:v>40</c:v>
                </c:pt>
                <c:pt idx="12">
                  <c:v>14.170000000000002</c:v>
                </c:pt>
                <c:pt idx="13">
                  <c:v>13.75</c:v>
                </c:pt>
                <c:pt idx="14">
                  <c:v>26.639999999999997</c:v>
                </c:pt>
                <c:pt idx="15">
                  <c:v>0</c:v>
                </c:pt>
                <c:pt idx="16">
                  <c:v>47.1</c:v>
                </c:pt>
                <c:pt idx="17">
                  <c:v>68.070000000000007</c:v>
                </c:pt>
                <c:pt idx="18">
                  <c:v>55</c:v>
                </c:pt>
                <c:pt idx="19">
                  <c:v>22.119999999999997</c:v>
                </c:pt>
                <c:pt idx="20">
                  <c:v>30.55</c:v>
                </c:pt>
                <c:pt idx="21">
                  <c:v>0</c:v>
                </c:pt>
                <c:pt idx="22">
                  <c:v>67.45</c:v>
                </c:pt>
                <c:pt idx="23">
                  <c:v>0</c:v>
                </c:pt>
                <c:pt idx="24">
                  <c:v>50</c:v>
                </c:pt>
                <c:pt idx="25">
                  <c:v>57.5</c:v>
                </c:pt>
                <c:pt idx="26">
                  <c:v>55</c:v>
                </c:pt>
                <c:pt idx="27">
                  <c:v>50</c:v>
                </c:pt>
                <c:pt idx="28">
                  <c:v>62.83</c:v>
                </c:pt>
                <c:pt idx="29">
                  <c:v>7.5</c:v>
                </c:pt>
                <c:pt idx="30">
                  <c:v>30.839999999999996</c:v>
                </c:pt>
                <c:pt idx="31">
                  <c:v>66.7</c:v>
                </c:pt>
                <c:pt idx="32">
                  <c:v>37.5</c:v>
                </c:pt>
                <c:pt idx="33">
                  <c:v>62.790000000000006</c:v>
                </c:pt>
                <c:pt idx="34">
                  <c:v>40.020000000000003</c:v>
                </c:pt>
                <c:pt idx="35">
                  <c:v>58.239999999999995</c:v>
                </c:pt>
                <c:pt idx="36">
                  <c:v>58.58</c:v>
                </c:pt>
              </c:numCache>
            </c:numRef>
          </c:val>
        </c:ser>
        <c:ser>
          <c:idx val="4"/>
          <c:order val="4"/>
          <c:tx>
            <c:strRef>
              <c:f>'5.c'!$H$4</c:f>
              <c:strCache>
                <c:ptCount val="1"/>
                <c:pt idx="0">
                  <c:v>Cluster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'5.c'!$C$5:$C$41</c:f>
              <c:strCache>
                <c:ptCount val="37"/>
                <c:pt idx="0">
                  <c:v>1.1) Antimicrobial resistance (AMR)</c:v>
                </c:pt>
                <c:pt idx="1">
                  <c:v>1.2) Zoonotic disease</c:v>
                </c:pt>
                <c:pt idx="2">
                  <c:v>1.3) Biosecurity</c:v>
                </c:pt>
                <c:pt idx="3">
                  <c:v>1.4) Biosafety</c:v>
                </c:pt>
                <c:pt idx="4">
                  <c:v>1.5) Dual-use research and culture of responsible science</c:v>
                </c:pt>
                <c:pt idx="5">
                  <c:v>1.6) Immunization</c:v>
                </c:pt>
                <c:pt idx="6">
                  <c:v>2.1) Laboratory systems strength and quality</c:v>
                </c:pt>
                <c:pt idx="7">
                  <c:v>2.2) Laboratory supply chains</c:v>
                </c:pt>
                <c:pt idx="8">
                  <c:v>2.3) Real-time surveillance and reporting</c:v>
                </c:pt>
                <c:pt idx="9">
                  <c:v>2.4) Surveillance data accessibility and transparency</c:v>
                </c:pt>
                <c:pt idx="10">
                  <c:v>2.5) Case-based investigation</c:v>
                </c:pt>
                <c:pt idx="11">
                  <c:v>2.6) Epidemiology workforce</c:v>
                </c:pt>
                <c:pt idx="12">
                  <c:v>3.1) Emergency preparedness and response planning</c:v>
                </c:pt>
                <c:pt idx="13">
                  <c:v>3.2) Exercising response plans</c:v>
                </c:pt>
                <c:pt idx="14">
                  <c:v>3.3) Emergency response operation</c:v>
                </c:pt>
                <c:pt idx="15">
                  <c:v>3.4) Linking public health and security authorities</c:v>
                </c:pt>
                <c:pt idx="16">
                  <c:v>3.5) Risk communication</c:v>
                </c:pt>
                <c:pt idx="17">
                  <c:v>3.6) Access to communications infrastructure</c:v>
                </c:pt>
                <c:pt idx="18">
                  <c:v>3.7) Trade and travel restrictions</c:v>
                </c:pt>
                <c:pt idx="19">
                  <c:v>4.1) Health capacity in clinics, hospitals and community care centers</c:v>
                </c:pt>
                <c:pt idx="20">
                  <c:v>4.2) Supply chain for health system and healthcare workers</c:v>
                </c:pt>
                <c:pt idx="21">
                  <c:v>4.3) Medical countermeasures and personnel deployment</c:v>
                </c:pt>
                <c:pt idx="22">
                  <c:v>4.4) Healthcare access</c:v>
                </c:pt>
                <c:pt idx="23">
                  <c:v>4.5) Communications with healthcare workers during a public health emergency</c:v>
                </c:pt>
                <c:pt idx="24">
                  <c:v>4.6) Infection control practices</c:v>
                </c:pt>
                <c:pt idx="25">
                  <c:v>4.7) Capacity to test and approve new medical countermeasures</c:v>
                </c:pt>
                <c:pt idx="26">
                  <c:v>5.1) IHR reporting compliance and disaster risk reduction</c:v>
                </c:pt>
                <c:pt idx="27">
                  <c:v>5.2) Cross-border agreements on public health and animal health emergency response</c:v>
                </c:pt>
                <c:pt idx="28">
                  <c:v>5.3) International commitments</c:v>
                </c:pt>
                <c:pt idx="29">
                  <c:v>5.4) JEE and PVS</c:v>
                </c:pt>
                <c:pt idx="30">
                  <c:v>5.5) Financing</c:v>
                </c:pt>
                <c:pt idx="31">
                  <c:v>5.6) Commitment to sharing of genetic &amp; biological data &amp; specimens</c:v>
                </c:pt>
                <c:pt idx="32">
                  <c:v>6.1) Political and security risk</c:v>
                </c:pt>
                <c:pt idx="33">
                  <c:v>6.2) Socio-economic resilience</c:v>
                </c:pt>
                <c:pt idx="34">
                  <c:v>6.3) Infrastructure adequacy</c:v>
                </c:pt>
                <c:pt idx="35">
                  <c:v>6.4) Environmental risks</c:v>
                </c:pt>
                <c:pt idx="36">
                  <c:v>6.5) Public health vulnerabilities</c:v>
                </c:pt>
              </c:strCache>
            </c:strRef>
          </c:cat>
          <c:val>
            <c:numRef>
              <c:f>'5.c'!$H$5:$H$41</c:f>
              <c:numCache>
                <c:formatCode>0.000</c:formatCode>
                <c:ptCount val="37"/>
                <c:pt idx="0">
                  <c:v>22.925000000000001</c:v>
                </c:pt>
                <c:pt idx="1">
                  <c:v>14.525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53.125</c:v>
                </c:pt>
                <c:pt idx="6">
                  <c:v>3.125</c:v>
                </c:pt>
                <c:pt idx="7">
                  <c:v>25</c:v>
                </c:pt>
                <c:pt idx="8">
                  <c:v>6.25</c:v>
                </c:pt>
                <c:pt idx="9">
                  <c:v>25.387499999999999</c:v>
                </c:pt>
                <c:pt idx="10">
                  <c:v>3.125</c:v>
                </c:pt>
                <c:pt idx="11">
                  <c:v>12.5</c:v>
                </c:pt>
                <c:pt idx="12">
                  <c:v>18.75</c:v>
                </c:pt>
                <c:pt idx="13">
                  <c:v>9.375</c:v>
                </c:pt>
                <c:pt idx="14">
                  <c:v>8.3249999999999993</c:v>
                </c:pt>
                <c:pt idx="15">
                  <c:v>0</c:v>
                </c:pt>
                <c:pt idx="16">
                  <c:v>39.587499999999999</c:v>
                </c:pt>
                <c:pt idx="17">
                  <c:v>68.45</c:v>
                </c:pt>
                <c:pt idx="18">
                  <c:v>90.625</c:v>
                </c:pt>
                <c:pt idx="19">
                  <c:v>28.637500000000003</c:v>
                </c:pt>
                <c:pt idx="20">
                  <c:v>27.749999999999996</c:v>
                </c:pt>
                <c:pt idx="21">
                  <c:v>0</c:v>
                </c:pt>
                <c:pt idx="22">
                  <c:v>54.312499999999993</c:v>
                </c:pt>
                <c:pt idx="23">
                  <c:v>0</c:v>
                </c:pt>
                <c:pt idx="24">
                  <c:v>50</c:v>
                </c:pt>
                <c:pt idx="25">
                  <c:v>31.25</c:v>
                </c:pt>
                <c:pt idx="26">
                  <c:v>37.5</c:v>
                </c:pt>
                <c:pt idx="27">
                  <c:v>25</c:v>
                </c:pt>
                <c:pt idx="28">
                  <c:v>34</c:v>
                </c:pt>
                <c:pt idx="29">
                  <c:v>6.25</c:v>
                </c:pt>
                <c:pt idx="30">
                  <c:v>16.662500000000001</c:v>
                </c:pt>
                <c:pt idx="31">
                  <c:v>66.7</c:v>
                </c:pt>
                <c:pt idx="32">
                  <c:v>79.974999999999994</c:v>
                </c:pt>
                <c:pt idx="33">
                  <c:v>69.625</c:v>
                </c:pt>
                <c:pt idx="34">
                  <c:v>77.099999999999994</c:v>
                </c:pt>
                <c:pt idx="35">
                  <c:v>56.537500000000001</c:v>
                </c:pt>
                <c:pt idx="36">
                  <c:v>62.537500000000001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9162464"/>
        <c:axId val="350161248"/>
      </c:barChart>
      <c:catAx>
        <c:axId val="3491624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50161248"/>
        <c:crosses val="autoZero"/>
        <c:auto val="1"/>
        <c:lblAlgn val="ctr"/>
        <c:lblOffset val="100"/>
        <c:noMultiLvlLbl val="0"/>
      </c:catAx>
      <c:valAx>
        <c:axId val="350161248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34916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0</xdr:rowOff>
    </xdr:from>
    <xdr:to>
      <xdr:col>10</xdr:col>
      <xdr:colOff>601731</xdr:colOff>
      <xdr:row>41</xdr:row>
      <xdr:rowOff>170002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10</xdr:col>
      <xdr:colOff>554728</xdr:colOff>
      <xdr:row>60</xdr:row>
      <xdr:rowOff>182013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62</xdr:row>
      <xdr:rowOff>0</xdr:rowOff>
    </xdr:from>
    <xdr:to>
      <xdr:col>10</xdr:col>
      <xdr:colOff>551415</xdr:colOff>
      <xdr:row>75</xdr:row>
      <xdr:rowOff>82826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42</xdr:row>
      <xdr:rowOff>142875</xdr:rowOff>
    </xdr:from>
    <xdr:to>
      <xdr:col>8</xdr:col>
      <xdr:colOff>0</xdr:colOff>
      <xdr:row>79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stdoctoral%20papers\Tylor%20and%20france%20editing%20easy\Biosecurity%20-ER\clustering%20EMRCs-HS-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data"/>
      <sheetName val="Analysis"/>
      <sheetName val="Output Clusters"/>
      <sheetName val="Segmentation maps"/>
      <sheetName val="Central means"/>
      <sheetName val="SSE charts"/>
      <sheetName val="How to interpret"/>
      <sheetName val="Add Solver"/>
      <sheetName val="Qui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GN10">
            <v>1</v>
          </cell>
          <cell r="GO10">
            <v>1</v>
          </cell>
          <cell r="GP10">
            <v>1</v>
          </cell>
          <cell r="GQ10">
            <v>1</v>
          </cell>
          <cell r="GR10">
            <v>1</v>
          </cell>
        </row>
        <row r="11">
          <cell r="GN11">
            <v>2</v>
          </cell>
          <cell r="GO11">
            <v>2</v>
          </cell>
          <cell r="GP11">
            <v>2</v>
          </cell>
          <cell r="GQ11">
            <v>2</v>
          </cell>
          <cell r="GR11">
            <v>2</v>
          </cell>
        </row>
        <row r="12">
          <cell r="GN12">
            <v>3</v>
          </cell>
          <cell r="GO12">
            <v>1</v>
          </cell>
          <cell r="GP12">
            <v>3</v>
          </cell>
          <cell r="GQ12">
            <v>3</v>
          </cell>
          <cell r="GR12">
            <v>3</v>
          </cell>
        </row>
        <row r="13">
          <cell r="GN13">
            <v>4</v>
          </cell>
          <cell r="GO13">
            <v>1</v>
          </cell>
          <cell r="GP13">
            <v>3</v>
          </cell>
          <cell r="GQ13">
            <v>4</v>
          </cell>
          <cell r="GR13">
            <v>4</v>
          </cell>
        </row>
        <row r="14">
          <cell r="GN14">
            <v>5</v>
          </cell>
          <cell r="GO14">
            <v>1</v>
          </cell>
          <cell r="GP14">
            <v>3</v>
          </cell>
          <cell r="GQ14">
            <v>4</v>
          </cell>
          <cell r="GR14">
            <v>5</v>
          </cell>
        </row>
        <row r="15">
          <cell r="GN15">
            <v>6</v>
          </cell>
          <cell r="GO15">
            <v>2</v>
          </cell>
          <cell r="GP15">
            <v>2</v>
          </cell>
          <cell r="GQ15">
            <v>2</v>
          </cell>
          <cell r="GR15">
            <v>2</v>
          </cell>
        </row>
        <row r="16">
          <cell r="GN16">
            <v>7</v>
          </cell>
          <cell r="GO16">
            <v>2</v>
          </cell>
          <cell r="GP16">
            <v>2</v>
          </cell>
          <cell r="GQ16">
            <v>2</v>
          </cell>
          <cell r="GR16">
            <v>2</v>
          </cell>
        </row>
        <row r="17">
          <cell r="GN17">
            <v>8</v>
          </cell>
          <cell r="GO17">
            <v>2</v>
          </cell>
          <cell r="GP17">
            <v>2</v>
          </cell>
          <cell r="GQ17">
            <v>2</v>
          </cell>
          <cell r="GR17">
            <v>2</v>
          </cell>
        </row>
        <row r="18">
          <cell r="GN18">
            <v>9</v>
          </cell>
          <cell r="GO18">
            <v>2</v>
          </cell>
          <cell r="GP18">
            <v>2</v>
          </cell>
          <cell r="GQ18">
            <v>2</v>
          </cell>
          <cell r="GR18">
            <v>2</v>
          </cell>
        </row>
        <row r="19">
          <cell r="GN19">
            <v>10</v>
          </cell>
          <cell r="GO19">
            <v>1</v>
          </cell>
          <cell r="GP19">
            <v>1</v>
          </cell>
          <cell r="GQ19">
            <v>1</v>
          </cell>
          <cell r="GR19">
            <v>1</v>
          </cell>
        </row>
        <row r="20">
          <cell r="GN20">
            <v>11</v>
          </cell>
          <cell r="GO20">
            <v>2</v>
          </cell>
          <cell r="GP20">
            <v>2</v>
          </cell>
          <cell r="GQ20">
            <v>2</v>
          </cell>
          <cell r="GR20">
            <v>2</v>
          </cell>
        </row>
        <row r="21">
          <cell r="GN21">
            <v>12</v>
          </cell>
          <cell r="GO21">
            <v>1</v>
          </cell>
          <cell r="GP21">
            <v>3</v>
          </cell>
          <cell r="GQ21">
            <v>4</v>
          </cell>
          <cell r="GR21">
            <v>4</v>
          </cell>
        </row>
        <row r="22">
          <cell r="GN22">
            <v>13</v>
          </cell>
          <cell r="GO22">
            <v>1</v>
          </cell>
          <cell r="GP22">
            <v>1</v>
          </cell>
          <cell r="GQ22">
            <v>1</v>
          </cell>
          <cell r="GR22">
            <v>1</v>
          </cell>
        </row>
        <row r="23">
          <cell r="GN23">
            <v>14</v>
          </cell>
          <cell r="GO23">
            <v>2</v>
          </cell>
          <cell r="GP23">
            <v>2</v>
          </cell>
          <cell r="GQ23">
            <v>2</v>
          </cell>
          <cell r="GR23">
            <v>2</v>
          </cell>
        </row>
        <row r="24">
          <cell r="GN24">
            <v>15</v>
          </cell>
          <cell r="GO24">
            <v>2</v>
          </cell>
          <cell r="GP24">
            <v>2</v>
          </cell>
          <cell r="GQ24">
            <v>2</v>
          </cell>
          <cell r="GR24">
            <v>2</v>
          </cell>
        </row>
        <row r="25">
          <cell r="GN25">
            <v>16</v>
          </cell>
          <cell r="GO25">
            <v>2</v>
          </cell>
          <cell r="GP25">
            <v>2</v>
          </cell>
          <cell r="GQ25">
            <v>2</v>
          </cell>
          <cell r="GR25">
            <v>2</v>
          </cell>
        </row>
        <row r="26">
          <cell r="GN26">
            <v>17</v>
          </cell>
          <cell r="GO26">
            <v>2</v>
          </cell>
          <cell r="GP26">
            <v>2</v>
          </cell>
          <cell r="GQ26">
            <v>2</v>
          </cell>
          <cell r="GR26">
            <v>2</v>
          </cell>
        </row>
        <row r="27">
          <cell r="GN27">
            <v>18</v>
          </cell>
          <cell r="GO27">
            <v>2</v>
          </cell>
          <cell r="GP27">
            <v>2</v>
          </cell>
          <cell r="GQ27">
            <v>2</v>
          </cell>
          <cell r="GR27">
            <v>2</v>
          </cell>
        </row>
        <row r="28">
          <cell r="GN28">
            <v>19</v>
          </cell>
          <cell r="GO28">
            <v>2</v>
          </cell>
          <cell r="GP28">
            <v>2</v>
          </cell>
          <cell r="GQ28">
            <v>2</v>
          </cell>
          <cell r="GR28">
            <v>2</v>
          </cell>
        </row>
        <row r="29">
          <cell r="GN29">
            <v>20</v>
          </cell>
          <cell r="GO29">
            <v>2</v>
          </cell>
          <cell r="GP29">
            <v>2</v>
          </cell>
          <cell r="GQ29">
            <v>2</v>
          </cell>
          <cell r="GR29">
            <v>2</v>
          </cell>
        </row>
        <row r="30">
          <cell r="GN30">
            <v>21</v>
          </cell>
          <cell r="GO30">
            <v>2</v>
          </cell>
          <cell r="GP30">
            <v>2</v>
          </cell>
          <cell r="GQ30">
            <v>2</v>
          </cell>
          <cell r="GR30">
            <v>2</v>
          </cell>
        </row>
        <row r="31">
          <cell r="GN31">
            <v>22</v>
          </cell>
          <cell r="GO31" t="str">
            <v/>
          </cell>
          <cell r="GP31" t="str">
            <v/>
          </cell>
          <cell r="GQ31" t="str">
            <v/>
          </cell>
          <cell r="GR31" t="str">
            <v/>
          </cell>
        </row>
        <row r="32">
          <cell r="GN32">
            <v>23</v>
          </cell>
          <cell r="GO32" t="str">
            <v/>
          </cell>
          <cell r="GP32" t="str">
            <v/>
          </cell>
          <cell r="GQ32" t="str">
            <v/>
          </cell>
          <cell r="GR32" t="str">
            <v/>
          </cell>
        </row>
        <row r="33">
          <cell r="GN33">
            <v>24</v>
          </cell>
          <cell r="GO33" t="str">
            <v/>
          </cell>
          <cell r="GP33" t="str">
            <v/>
          </cell>
          <cell r="GQ33" t="str">
            <v/>
          </cell>
          <cell r="GR33" t="str">
            <v/>
          </cell>
        </row>
        <row r="34">
          <cell r="GN34">
            <v>25</v>
          </cell>
          <cell r="GO34" t="str">
            <v/>
          </cell>
          <cell r="GP34" t="str">
            <v/>
          </cell>
          <cell r="GQ34" t="str">
            <v/>
          </cell>
          <cell r="GR34" t="str">
            <v/>
          </cell>
        </row>
        <row r="35">
          <cell r="GN35">
            <v>26</v>
          </cell>
          <cell r="GO35" t="str">
            <v/>
          </cell>
          <cell r="GP35" t="str">
            <v/>
          </cell>
          <cell r="GQ35" t="str">
            <v/>
          </cell>
          <cell r="GR35" t="str">
            <v/>
          </cell>
        </row>
        <row r="36">
          <cell r="GN36">
            <v>27</v>
          </cell>
          <cell r="GO36" t="str">
            <v/>
          </cell>
          <cell r="GP36" t="str">
            <v/>
          </cell>
          <cell r="GQ36" t="str">
            <v/>
          </cell>
          <cell r="GR36" t="str">
            <v/>
          </cell>
        </row>
        <row r="37">
          <cell r="GN37">
            <v>28</v>
          </cell>
          <cell r="GO37" t="str">
            <v/>
          </cell>
          <cell r="GP37" t="str">
            <v/>
          </cell>
          <cell r="GQ37" t="str">
            <v/>
          </cell>
          <cell r="GR37" t="str">
            <v/>
          </cell>
        </row>
        <row r="38">
          <cell r="GN38">
            <v>29</v>
          </cell>
          <cell r="GO38" t="str">
            <v/>
          </cell>
          <cell r="GP38" t="str">
            <v/>
          </cell>
          <cell r="GQ38" t="str">
            <v/>
          </cell>
          <cell r="GR38" t="str">
            <v/>
          </cell>
        </row>
        <row r="39">
          <cell r="GN39">
            <v>30</v>
          </cell>
          <cell r="GO39" t="str">
            <v/>
          </cell>
          <cell r="GP39" t="str">
            <v/>
          </cell>
          <cell r="GQ39" t="str">
            <v/>
          </cell>
          <cell r="GR39" t="str">
            <v/>
          </cell>
        </row>
        <row r="40">
          <cell r="GN40">
            <v>31</v>
          </cell>
          <cell r="GO40" t="str">
            <v/>
          </cell>
          <cell r="GP40" t="str">
            <v/>
          </cell>
          <cell r="GQ40" t="str">
            <v/>
          </cell>
          <cell r="GR40" t="str">
            <v/>
          </cell>
        </row>
        <row r="41">
          <cell r="GN41">
            <v>32</v>
          </cell>
          <cell r="GO41" t="str">
            <v/>
          </cell>
          <cell r="GP41" t="str">
            <v/>
          </cell>
          <cell r="GQ41" t="str">
            <v/>
          </cell>
          <cell r="GR41" t="str">
            <v/>
          </cell>
        </row>
        <row r="42">
          <cell r="GN42">
            <v>33</v>
          </cell>
          <cell r="GO42" t="str">
            <v/>
          </cell>
          <cell r="GP42" t="str">
            <v/>
          </cell>
          <cell r="GQ42" t="str">
            <v/>
          </cell>
          <cell r="GR42" t="str">
            <v/>
          </cell>
        </row>
        <row r="43">
          <cell r="GN43">
            <v>34</v>
          </cell>
          <cell r="GO43" t="str">
            <v/>
          </cell>
          <cell r="GP43" t="str">
            <v/>
          </cell>
          <cell r="GQ43" t="str">
            <v/>
          </cell>
          <cell r="GR43" t="str">
            <v/>
          </cell>
        </row>
        <row r="44">
          <cell r="GN44">
            <v>35</v>
          </cell>
          <cell r="GO44" t="str">
            <v/>
          </cell>
          <cell r="GP44" t="str">
            <v/>
          </cell>
          <cell r="GQ44" t="str">
            <v/>
          </cell>
          <cell r="GR44" t="str">
            <v/>
          </cell>
        </row>
        <row r="45">
          <cell r="GN45">
            <v>36</v>
          </cell>
          <cell r="GO45" t="str">
            <v/>
          </cell>
          <cell r="GP45" t="str">
            <v/>
          </cell>
          <cell r="GQ45" t="str">
            <v/>
          </cell>
          <cell r="GR45" t="str">
            <v/>
          </cell>
        </row>
        <row r="46">
          <cell r="GN46">
            <v>37</v>
          </cell>
          <cell r="GO46" t="str">
            <v/>
          </cell>
          <cell r="GP46" t="str">
            <v/>
          </cell>
          <cell r="GQ46" t="str">
            <v/>
          </cell>
          <cell r="GR46" t="str">
            <v/>
          </cell>
        </row>
        <row r="47">
          <cell r="GN47">
            <v>38</v>
          </cell>
          <cell r="GO47" t="str">
            <v/>
          </cell>
          <cell r="GP47" t="str">
            <v/>
          </cell>
          <cell r="GQ47" t="str">
            <v/>
          </cell>
          <cell r="GR47" t="str">
            <v/>
          </cell>
        </row>
        <row r="48">
          <cell r="GN48">
            <v>39</v>
          </cell>
          <cell r="GO48" t="str">
            <v/>
          </cell>
          <cell r="GP48" t="str">
            <v/>
          </cell>
          <cell r="GQ48" t="str">
            <v/>
          </cell>
          <cell r="GR48" t="str">
            <v/>
          </cell>
        </row>
        <row r="49">
          <cell r="GN49">
            <v>40</v>
          </cell>
          <cell r="GO49" t="str">
            <v/>
          </cell>
          <cell r="GP49" t="str">
            <v/>
          </cell>
          <cell r="GQ49" t="str">
            <v/>
          </cell>
          <cell r="GR49" t="str">
            <v/>
          </cell>
        </row>
        <row r="50">
          <cell r="GN50">
            <v>41</v>
          </cell>
          <cell r="GO50" t="str">
            <v/>
          </cell>
          <cell r="GP50" t="str">
            <v/>
          </cell>
          <cell r="GQ50" t="str">
            <v/>
          </cell>
          <cell r="GR50" t="str">
            <v/>
          </cell>
        </row>
        <row r="51">
          <cell r="GN51">
            <v>42</v>
          </cell>
          <cell r="GO51" t="str">
            <v/>
          </cell>
          <cell r="GP51" t="str">
            <v/>
          </cell>
          <cell r="GQ51" t="str">
            <v/>
          </cell>
          <cell r="GR51" t="str">
            <v/>
          </cell>
        </row>
        <row r="52">
          <cell r="GN52">
            <v>43</v>
          </cell>
          <cell r="GO52" t="str">
            <v/>
          </cell>
          <cell r="GP52" t="str">
            <v/>
          </cell>
          <cell r="GQ52" t="str">
            <v/>
          </cell>
          <cell r="GR52" t="str">
            <v/>
          </cell>
        </row>
        <row r="53">
          <cell r="GN53">
            <v>44</v>
          </cell>
          <cell r="GO53" t="str">
            <v/>
          </cell>
          <cell r="GP53" t="str">
            <v/>
          </cell>
          <cell r="GQ53" t="str">
            <v/>
          </cell>
          <cell r="GR53" t="str">
            <v/>
          </cell>
        </row>
        <row r="54">
          <cell r="GN54">
            <v>45</v>
          </cell>
          <cell r="GO54" t="str">
            <v/>
          </cell>
          <cell r="GP54" t="str">
            <v/>
          </cell>
          <cell r="GQ54" t="str">
            <v/>
          </cell>
          <cell r="GR54" t="str">
            <v/>
          </cell>
        </row>
        <row r="55">
          <cell r="GN55">
            <v>46</v>
          </cell>
          <cell r="GO55" t="str">
            <v/>
          </cell>
          <cell r="GP55" t="str">
            <v/>
          </cell>
          <cell r="GQ55" t="str">
            <v/>
          </cell>
          <cell r="GR55" t="str">
            <v/>
          </cell>
        </row>
        <row r="56">
          <cell r="GN56">
            <v>47</v>
          </cell>
          <cell r="GO56" t="str">
            <v/>
          </cell>
          <cell r="GP56" t="str">
            <v/>
          </cell>
          <cell r="GQ56" t="str">
            <v/>
          </cell>
          <cell r="GR56" t="str">
            <v/>
          </cell>
        </row>
        <row r="57">
          <cell r="GN57">
            <v>48</v>
          </cell>
          <cell r="GO57" t="str">
            <v/>
          </cell>
          <cell r="GP57" t="str">
            <v/>
          </cell>
          <cell r="GQ57" t="str">
            <v/>
          </cell>
          <cell r="GR57" t="str">
            <v/>
          </cell>
        </row>
        <row r="58">
          <cell r="GN58">
            <v>49</v>
          </cell>
          <cell r="GO58" t="str">
            <v/>
          </cell>
          <cell r="GP58" t="str">
            <v/>
          </cell>
          <cell r="GQ58" t="str">
            <v/>
          </cell>
          <cell r="GR58" t="str">
            <v/>
          </cell>
        </row>
        <row r="59">
          <cell r="GN59">
            <v>50</v>
          </cell>
          <cell r="GO59" t="str">
            <v/>
          </cell>
          <cell r="GP59" t="str">
            <v/>
          </cell>
          <cell r="GQ59" t="str">
            <v/>
          </cell>
          <cell r="GR59" t="str">
            <v/>
          </cell>
        </row>
        <row r="60">
          <cell r="GN60">
            <v>51</v>
          </cell>
          <cell r="GO60" t="str">
            <v/>
          </cell>
          <cell r="GP60" t="str">
            <v/>
          </cell>
          <cell r="GQ60" t="str">
            <v/>
          </cell>
          <cell r="GR60" t="str">
            <v/>
          </cell>
        </row>
        <row r="61">
          <cell r="GN61">
            <v>52</v>
          </cell>
          <cell r="GO61" t="str">
            <v/>
          </cell>
          <cell r="GP61" t="str">
            <v/>
          </cell>
          <cell r="GQ61" t="str">
            <v/>
          </cell>
          <cell r="GR61" t="str">
            <v/>
          </cell>
        </row>
        <row r="62">
          <cell r="GN62">
            <v>53</v>
          </cell>
          <cell r="GO62" t="str">
            <v/>
          </cell>
          <cell r="GP62" t="str">
            <v/>
          </cell>
          <cell r="GQ62" t="str">
            <v/>
          </cell>
          <cell r="GR62" t="str">
            <v/>
          </cell>
        </row>
        <row r="63">
          <cell r="GN63">
            <v>54</v>
          </cell>
          <cell r="GO63" t="str">
            <v/>
          </cell>
          <cell r="GP63" t="str">
            <v/>
          </cell>
          <cell r="GQ63" t="str">
            <v/>
          </cell>
          <cell r="GR63" t="str">
            <v/>
          </cell>
        </row>
        <row r="64">
          <cell r="GN64">
            <v>55</v>
          </cell>
          <cell r="GO64" t="str">
            <v/>
          </cell>
          <cell r="GP64" t="str">
            <v/>
          </cell>
          <cell r="GQ64" t="str">
            <v/>
          </cell>
          <cell r="GR64" t="str">
            <v/>
          </cell>
        </row>
        <row r="65">
          <cell r="GN65">
            <v>56</v>
          </cell>
          <cell r="GO65" t="str">
            <v/>
          </cell>
          <cell r="GP65" t="str">
            <v/>
          </cell>
          <cell r="GQ65" t="str">
            <v/>
          </cell>
          <cell r="GR65" t="str">
            <v/>
          </cell>
        </row>
        <row r="66">
          <cell r="GN66">
            <v>57</v>
          </cell>
          <cell r="GO66" t="str">
            <v/>
          </cell>
          <cell r="GP66" t="str">
            <v/>
          </cell>
          <cell r="GQ66" t="str">
            <v/>
          </cell>
          <cell r="GR66" t="str">
            <v/>
          </cell>
        </row>
        <row r="67">
          <cell r="GN67">
            <v>58</v>
          </cell>
          <cell r="GO67" t="str">
            <v/>
          </cell>
          <cell r="GP67" t="str">
            <v/>
          </cell>
          <cell r="GQ67" t="str">
            <v/>
          </cell>
          <cell r="GR67" t="str">
            <v/>
          </cell>
        </row>
        <row r="68">
          <cell r="GN68">
            <v>59</v>
          </cell>
          <cell r="GO68" t="str">
            <v/>
          </cell>
          <cell r="GP68" t="str">
            <v/>
          </cell>
          <cell r="GQ68" t="str">
            <v/>
          </cell>
          <cell r="GR68" t="str">
            <v/>
          </cell>
        </row>
        <row r="69">
          <cell r="GN69">
            <v>60</v>
          </cell>
          <cell r="GO69" t="str">
            <v/>
          </cell>
          <cell r="GP69" t="str">
            <v/>
          </cell>
          <cell r="GQ69" t="str">
            <v/>
          </cell>
          <cell r="GR69" t="str">
            <v/>
          </cell>
        </row>
        <row r="70">
          <cell r="GN70">
            <v>61</v>
          </cell>
          <cell r="GO70" t="str">
            <v/>
          </cell>
          <cell r="GP70" t="str">
            <v/>
          </cell>
          <cell r="GQ70" t="str">
            <v/>
          </cell>
          <cell r="GR70" t="str">
            <v/>
          </cell>
        </row>
        <row r="71">
          <cell r="GN71">
            <v>62</v>
          </cell>
          <cell r="GO71" t="str">
            <v/>
          </cell>
          <cell r="GP71" t="str">
            <v/>
          </cell>
          <cell r="GQ71" t="str">
            <v/>
          </cell>
          <cell r="GR71" t="str">
            <v/>
          </cell>
        </row>
        <row r="72">
          <cell r="GN72">
            <v>63</v>
          </cell>
          <cell r="GO72" t="str">
            <v/>
          </cell>
          <cell r="GP72" t="str">
            <v/>
          </cell>
          <cell r="GQ72" t="str">
            <v/>
          </cell>
          <cell r="GR72" t="str">
            <v/>
          </cell>
        </row>
        <row r="73">
          <cell r="GN73">
            <v>64</v>
          </cell>
          <cell r="GO73" t="str">
            <v/>
          </cell>
          <cell r="GP73" t="str">
            <v/>
          </cell>
          <cell r="GQ73" t="str">
            <v/>
          </cell>
          <cell r="GR73" t="str">
            <v/>
          </cell>
        </row>
        <row r="74">
          <cell r="GN74">
            <v>65</v>
          </cell>
          <cell r="GO74" t="str">
            <v/>
          </cell>
          <cell r="GP74" t="str">
            <v/>
          </cell>
          <cell r="GQ74" t="str">
            <v/>
          </cell>
          <cell r="GR74" t="str">
            <v/>
          </cell>
        </row>
        <row r="75">
          <cell r="GN75">
            <v>66</v>
          </cell>
          <cell r="GO75" t="str">
            <v/>
          </cell>
          <cell r="GP75" t="str">
            <v/>
          </cell>
          <cell r="GQ75" t="str">
            <v/>
          </cell>
          <cell r="GR75" t="str">
            <v/>
          </cell>
        </row>
        <row r="76">
          <cell r="GN76">
            <v>67</v>
          </cell>
          <cell r="GO76" t="str">
            <v/>
          </cell>
          <cell r="GP76" t="str">
            <v/>
          </cell>
          <cell r="GQ76" t="str">
            <v/>
          </cell>
          <cell r="GR76" t="str">
            <v/>
          </cell>
        </row>
        <row r="77">
          <cell r="GN77">
            <v>68</v>
          </cell>
          <cell r="GO77" t="str">
            <v/>
          </cell>
          <cell r="GP77" t="str">
            <v/>
          </cell>
          <cell r="GQ77" t="str">
            <v/>
          </cell>
          <cell r="GR77" t="str">
            <v/>
          </cell>
        </row>
        <row r="78">
          <cell r="GN78">
            <v>69</v>
          </cell>
          <cell r="GO78" t="str">
            <v/>
          </cell>
          <cell r="GP78" t="str">
            <v/>
          </cell>
          <cell r="GQ78" t="str">
            <v/>
          </cell>
          <cell r="GR78" t="str">
            <v/>
          </cell>
        </row>
        <row r="79">
          <cell r="GN79">
            <v>70</v>
          </cell>
          <cell r="GO79" t="str">
            <v/>
          </cell>
          <cell r="GP79" t="str">
            <v/>
          </cell>
          <cell r="GQ79" t="str">
            <v/>
          </cell>
          <cell r="GR79" t="str">
            <v/>
          </cell>
        </row>
        <row r="80">
          <cell r="GN80">
            <v>71</v>
          </cell>
          <cell r="GO80" t="str">
            <v/>
          </cell>
          <cell r="GP80" t="str">
            <v/>
          </cell>
          <cell r="GQ80" t="str">
            <v/>
          </cell>
          <cell r="GR80" t="str">
            <v/>
          </cell>
        </row>
        <row r="81">
          <cell r="GN81">
            <v>72</v>
          </cell>
          <cell r="GO81" t="str">
            <v/>
          </cell>
          <cell r="GP81" t="str">
            <v/>
          </cell>
          <cell r="GQ81" t="str">
            <v/>
          </cell>
          <cell r="GR81" t="str">
            <v/>
          </cell>
        </row>
        <row r="82">
          <cell r="GN82">
            <v>73</v>
          </cell>
          <cell r="GO82" t="str">
            <v/>
          </cell>
          <cell r="GP82" t="str">
            <v/>
          </cell>
          <cell r="GQ82" t="str">
            <v/>
          </cell>
          <cell r="GR82" t="str">
            <v/>
          </cell>
        </row>
        <row r="83">
          <cell r="GN83">
            <v>74</v>
          </cell>
          <cell r="GO83" t="str">
            <v/>
          </cell>
          <cell r="GP83" t="str">
            <v/>
          </cell>
          <cell r="GQ83" t="str">
            <v/>
          </cell>
          <cell r="GR83" t="str">
            <v/>
          </cell>
        </row>
        <row r="84">
          <cell r="GN84">
            <v>75</v>
          </cell>
          <cell r="GO84" t="str">
            <v/>
          </cell>
          <cell r="GP84" t="str">
            <v/>
          </cell>
          <cell r="GQ84" t="str">
            <v/>
          </cell>
          <cell r="GR84" t="str">
            <v/>
          </cell>
        </row>
        <row r="85">
          <cell r="GN85">
            <v>76</v>
          </cell>
          <cell r="GO85" t="str">
            <v/>
          </cell>
          <cell r="GP85" t="str">
            <v/>
          </cell>
          <cell r="GQ85" t="str">
            <v/>
          </cell>
          <cell r="GR85" t="str">
            <v/>
          </cell>
        </row>
        <row r="86">
          <cell r="GN86">
            <v>77</v>
          </cell>
          <cell r="GO86" t="str">
            <v/>
          </cell>
          <cell r="GP86" t="str">
            <v/>
          </cell>
          <cell r="GQ86" t="str">
            <v/>
          </cell>
          <cell r="GR86" t="str">
            <v/>
          </cell>
        </row>
        <row r="87">
          <cell r="GN87">
            <v>78</v>
          </cell>
          <cell r="GO87" t="str">
            <v/>
          </cell>
          <cell r="GP87" t="str">
            <v/>
          </cell>
          <cell r="GQ87" t="str">
            <v/>
          </cell>
          <cell r="GR87" t="str">
            <v/>
          </cell>
        </row>
        <row r="88">
          <cell r="GN88">
            <v>79</v>
          </cell>
          <cell r="GO88" t="str">
            <v/>
          </cell>
          <cell r="GP88" t="str">
            <v/>
          </cell>
          <cell r="GQ88" t="str">
            <v/>
          </cell>
          <cell r="GR88" t="str">
            <v/>
          </cell>
        </row>
        <row r="89">
          <cell r="GN89">
            <v>80</v>
          </cell>
          <cell r="GO89" t="str">
            <v/>
          </cell>
          <cell r="GP89" t="str">
            <v/>
          </cell>
          <cell r="GQ89" t="str">
            <v/>
          </cell>
          <cell r="GR89" t="str">
            <v/>
          </cell>
        </row>
        <row r="90">
          <cell r="GN90">
            <v>81</v>
          </cell>
          <cell r="GO90" t="str">
            <v/>
          </cell>
          <cell r="GP90" t="str">
            <v/>
          </cell>
          <cell r="GQ90" t="str">
            <v/>
          </cell>
          <cell r="GR90" t="str">
            <v/>
          </cell>
        </row>
        <row r="91">
          <cell r="GN91">
            <v>82</v>
          </cell>
          <cell r="GO91" t="str">
            <v/>
          </cell>
          <cell r="GP91" t="str">
            <v/>
          </cell>
          <cell r="GQ91" t="str">
            <v/>
          </cell>
          <cell r="GR91" t="str">
            <v/>
          </cell>
        </row>
        <row r="92">
          <cell r="GN92">
            <v>83</v>
          </cell>
          <cell r="GO92" t="str">
            <v/>
          </cell>
          <cell r="GP92" t="str">
            <v/>
          </cell>
          <cell r="GQ92" t="str">
            <v/>
          </cell>
          <cell r="GR92" t="str">
            <v/>
          </cell>
        </row>
        <row r="93">
          <cell r="GN93">
            <v>84</v>
          </cell>
          <cell r="GO93" t="str">
            <v/>
          </cell>
          <cell r="GP93" t="str">
            <v/>
          </cell>
          <cell r="GQ93" t="str">
            <v/>
          </cell>
          <cell r="GR93" t="str">
            <v/>
          </cell>
        </row>
        <row r="94">
          <cell r="GN94">
            <v>85</v>
          </cell>
          <cell r="GO94" t="str">
            <v/>
          </cell>
          <cell r="GP94" t="str">
            <v/>
          </cell>
          <cell r="GQ94" t="str">
            <v/>
          </cell>
          <cell r="GR94" t="str">
            <v/>
          </cell>
        </row>
        <row r="95">
          <cell r="GN95">
            <v>86</v>
          </cell>
          <cell r="GO95" t="str">
            <v/>
          </cell>
          <cell r="GP95" t="str">
            <v/>
          </cell>
          <cell r="GQ95" t="str">
            <v/>
          </cell>
          <cell r="GR95" t="str">
            <v/>
          </cell>
        </row>
        <row r="96">
          <cell r="GN96">
            <v>87</v>
          </cell>
          <cell r="GO96" t="str">
            <v/>
          </cell>
          <cell r="GP96" t="str">
            <v/>
          </cell>
          <cell r="GQ96" t="str">
            <v/>
          </cell>
          <cell r="GR96" t="str">
            <v/>
          </cell>
        </row>
        <row r="97">
          <cell r="GN97">
            <v>88</v>
          </cell>
          <cell r="GO97" t="str">
            <v/>
          </cell>
          <cell r="GP97" t="str">
            <v/>
          </cell>
          <cell r="GQ97" t="str">
            <v/>
          </cell>
          <cell r="GR97" t="str">
            <v/>
          </cell>
        </row>
        <row r="98">
          <cell r="GN98">
            <v>89</v>
          </cell>
          <cell r="GO98" t="str">
            <v/>
          </cell>
          <cell r="GP98" t="str">
            <v/>
          </cell>
          <cell r="GQ98" t="str">
            <v/>
          </cell>
          <cell r="GR98" t="str">
            <v/>
          </cell>
        </row>
        <row r="99">
          <cell r="GN99">
            <v>90</v>
          </cell>
          <cell r="GO99" t="str">
            <v/>
          </cell>
          <cell r="GP99" t="str">
            <v/>
          </cell>
          <cell r="GQ99" t="str">
            <v/>
          </cell>
          <cell r="GR99" t="str">
            <v/>
          </cell>
        </row>
        <row r="100">
          <cell r="GN100">
            <v>91</v>
          </cell>
          <cell r="GO100" t="str">
            <v/>
          </cell>
          <cell r="GP100" t="str">
            <v/>
          </cell>
          <cell r="GQ100" t="str">
            <v/>
          </cell>
          <cell r="GR100" t="str">
            <v/>
          </cell>
        </row>
        <row r="101">
          <cell r="GN101">
            <v>92</v>
          </cell>
          <cell r="GO101" t="str">
            <v/>
          </cell>
          <cell r="GP101" t="str">
            <v/>
          </cell>
          <cell r="GQ101" t="str">
            <v/>
          </cell>
          <cell r="GR101" t="str">
            <v/>
          </cell>
        </row>
        <row r="102">
          <cell r="GN102">
            <v>93</v>
          </cell>
          <cell r="GO102" t="str">
            <v/>
          </cell>
          <cell r="GP102" t="str">
            <v/>
          </cell>
          <cell r="GQ102" t="str">
            <v/>
          </cell>
          <cell r="GR102" t="str">
            <v/>
          </cell>
        </row>
        <row r="103">
          <cell r="GN103">
            <v>94</v>
          </cell>
          <cell r="GO103" t="str">
            <v/>
          </cell>
          <cell r="GP103" t="str">
            <v/>
          </cell>
          <cell r="GQ103" t="str">
            <v/>
          </cell>
          <cell r="GR103" t="str">
            <v/>
          </cell>
        </row>
        <row r="104">
          <cell r="GN104">
            <v>95</v>
          </cell>
          <cell r="GO104" t="str">
            <v/>
          </cell>
          <cell r="GP104" t="str">
            <v/>
          </cell>
          <cell r="GQ104" t="str">
            <v/>
          </cell>
          <cell r="GR104" t="str">
            <v/>
          </cell>
        </row>
        <row r="105">
          <cell r="GN105">
            <v>96</v>
          </cell>
          <cell r="GO105" t="str">
            <v/>
          </cell>
          <cell r="GP105" t="str">
            <v/>
          </cell>
          <cell r="GQ105" t="str">
            <v/>
          </cell>
          <cell r="GR105" t="str">
            <v/>
          </cell>
        </row>
        <row r="106">
          <cell r="GN106">
            <v>97</v>
          </cell>
          <cell r="GO106" t="str">
            <v/>
          </cell>
          <cell r="GP106" t="str">
            <v/>
          </cell>
          <cell r="GQ106" t="str">
            <v/>
          </cell>
          <cell r="GR106" t="str">
            <v/>
          </cell>
        </row>
        <row r="107">
          <cell r="GN107">
            <v>98</v>
          </cell>
          <cell r="GO107" t="str">
            <v/>
          </cell>
          <cell r="GP107" t="str">
            <v/>
          </cell>
          <cell r="GQ107" t="str">
            <v/>
          </cell>
          <cell r="GR107" t="str">
            <v/>
          </cell>
        </row>
        <row r="108">
          <cell r="GN108">
            <v>99</v>
          </cell>
          <cell r="GO108" t="str">
            <v/>
          </cell>
          <cell r="GP108" t="str">
            <v/>
          </cell>
          <cell r="GQ108" t="str">
            <v/>
          </cell>
          <cell r="GR108" t="str">
            <v/>
          </cell>
        </row>
        <row r="109">
          <cell r="GN109">
            <v>100</v>
          </cell>
          <cell r="GO109" t="str">
            <v/>
          </cell>
          <cell r="GP109" t="str">
            <v/>
          </cell>
          <cell r="GQ109" t="str">
            <v/>
          </cell>
          <cell r="GR109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.alghauly@psau.edu.sa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37"/>
  <sheetViews>
    <sheetView tabSelected="1" topLeftCell="A15" workbookViewId="0">
      <selection activeCell="B15" sqref="B15:D15"/>
    </sheetView>
  </sheetViews>
  <sheetFormatPr defaultRowHeight="12.75"/>
  <cols>
    <col min="1" max="1" width="9" style="186"/>
    <col min="2" max="2" width="39" style="186" customWidth="1"/>
    <col min="3" max="3" width="67.5" style="186" customWidth="1"/>
    <col min="4" max="16384" width="9" style="186"/>
  </cols>
  <sheetData>
    <row r="1" spans="2:12" ht="13.5" thickBot="1"/>
    <row r="2" spans="2:12" ht="14.25" customHeight="1">
      <c r="B2" s="274" t="s">
        <v>233</v>
      </c>
      <c r="C2" s="275"/>
      <c r="D2" s="276"/>
    </row>
    <row r="3" spans="2:12" ht="20.25" customHeight="1">
      <c r="B3" s="271" t="s">
        <v>237</v>
      </c>
      <c r="C3" s="272"/>
      <c r="D3" s="273"/>
    </row>
    <row r="4" spans="2:12" ht="15.75" customHeight="1">
      <c r="B4" s="271"/>
      <c r="C4" s="272"/>
      <c r="D4" s="273"/>
    </row>
    <row r="5" spans="2:12" ht="18.75" customHeight="1">
      <c r="B5" s="271"/>
      <c r="C5" s="272"/>
      <c r="D5" s="273"/>
    </row>
    <row r="6" spans="2:12" ht="12.75" customHeight="1">
      <c r="B6" s="271"/>
      <c r="C6" s="272"/>
      <c r="D6" s="273"/>
    </row>
    <row r="7" spans="2:12" ht="18.75" customHeight="1">
      <c r="B7" s="271"/>
      <c r="C7" s="272"/>
      <c r="D7" s="273"/>
    </row>
    <row r="8" spans="2:12" ht="18.75" customHeight="1">
      <c r="B8" s="271"/>
      <c r="C8" s="272"/>
      <c r="D8" s="273"/>
    </row>
    <row r="9" spans="2:12" ht="18.75" customHeight="1">
      <c r="B9" s="256" t="s">
        <v>283</v>
      </c>
      <c r="C9" s="257"/>
      <c r="D9" s="258"/>
    </row>
    <row r="10" spans="2:12" ht="18.75" customHeight="1">
      <c r="B10" s="259" t="s">
        <v>235</v>
      </c>
      <c r="C10" s="260"/>
      <c r="D10" s="261"/>
    </row>
    <row r="11" spans="2:12" ht="18.75" customHeight="1">
      <c r="B11" s="262" t="s">
        <v>236</v>
      </c>
      <c r="C11" s="263"/>
      <c r="D11" s="264"/>
      <c r="L11" s="246"/>
    </row>
    <row r="12" spans="2:12" ht="34.5" customHeight="1">
      <c r="B12" s="265" t="s">
        <v>234</v>
      </c>
      <c r="C12" s="266"/>
      <c r="D12" s="267"/>
    </row>
    <row r="13" spans="2:12" ht="18.75" hidden="1">
      <c r="B13" s="254"/>
      <c r="C13" s="253"/>
      <c r="D13" s="255"/>
    </row>
    <row r="14" spans="2:12" ht="15.75" customHeight="1" thickBot="1">
      <c r="B14" s="268" t="s">
        <v>282</v>
      </c>
      <c r="C14" s="269"/>
      <c r="D14" s="270"/>
    </row>
    <row r="15" spans="2:12" ht="48" customHeight="1">
      <c r="B15" s="279" t="s">
        <v>298</v>
      </c>
      <c r="C15" s="280"/>
      <c r="D15" s="281"/>
    </row>
    <row r="16" spans="2:12" ht="15">
      <c r="B16" s="249" t="s">
        <v>221</v>
      </c>
      <c r="C16" s="247" t="s">
        <v>231</v>
      </c>
      <c r="D16" s="250" t="s">
        <v>230</v>
      </c>
    </row>
    <row r="17" spans="2:4" ht="15">
      <c r="B17" s="277" t="s">
        <v>222</v>
      </c>
      <c r="C17" s="247" t="s">
        <v>284</v>
      </c>
      <c r="D17" s="250" t="s">
        <v>230</v>
      </c>
    </row>
    <row r="18" spans="2:4" ht="15">
      <c r="B18" s="277"/>
      <c r="C18" s="247" t="s">
        <v>285</v>
      </c>
      <c r="D18" s="250" t="s">
        <v>230</v>
      </c>
    </row>
    <row r="19" spans="2:4" ht="15">
      <c r="B19" s="277"/>
      <c r="C19" s="247" t="s">
        <v>286</v>
      </c>
      <c r="D19" s="250" t="s">
        <v>230</v>
      </c>
    </row>
    <row r="20" spans="2:4" ht="15">
      <c r="B20" s="277"/>
      <c r="C20" s="247" t="s">
        <v>223</v>
      </c>
      <c r="D20" s="250" t="s">
        <v>230</v>
      </c>
    </row>
    <row r="21" spans="2:4" ht="15">
      <c r="B21" s="277"/>
      <c r="C21" s="247" t="s">
        <v>287</v>
      </c>
      <c r="D21" s="250" t="s">
        <v>230</v>
      </c>
    </row>
    <row r="22" spans="2:4" ht="15">
      <c r="B22" s="277"/>
      <c r="C22" s="247" t="s">
        <v>288</v>
      </c>
      <c r="D22" s="250" t="s">
        <v>230</v>
      </c>
    </row>
    <row r="23" spans="2:4" ht="15">
      <c r="B23" s="277"/>
      <c r="C23" s="247" t="s">
        <v>224</v>
      </c>
      <c r="D23" s="250" t="s">
        <v>230</v>
      </c>
    </row>
    <row r="24" spans="2:4" ht="15">
      <c r="B24" s="277"/>
      <c r="C24" s="247" t="s">
        <v>225</v>
      </c>
      <c r="D24" s="250" t="s">
        <v>230</v>
      </c>
    </row>
    <row r="25" spans="2:4" ht="15">
      <c r="B25" s="277"/>
      <c r="C25" s="247" t="s">
        <v>289</v>
      </c>
      <c r="D25" s="250" t="s">
        <v>230</v>
      </c>
    </row>
    <row r="26" spans="2:4" ht="15">
      <c r="B26" s="277" t="s">
        <v>226</v>
      </c>
      <c r="C26" s="247" t="s">
        <v>290</v>
      </c>
      <c r="D26" s="250" t="s">
        <v>230</v>
      </c>
    </row>
    <row r="27" spans="2:4" ht="15">
      <c r="B27" s="277"/>
      <c r="C27" s="247" t="s">
        <v>291</v>
      </c>
      <c r="D27" s="250" t="s">
        <v>230</v>
      </c>
    </row>
    <row r="28" spans="2:4" ht="15">
      <c r="B28" s="277"/>
      <c r="C28" s="247" t="s">
        <v>292</v>
      </c>
      <c r="D28" s="250" t="s">
        <v>230</v>
      </c>
    </row>
    <row r="29" spans="2:4" ht="15">
      <c r="B29" s="277" t="s">
        <v>227</v>
      </c>
      <c r="C29" s="247" t="s">
        <v>293</v>
      </c>
      <c r="D29" s="250" t="s">
        <v>230</v>
      </c>
    </row>
    <row r="30" spans="2:4" ht="15">
      <c r="B30" s="277"/>
      <c r="C30" s="247" t="s">
        <v>294</v>
      </c>
      <c r="D30" s="250" t="s">
        <v>230</v>
      </c>
    </row>
    <row r="31" spans="2:4" ht="19.5" customHeight="1">
      <c r="B31" s="277"/>
      <c r="C31" s="247" t="s">
        <v>295</v>
      </c>
      <c r="D31" s="250" t="s">
        <v>230</v>
      </c>
    </row>
    <row r="32" spans="2:4" ht="17.25" customHeight="1">
      <c r="B32" s="277" t="s">
        <v>229</v>
      </c>
      <c r="C32" s="248" t="s">
        <v>299</v>
      </c>
      <c r="D32" s="250" t="s">
        <v>230</v>
      </c>
    </row>
    <row r="33" spans="2:4" ht="30">
      <c r="B33" s="277"/>
      <c r="C33" s="248" t="s">
        <v>296</v>
      </c>
      <c r="D33" s="250" t="s">
        <v>230</v>
      </c>
    </row>
    <row r="34" spans="2:4" ht="15.75" thickBot="1">
      <c r="B34" s="278"/>
      <c r="C34" s="251" t="s">
        <v>297</v>
      </c>
      <c r="D34" s="252" t="s">
        <v>230</v>
      </c>
    </row>
    <row r="35" spans="2:4" ht="14.25">
      <c r="B35"/>
      <c r="D35"/>
    </row>
    <row r="36" spans="2:4" ht="14.25">
      <c r="B36"/>
      <c r="C36"/>
      <c r="D36"/>
    </row>
    <row r="37" spans="2:4" ht="14.25">
      <c r="B37"/>
      <c r="C37"/>
      <c r="D37"/>
    </row>
  </sheetData>
  <sheetProtection formatCells="0" formatColumns="0" formatRows="0" insertColumns="0" insertRows="0" insertHyperlinks="0" deleteColumns="0" deleteRows="0" sort="0" autoFilter="0" pivotTables="0"/>
  <mergeCells count="12">
    <mergeCell ref="B3:D8"/>
    <mergeCell ref="B2:D2"/>
    <mergeCell ref="B26:B28"/>
    <mergeCell ref="B29:B31"/>
    <mergeCell ref="B32:B34"/>
    <mergeCell ref="B17:B25"/>
    <mergeCell ref="B15:D15"/>
    <mergeCell ref="B9:D9"/>
    <mergeCell ref="B10:D10"/>
    <mergeCell ref="B11:D11"/>
    <mergeCell ref="B12:D12"/>
    <mergeCell ref="B14:D14"/>
  </mergeCells>
  <hyperlinks>
    <hyperlink ref="B14" r:id="rId1" display="mailto:a.alghauly@psau.edu.sa"/>
    <hyperlink ref="D17" location="'2.1(a,b,c)'!A1" display="Go"/>
    <hyperlink ref="D18" location="'2.1(a,b,c)'!K1" display="Go"/>
    <hyperlink ref="D19" location="'2.1(a,b,c)'!U1" display="Go"/>
    <hyperlink ref="D20" location="'2.2(a,b,c)'!A1" display="Go"/>
    <hyperlink ref="D21" location="'2.2(a,b,c)'!K1" display="Go"/>
    <hyperlink ref="D22" location="'2.3(a,b,c)'!U1" display="Go"/>
    <hyperlink ref="D23" location="'2.3(a,b,c)'!A1" display="Go"/>
    <hyperlink ref="D24" location="'2.3(a,b,c)'!K1" display="Go"/>
    <hyperlink ref="D25" location="'2.3(a,b,c)'!U1" display="Go"/>
    <hyperlink ref="D26" location="'3(a,b,c)'!A1" display="Go"/>
    <hyperlink ref="D27" location="'3(a,b,c)'!K1" display="Go"/>
    <hyperlink ref="D28" location="'3(a,b,c)'!U1" display="Go"/>
    <hyperlink ref="D29" location="'4(a,b,c)'!A1" display="Go"/>
    <hyperlink ref="D30" location="'4(a,b,c)'!K1" display="Go"/>
    <hyperlink ref="D31" location="'4(a,b,c)'!U1" display="Go"/>
    <hyperlink ref="D32" location="'5.a'!A1" display="Go"/>
    <hyperlink ref="D33" location="'5.b'!A1" display="Go"/>
    <hyperlink ref="D16" location="'1'!A1" display="Go"/>
    <hyperlink ref="D34" location="'5.c'!A1" display="Go"/>
  </hyperlinks>
  <pageMargins left="0.7" right="0.7" top="0.75" bottom="0.75" header="0.3" footer="0.3"/>
  <pageSetup paperSize="9" orientation="portrait" horizontalDpi="4294967292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O150"/>
  <sheetViews>
    <sheetView workbookViewId="0">
      <selection activeCell="B4" sqref="B4:I4"/>
    </sheetView>
  </sheetViews>
  <sheetFormatPr defaultRowHeight="14.25"/>
  <cols>
    <col min="3" max="3" width="12.625" bestFit="1" customWidth="1"/>
  </cols>
  <sheetData>
    <row r="2" spans="1:34" ht="18" customHeight="1">
      <c r="A2" s="282" t="s">
        <v>221</v>
      </c>
      <c r="B2" s="282"/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</row>
    <row r="3" spans="1:34" ht="18">
      <c r="A3" s="283" t="s">
        <v>231</v>
      </c>
      <c r="B3" s="283"/>
      <c r="C3" s="283"/>
      <c r="D3" s="283"/>
      <c r="E3" s="283"/>
      <c r="F3" s="283"/>
      <c r="G3" s="283"/>
      <c r="H3" s="283"/>
      <c r="I3" s="2"/>
    </row>
    <row r="4" spans="1:34" ht="15" thickBot="1">
      <c r="A4" s="171"/>
      <c r="B4" s="285" t="s">
        <v>0</v>
      </c>
      <c r="C4" s="285"/>
      <c r="D4" s="285"/>
      <c r="E4" s="285"/>
      <c r="F4" s="285"/>
      <c r="G4" s="285"/>
      <c r="H4" s="285"/>
      <c r="I4" s="285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</row>
    <row r="5" spans="1:34" ht="21" customHeight="1">
      <c r="A5" s="171"/>
      <c r="B5" s="172" t="s">
        <v>1</v>
      </c>
      <c r="C5" s="173" t="s">
        <v>2</v>
      </c>
      <c r="D5" s="286" t="s">
        <v>3</v>
      </c>
      <c r="E5" s="287"/>
      <c r="F5" s="287"/>
      <c r="G5" s="287"/>
      <c r="H5" s="287"/>
      <c r="I5" s="288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</row>
    <row r="6" spans="1:34" ht="32.25" customHeight="1">
      <c r="A6" s="171"/>
      <c r="B6" s="174" t="s">
        <v>4</v>
      </c>
      <c r="C6" s="174" t="s">
        <v>5</v>
      </c>
      <c r="D6" s="284" t="s">
        <v>6</v>
      </c>
      <c r="E6" s="284"/>
      <c r="F6" s="284"/>
      <c r="G6" s="284"/>
      <c r="H6" s="284"/>
      <c r="I6" s="284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</row>
    <row r="7" spans="1:34" ht="36" customHeight="1">
      <c r="A7" s="171"/>
      <c r="B7" s="174" t="s">
        <v>7</v>
      </c>
      <c r="C7" s="174" t="s">
        <v>8</v>
      </c>
      <c r="D7" s="284" t="s">
        <v>9</v>
      </c>
      <c r="E7" s="284"/>
      <c r="F7" s="284"/>
      <c r="G7" s="284"/>
      <c r="H7" s="284"/>
      <c r="I7" s="284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</row>
    <row r="8" spans="1:34" ht="24" customHeight="1">
      <c r="A8" s="171"/>
      <c r="B8" s="174" t="s">
        <v>10</v>
      </c>
      <c r="C8" s="174" t="s">
        <v>11</v>
      </c>
      <c r="D8" s="284" t="s">
        <v>12</v>
      </c>
      <c r="E8" s="284"/>
      <c r="F8" s="284"/>
      <c r="G8" s="284"/>
      <c r="H8" s="284"/>
      <c r="I8" s="284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</row>
    <row r="9" spans="1:34" ht="24" customHeight="1">
      <c r="A9" s="171"/>
      <c r="B9" s="174" t="s">
        <v>13</v>
      </c>
      <c r="C9" s="174" t="s">
        <v>14</v>
      </c>
      <c r="D9" s="284" t="s">
        <v>15</v>
      </c>
      <c r="E9" s="284"/>
      <c r="F9" s="284"/>
      <c r="G9" s="284"/>
      <c r="H9" s="284"/>
      <c r="I9" s="284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</row>
    <row r="10" spans="1:34" ht="36" customHeight="1">
      <c r="A10" s="171"/>
      <c r="B10" s="174" t="s">
        <v>16</v>
      </c>
      <c r="C10" s="174" t="s">
        <v>17</v>
      </c>
      <c r="D10" s="284" t="s">
        <v>18</v>
      </c>
      <c r="E10" s="284"/>
      <c r="F10" s="284"/>
      <c r="G10" s="284"/>
      <c r="H10" s="284"/>
      <c r="I10" s="284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</row>
    <row r="11" spans="1:34" ht="24" customHeight="1">
      <c r="A11" s="171"/>
      <c r="B11" s="174" t="s">
        <v>19</v>
      </c>
      <c r="C11" s="174" t="s">
        <v>20</v>
      </c>
      <c r="D11" s="284" t="s">
        <v>21</v>
      </c>
      <c r="E11" s="284"/>
      <c r="F11" s="284"/>
      <c r="G11" s="284"/>
      <c r="H11" s="284"/>
      <c r="I11" s="284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</row>
    <row r="12" spans="1:34">
      <c r="A12" s="171"/>
      <c r="B12" s="171"/>
      <c r="C12" s="171"/>
      <c r="D12" s="171"/>
      <c r="E12" s="171"/>
      <c r="F12" s="171"/>
      <c r="G12" s="171"/>
      <c r="H12" s="171"/>
      <c r="I12" s="171"/>
      <c r="J12" s="171"/>
      <c r="K12" s="245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</row>
    <row r="13" spans="1:34">
      <c r="A13" s="171"/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</row>
    <row r="14" spans="1:34">
      <c r="A14" s="175"/>
      <c r="B14" s="175"/>
      <c r="C14" s="176"/>
      <c r="D14" s="176"/>
      <c r="E14" s="176"/>
      <c r="F14" s="176"/>
      <c r="G14" s="176"/>
      <c r="H14" s="176"/>
      <c r="I14" s="176"/>
      <c r="J14" s="176"/>
      <c r="K14" s="175"/>
      <c r="L14" s="175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76"/>
      <c r="AA14" s="176"/>
      <c r="AB14" s="176"/>
      <c r="AC14" s="176"/>
      <c r="AD14" s="171"/>
      <c r="AE14" s="171"/>
      <c r="AF14" s="171"/>
      <c r="AG14" s="171"/>
      <c r="AH14" s="171"/>
    </row>
    <row r="15" spans="1:34" ht="15" thickBot="1">
      <c r="A15" s="177"/>
      <c r="B15" s="178" t="s">
        <v>22</v>
      </c>
      <c r="C15" s="177"/>
      <c r="D15" s="177"/>
      <c r="E15" s="177"/>
      <c r="F15" s="177"/>
      <c r="G15" s="177"/>
      <c r="H15" s="177"/>
      <c r="I15" s="177"/>
      <c r="J15" s="177"/>
      <c r="K15" s="177"/>
      <c r="L15" s="178" t="s">
        <v>23</v>
      </c>
      <c r="M15" s="177"/>
      <c r="N15" s="177"/>
      <c r="O15" s="177"/>
      <c r="P15" s="177"/>
      <c r="Q15" s="177"/>
      <c r="R15" s="177"/>
      <c r="S15" s="177"/>
      <c r="T15" s="177"/>
      <c r="U15" s="177"/>
      <c r="V15" s="178" t="s">
        <v>24</v>
      </c>
      <c r="W15" s="177"/>
      <c r="X15" s="177"/>
      <c r="Y15" s="177"/>
      <c r="Z15" s="177"/>
      <c r="AA15" s="177"/>
      <c r="AB15" s="177"/>
      <c r="AC15" s="177"/>
      <c r="AD15" s="171"/>
      <c r="AE15" s="171"/>
      <c r="AF15" s="171"/>
      <c r="AG15" s="171"/>
      <c r="AH15" s="171"/>
    </row>
    <row r="16" spans="1:34" ht="15" thickBot="1">
      <c r="A16" s="177"/>
      <c r="B16" s="179" t="s">
        <v>25</v>
      </c>
      <c r="C16" s="180" t="s">
        <v>5</v>
      </c>
      <c r="D16" s="180" t="s">
        <v>8</v>
      </c>
      <c r="E16" s="180" t="s">
        <v>11</v>
      </c>
      <c r="F16" s="180" t="s">
        <v>14</v>
      </c>
      <c r="G16" s="180" t="s">
        <v>17</v>
      </c>
      <c r="H16" s="180" t="s">
        <v>20</v>
      </c>
      <c r="I16" s="180" t="s">
        <v>26</v>
      </c>
      <c r="J16" s="177"/>
      <c r="K16" s="177"/>
      <c r="L16" s="179" t="s">
        <v>25</v>
      </c>
      <c r="M16" s="180" t="s">
        <v>5</v>
      </c>
      <c r="N16" s="180" t="s">
        <v>8</v>
      </c>
      <c r="O16" s="180" t="s">
        <v>11</v>
      </c>
      <c r="P16" s="180" t="s">
        <v>14</v>
      </c>
      <c r="Q16" s="180" t="s">
        <v>17</v>
      </c>
      <c r="R16" s="180" t="s">
        <v>20</v>
      </c>
      <c r="S16" s="180" t="s">
        <v>26</v>
      </c>
      <c r="T16" s="177"/>
      <c r="U16" s="177"/>
      <c r="V16" s="179" t="s">
        <v>25</v>
      </c>
      <c r="W16" s="180" t="s">
        <v>5</v>
      </c>
      <c r="X16" s="180" t="s">
        <v>8</v>
      </c>
      <c r="Y16" s="180" t="s">
        <v>11</v>
      </c>
      <c r="Z16" s="180" t="s">
        <v>14</v>
      </c>
      <c r="AA16" s="180" t="s">
        <v>17</v>
      </c>
      <c r="AB16" s="180" t="s">
        <v>20</v>
      </c>
      <c r="AC16" s="180" t="s">
        <v>26</v>
      </c>
      <c r="AD16" s="171"/>
      <c r="AE16" s="171"/>
      <c r="AF16" s="171"/>
      <c r="AG16" s="171"/>
      <c r="AH16" s="171"/>
    </row>
    <row r="17" spans="1:34" ht="15" thickBot="1">
      <c r="A17" s="177">
        <v>2</v>
      </c>
      <c r="B17" s="181" t="s">
        <v>27</v>
      </c>
      <c r="C17" s="182">
        <v>42</v>
      </c>
      <c r="D17" s="182">
        <v>45.4</v>
      </c>
      <c r="E17" s="182">
        <v>43.5</v>
      </c>
      <c r="F17" s="182">
        <v>37.799999999999997</v>
      </c>
      <c r="G17" s="182">
        <v>55</v>
      </c>
      <c r="H17" s="182">
        <v>53.7</v>
      </c>
      <c r="I17" s="183">
        <v>46.233333333333327</v>
      </c>
      <c r="J17" s="177"/>
      <c r="K17" s="177"/>
      <c r="L17" s="181" t="s">
        <v>27</v>
      </c>
      <c r="M17" s="182">
        <v>42</v>
      </c>
      <c r="N17" s="182">
        <v>40</v>
      </c>
      <c r="O17" s="182">
        <v>38.1</v>
      </c>
      <c r="P17" s="182">
        <v>47.4</v>
      </c>
      <c r="Q17" s="182">
        <v>52.1</v>
      </c>
      <c r="R17" s="182">
        <v>50.6</v>
      </c>
      <c r="S17" s="183">
        <v>45.033333333333331</v>
      </c>
      <c r="T17" s="177"/>
      <c r="U17" s="177"/>
      <c r="V17" s="181" t="s">
        <v>27</v>
      </c>
      <c r="W17" s="182">
        <v>42</v>
      </c>
      <c r="X17" s="182">
        <v>42.7</v>
      </c>
      <c r="Y17" s="182">
        <v>40.799999999999997</v>
      </c>
      <c r="Z17" s="182">
        <v>42.599999999999994</v>
      </c>
      <c r="AA17" s="182">
        <v>53.55</v>
      </c>
      <c r="AB17" s="182">
        <v>52.150000000000006</v>
      </c>
      <c r="AC17" s="183">
        <v>45.633333333333326</v>
      </c>
      <c r="AD17" s="171"/>
      <c r="AE17" s="171"/>
      <c r="AF17" s="171"/>
      <c r="AG17" s="171"/>
      <c r="AH17" s="171"/>
    </row>
    <row r="18" spans="1:34" ht="15" thickBot="1">
      <c r="A18" s="177">
        <v>4</v>
      </c>
      <c r="B18" s="181" t="s">
        <v>28</v>
      </c>
      <c r="C18" s="182">
        <v>19</v>
      </c>
      <c r="D18" s="182">
        <v>2.2000000000000002</v>
      </c>
      <c r="E18" s="182">
        <v>33.4</v>
      </c>
      <c r="F18" s="182">
        <v>15.5</v>
      </c>
      <c r="G18" s="182">
        <v>33</v>
      </c>
      <c r="H18" s="182">
        <v>79.900000000000006</v>
      </c>
      <c r="I18" s="183">
        <v>30.5</v>
      </c>
      <c r="J18" s="177"/>
      <c r="K18" s="177"/>
      <c r="L18" s="181" t="s">
        <v>28</v>
      </c>
      <c r="M18" s="182">
        <v>27.1</v>
      </c>
      <c r="N18" s="182">
        <v>2.2000000000000002</v>
      </c>
      <c r="O18" s="182">
        <v>39.5</v>
      </c>
      <c r="P18" s="182">
        <v>15.4</v>
      </c>
      <c r="Q18" s="182">
        <v>43.2</v>
      </c>
      <c r="R18" s="182">
        <v>80.5</v>
      </c>
      <c r="S18" s="183">
        <v>34.65</v>
      </c>
      <c r="T18" s="177"/>
      <c r="U18" s="177"/>
      <c r="V18" s="181" t="s">
        <v>28</v>
      </c>
      <c r="W18" s="182">
        <v>23.05</v>
      </c>
      <c r="X18" s="182">
        <v>2.2000000000000002</v>
      </c>
      <c r="Y18" s="182">
        <v>36.450000000000003</v>
      </c>
      <c r="Z18" s="182">
        <v>15.45</v>
      </c>
      <c r="AA18" s="182">
        <v>38.1</v>
      </c>
      <c r="AB18" s="182">
        <v>80.2</v>
      </c>
      <c r="AC18" s="183">
        <v>32.574999999999996</v>
      </c>
      <c r="AD18" s="171"/>
      <c r="AE18" s="171"/>
      <c r="AF18" s="171"/>
      <c r="AG18" s="171"/>
      <c r="AH18" s="171"/>
    </row>
    <row r="19" spans="1:34" ht="15" thickBot="1">
      <c r="A19" s="177">
        <v>8</v>
      </c>
      <c r="B19" s="181" t="s">
        <v>29</v>
      </c>
      <c r="C19" s="182">
        <v>75</v>
      </c>
      <c r="D19" s="182">
        <v>67.900000000000006</v>
      </c>
      <c r="E19" s="182">
        <v>72.599999999999994</v>
      </c>
      <c r="F19" s="182">
        <v>55</v>
      </c>
      <c r="G19" s="182">
        <v>58.7</v>
      </c>
      <c r="H19" s="182">
        <v>50.3</v>
      </c>
      <c r="I19" s="183">
        <v>63.25</v>
      </c>
      <c r="J19" s="177"/>
      <c r="K19" s="177"/>
      <c r="L19" s="181" t="s">
        <v>29</v>
      </c>
      <c r="M19" s="182">
        <v>79.3</v>
      </c>
      <c r="N19" s="182">
        <v>69.599999999999994</v>
      </c>
      <c r="O19" s="182">
        <v>56.3</v>
      </c>
      <c r="P19" s="182">
        <v>58.8</v>
      </c>
      <c r="Q19" s="182">
        <v>59.2</v>
      </c>
      <c r="R19" s="182">
        <v>47.6</v>
      </c>
      <c r="S19" s="183">
        <v>61.800000000000004</v>
      </c>
      <c r="T19" s="177"/>
      <c r="U19" s="177"/>
      <c r="V19" s="181" t="s">
        <v>29</v>
      </c>
      <c r="W19" s="182">
        <v>77.150000000000006</v>
      </c>
      <c r="X19" s="182">
        <v>68.75</v>
      </c>
      <c r="Y19" s="182">
        <v>64.449999999999989</v>
      </c>
      <c r="Z19" s="182">
        <v>56.9</v>
      </c>
      <c r="AA19" s="182">
        <v>58.95</v>
      </c>
      <c r="AB19" s="182">
        <v>48.95</v>
      </c>
      <c r="AC19" s="183">
        <v>62.524999999999999</v>
      </c>
      <c r="AD19" s="171"/>
      <c r="AE19" s="171"/>
      <c r="AF19" s="171"/>
      <c r="AG19" s="171"/>
      <c r="AH19" s="171"/>
    </row>
    <row r="20" spans="1:34" ht="15" thickBot="1">
      <c r="A20" s="177">
        <v>11</v>
      </c>
      <c r="B20" s="181" t="s">
        <v>30</v>
      </c>
      <c r="C20" s="182">
        <v>32.6</v>
      </c>
      <c r="D20" s="182">
        <v>21.7</v>
      </c>
      <c r="E20" s="182">
        <v>33.4</v>
      </c>
      <c r="F20" s="182">
        <v>21.7</v>
      </c>
      <c r="G20" s="182">
        <v>37.799999999999997</v>
      </c>
      <c r="H20" s="182">
        <v>57.8</v>
      </c>
      <c r="I20" s="183">
        <v>34.166666666666664</v>
      </c>
      <c r="J20" s="177"/>
      <c r="K20" s="177"/>
      <c r="L20" s="181" t="s">
        <v>30</v>
      </c>
      <c r="M20" s="182">
        <v>32.6</v>
      </c>
      <c r="N20" s="182">
        <v>21.7</v>
      </c>
      <c r="O20" s="182">
        <v>32.4</v>
      </c>
      <c r="P20" s="182">
        <v>24.1</v>
      </c>
      <c r="Q20" s="182">
        <v>38.4</v>
      </c>
      <c r="R20" s="182">
        <v>59.3</v>
      </c>
      <c r="S20" s="183">
        <v>34.75</v>
      </c>
      <c r="T20" s="177"/>
      <c r="U20" s="177"/>
      <c r="V20" s="181" t="s">
        <v>30</v>
      </c>
      <c r="W20" s="182">
        <v>32.6</v>
      </c>
      <c r="X20" s="182">
        <v>21.7</v>
      </c>
      <c r="Y20" s="182">
        <v>32.9</v>
      </c>
      <c r="Z20" s="182">
        <v>22.9</v>
      </c>
      <c r="AA20" s="182">
        <v>38.099999999999994</v>
      </c>
      <c r="AB20" s="182">
        <v>58.55</v>
      </c>
      <c r="AC20" s="183">
        <v>34.458333333333336</v>
      </c>
      <c r="AD20" s="171"/>
      <c r="AE20" s="171"/>
      <c r="AF20" s="171"/>
      <c r="AG20" s="171"/>
      <c r="AH20" s="171"/>
    </row>
    <row r="21" spans="1:34" ht="15" thickBot="1">
      <c r="A21" s="177">
        <v>16</v>
      </c>
      <c r="B21" s="181" t="s">
        <v>31</v>
      </c>
      <c r="C21" s="182">
        <v>31.2</v>
      </c>
      <c r="D21" s="182">
        <v>26.1</v>
      </c>
      <c r="E21" s="182">
        <v>49.4</v>
      </c>
      <c r="F21" s="182">
        <v>43.3</v>
      </c>
      <c r="G21" s="182">
        <v>46.7</v>
      </c>
      <c r="H21" s="182">
        <v>53.8</v>
      </c>
      <c r="I21" s="183">
        <v>41.75</v>
      </c>
      <c r="J21" s="177"/>
      <c r="K21" s="177"/>
      <c r="L21" s="181" t="s">
        <v>31</v>
      </c>
      <c r="M21" s="182">
        <v>34</v>
      </c>
      <c r="N21" s="182">
        <v>34.4</v>
      </c>
      <c r="O21" s="182">
        <v>42.2</v>
      </c>
      <c r="P21" s="182">
        <v>45.7</v>
      </c>
      <c r="Q21" s="182">
        <v>55.6</v>
      </c>
      <c r="R21" s="182">
        <v>51.6</v>
      </c>
      <c r="S21" s="183">
        <v>43.916666666666664</v>
      </c>
      <c r="T21" s="177"/>
      <c r="U21" s="177"/>
      <c r="V21" s="181" t="s">
        <v>31</v>
      </c>
      <c r="W21" s="182">
        <v>32.6</v>
      </c>
      <c r="X21" s="182">
        <v>30.25</v>
      </c>
      <c r="Y21" s="182">
        <v>45.8</v>
      </c>
      <c r="Z21" s="182">
        <v>44.5</v>
      </c>
      <c r="AA21" s="182">
        <v>51.150000000000006</v>
      </c>
      <c r="AB21" s="182">
        <v>52.7</v>
      </c>
      <c r="AC21" s="183">
        <v>42.833333333333336</v>
      </c>
      <c r="AD21" s="171"/>
      <c r="AE21" s="171"/>
      <c r="AF21" s="171"/>
      <c r="AG21" s="171"/>
      <c r="AH21" s="171"/>
    </row>
    <row r="22" spans="1:34" ht="15" thickBot="1">
      <c r="A22" s="177">
        <v>22</v>
      </c>
      <c r="B22" s="181" t="s">
        <v>32</v>
      </c>
      <c r="C22" s="182">
        <v>34.6</v>
      </c>
      <c r="D22" s="182">
        <v>13.3</v>
      </c>
      <c r="E22" s="182">
        <v>36</v>
      </c>
      <c r="F22" s="182">
        <v>39.299999999999997</v>
      </c>
      <c r="G22" s="182">
        <v>45.3</v>
      </c>
      <c r="H22" s="182">
        <v>49.9</v>
      </c>
      <c r="I22" s="183">
        <v>36.4</v>
      </c>
      <c r="J22" s="177"/>
      <c r="K22" s="177"/>
      <c r="L22" s="181" t="s">
        <v>32</v>
      </c>
      <c r="M22" s="182">
        <v>30.4</v>
      </c>
      <c r="N22" s="182">
        <v>13.9</v>
      </c>
      <c r="O22" s="182">
        <v>36.700000000000003</v>
      </c>
      <c r="P22" s="182">
        <v>41.7</v>
      </c>
      <c r="Q22" s="182">
        <v>38.9</v>
      </c>
      <c r="R22" s="182">
        <v>50.7</v>
      </c>
      <c r="S22" s="183">
        <v>35.383333333333333</v>
      </c>
      <c r="T22" s="177"/>
      <c r="U22" s="177"/>
      <c r="V22" s="181" t="s">
        <v>32</v>
      </c>
      <c r="W22" s="182">
        <v>32.5</v>
      </c>
      <c r="X22" s="182">
        <v>13.600000000000001</v>
      </c>
      <c r="Y22" s="182">
        <v>36.35</v>
      </c>
      <c r="Z22" s="182">
        <v>40.5</v>
      </c>
      <c r="AA22" s="182">
        <v>42.099999999999994</v>
      </c>
      <c r="AB22" s="182">
        <v>50.3</v>
      </c>
      <c r="AC22" s="183">
        <v>35.891666666666673</v>
      </c>
      <c r="AD22" s="171"/>
      <c r="AE22" s="171"/>
      <c r="AF22" s="171"/>
      <c r="AG22" s="171"/>
      <c r="AH22" s="171"/>
    </row>
    <row r="23" spans="1:34" ht="15" thickBot="1">
      <c r="A23" s="177">
        <v>65</v>
      </c>
      <c r="B23" s="181" t="s">
        <v>33</v>
      </c>
      <c r="C23" s="182">
        <v>51.1</v>
      </c>
      <c r="D23" s="182">
        <v>51.5</v>
      </c>
      <c r="E23" s="182">
        <v>43.8</v>
      </c>
      <c r="F23" s="182">
        <v>23.3</v>
      </c>
      <c r="G23" s="182">
        <v>67.5</v>
      </c>
      <c r="H23" s="182">
        <v>52</v>
      </c>
      <c r="I23" s="183">
        <v>48.199999999999996</v>
      </c>
      <c r="J23" s="177"/>
      <c r="K23" s="177"/>
      <c r="L23" s="181" t="s">
        <v>33</v>
      </c>
      <c r="M23" s="182">
        <v>55.2</v>
      </c>
      <c r="N23" s="182">
        <v>65.099999999999994</v>
      </c>
      <c r="O23" s="182">
        <v>46.1</v>
      </c>
      <c r="P23" s="182">
        <v>33.700000000000003</v>
      </c>
      <c r="Q23" s="182">
        <v>63.9</v>
      </c>
      <c r="R23" s="182">
        <v>51.6</v>
      </c>
      <c r="S23" s="183">
        <v>52.6</v>
      </c>
      <c r="T23" s="177"/>
      <c r="U23" s="177"/>
      <c r="V23" s="181" t="s">
        <v>33</v>
      </c>
      <c r="W23" s="182">
        <v>53.150000000000006</v>
      </c>
      <c r="X23" s="182">
        <v>58.3</v>
      </c>
      <c r="Y23" s="182">
        <v>44.95</v>
      </c>
      <c r="Z23" s="182">
        <v>28.5</v>
      </c>
      <c r="AA23" s="182">
        <v>65.7</v>
      </c>
      <c r="AB23" s="182">
        <v>51.8</v>
      </c>
      <c r="AC23" s="183">
        <v>50.400000000000006</v>
      </c>
      <c r="AD23" s="171"/>
      <c r="AE23" s="171"/>
      <c r="AF23" s="171"/>
      <c r="AG23" s="171"/>
      <c r="AH23" s="171"/>
    </row>
    <row r="24" spans="1:34" ht="15" thickBot="1">
      <c r="A24" s="177">
        <v>77</v>
      </c>
      <c r="B24" s="181" t="s">
        <v>34</v>
      </c>
      <c r="C24" s="182">
        <v>33.200000000000003</v>
      </c>
      <c r="D24" s="182">
        <v>32.200000000000003</v>
      </c>
      <c r="E24" s="182">
        <v>44.8</v>
      </c>
      <c r="F24" s="182">
        <v>47.5</v>
      </c>
      <c r="G24" s="182">
        <v>46.9</v>
      </c>
      <c r="H24" s="182">
        <v>80.7</v>
      </c>
      <c r="I24" s="183">
        <v>47.550000000000004</v>
      </c>
      <c r="J24" s="177"/>
      <c r="K24" s="177"/>
      <c r="L24" s="181" t="s">
        <v>34</v>
      </c>
      <c r="M24" s="182">
        <v>40</v>
      </c>
      <c r="N24" s="182">
        <v>36.4</v>
      </c>
      <c r="O24" s="182">
        <v>47.9</v>
      </c>
      <c r="P24" s="182">
        <v>52.2</v>
      </c>
      <c r="Q24" s="182">
        <v>34.4</v>
      </c>
      <c r="R24" s="182">
        <v>79.900000000000006</v>
      </c>
      <c r="S24" s="183">
        <v>48.466666666666669</v>
      </c>
      <c r="T24" s="177"/>
      <c r="U24" s="177"/>
      <c r="V24" s="181" t="s">
        <v>34</v>
      </c>
      <c r="W24" s="182">
        <v>36.6</v>
      </c>
      <c r="X24" s="182">
        <v>34.299999999999997</v>
      </c>
      <c r="Y24" s="182">
        <v>46.349999999999994</v>
      </c>
      <c r="Z24" s="182">
        <v>49.85</v>
      </c>
      <c r="AA24" s="182">
        <v>40.65</v>
      </c>
      <c r="AB24" s="182">
        <v>80.300000000000011</v>
      </c>
      <c r="AC24" s="183">
        <v>48.008333333333333</v>
      </c>
      <c r="AD24" s="171"/>
      <c r="AE24" s="171"/>
      <c r="AF24" s="171"/>
      <c r="AG24" s="171"/>
      <c r="AH24" s="171"/>
    </row>
    <row r="25" spans="1:34" ht="15" thickBot="1">
      <c r="A25" s="177">
        <v>83</v>
      </c>
      <c r="B25" s="181" t="s">
        <v>35</v>
      </c>
      <c r="C25" s="182">
        <v>41.6</v>
      </c>
      <c r="D25" s="182">
        <v>43.3</v>
      </c>
      <c r="E25" s="182">
        <v>52.6</v>
      </c>
      <c r="F25" s="182">
        <v>52.8</v>
      </c>
      <c r="G25" s="182">
        <v>43.4</v>
      </c>
      <c r="H25" s="182">
        <v>70.400000000000006</v>
      </c>
      <c r="I25" s="183">
        <v>50.683333333333337</v>
      </c>
      <c r="J25" s="177"/>
      <c r="K25" s="177"/>
      <c r="L25" s="181" t="s">
        <v>35</v>
      </c>
      <c r="M25" s="182">
        <v>41.6</v>
      </c>
      <c r="N25" s="182">
        <v>46.7</v>
      </c>
      <c r="O25" s="182">
        <v>44.4</v>
      </c>
      <c r="P25" s="182">
        <v>55.2</v>
      </c>
      <c r="Q25" s="182">
        <v>30.9</v>
      </c>
      <c r="R25" s="182">
        <v>64.2</v>
      </c>
      <c r="S25" s="183">
        <v>47.166666666666679</v>
      </c>
      <c r="T25" s="177"/>
      <c r="U25" s="177"/>
      <c r="V25" s="181" t="s">
        <v>35</v>
      </c>
      <c r="W25" s="182">
        <v>41.6</v>
      </c>
      <c r="X25" s="182">
        <v>45</v>
      </c>
      <c r="Y25" s="182">
        <v>48.5</v>
      </c>
      <c r="Z25" s="182">
        <v>54</v>
      </c>
      <c r="AA25" s="182">
        <v>37.15</v>
      </c>
      <c r="AB25" s="182">
        <v>67.300000000000011</v>
      </c>
      <c r="AC25" s="183">
        <v>48.925000000000004</v>
      </c>
      <c r="AD25" s="171"/>
      <c r="AE25" s="171"/>
      <c r="AF25" s="171"/>
      <c r="AG25" s="171"/>
      <c r="AH25" s="171"/>
    </row>
    <row r="26" spans="1:34" ht="15" thickBot="1">
      <c r="A26" s="177">
        <v>88</v>
      </c>
      <c r="B26" s="181" t="s">
        <v>36</v>
      </c>
      <c r="C26" s="182">
        <v>55</v>
      </c>
      <c r="D26" s="182">
        <v>22.4</v>
      </c>
      <c r="E26" s="182">
        <v>39.700000000000003</v>
      </c>
      <c r="F26" s="182">
        <v>32.299999999999997</v>
      </c>
      <c r="G26" s="182">
        <v>58.7</v>
      </c>
      <c r="H26" s="182">
        <v>60.5</v>
      </c>
      <c r="I26" s="183">
        <v>44.766666666666673</v>
      </c>
      <c r="J26" s="177"/>
      <c r="K26" s="177"/>
      <c r="L26" s="181" t="s">
        <v>36</v>
      </c>
      <c r="M26" s="182">
        <v>54.9</v>
      </c>
      <c r="N26" s="182">
        <v>29.2</v>
      </c>
      <c r="O26" s="182">
        <v>36.5</v>
      </c>
      <c r="P26" s="182">
        <v>34.6</v>
      </c>
      <c r="Q26" s="182">
        <v>58.7</v>
      </c>
      <c r="R26" s="182">
        <v>62.9</v>
      </c>
      <c r="S26" s="183">
        <v>46.133333333333326</v>
      </c>
      <c r="T26" s="177"/>
      <c r="U26" s="177"/>
      <c r="V26" s="181" t="s">
        <v>36</v>
      </c>
      <c r="W26" s="182">
        <v>54.95</v>
      </c>
      <c r="X26" s="182">
        <v>25.799999999999997</v>
      </c>
      <c r="Y26" s="182">
        <v>38.1</v>
      </c>
      <c r="Z26" s="182">
        <v>33.450000000000003</v>
      </c>
      <c r="AA26" s="182">
        <v>58.7</v>
      </c>
      <c r="AB26" s="182">
        <v>61.7</v>
      </c>
      <c r="AC26" s="183">
        <v>45.449999999999996</v>
      </c>
      <c r="AD26" s="171"/>
      <c r="AE26" s="171"/>
      <c r="AF26" s="171"/>
      <c r="AG26" s="171"/>
      <c r="AH26" s="171"/>
    </row>
    <row r="27" spans="1:34" ht="15" thickBot="1">
      <c r="A27" s="177">
        <v>92</v>
      </c>
      <c r="B27" s="181" t="s">
        <v>37</v>
      </c>
      <c r="C27" s="182">
        <v>27.5</v>
      </c>
      <c r="D27" s="182">
        <v>26.7</v>
      </c>
      <c r="E27" s="182">
        <v>36.5</v>
      </c>
      <c r="F27" s="182">
        <v>40.5</v>
      </c>
      <c r="G27" s="182">
        <v>67</v>
      </c>
      <c r="H27" s="182">
        <v>60.1</v>
      </c>
      <c r="I27" s="183">
        <v>43.050000000000004</v>
      </c>
      <c r="J27" s="177"/>
      <c r="K27" s="177"/>
      <c r="L27" s="181" t="s">
        <v>37</v>
      </c>
      <c r="M27" s="182">
        <v>27.8</v>
      </c>
      <c r="N27" s="182">
        <v>26.7</v>
      </c>
      <c r="O27" s="182">
        <v>32.799999999999997</v>
      </c>
      <c r="P27" s="182">
        <v>40.4</v>
      </c>
      <c r="Q27" s="182">
        <v>66.099999999999994</v>
      </c>
      <c r="R27" s="182">
        <v>60.4</v>
      </c>
      <c r="S27" s="183">
        <v>42.366666666666667</v>
      </c>
      <c r="T27" s="177"/>
      <c r="U27" s="177"/>
      <c r="V27" s="181" t="s">
        <v>37</v>
      </c>
      <c r="W27" s="182">
        <v>27.65</v>
      </c>
      <c r="X27" s="182">
        <v>26.7</v>
      </c>
      <c r="Y27" s="182">
        <v>34.65</v>
      </c>
      <c r="Z27" s="182">
        <v>40.450000000000003</v>
      </c>
      <c r="AA27" s="182">
        <v>66.55</v>
      </c>
      <c r="AB27" s="182">
        <v>60.25</v>
      </c>
      <c r="AC27" s="183">
        <v>42.708333333333336</v>
      </c>
      <c r="AD27" s="171"/>
      <c r="AE27" s="171"/>
      <c r="AF27" s="171"/>
      <c r="AG27" s="171"/>
      <c r="AH27" s="171"/>
    </row>
    <row r="28" spans="1:34" ht="15" thickBot="1">
      <c r="A28" s="177">
        <v>99</v>
      </c>
      <c r="B28" s="181" t="s">
        <v>38</v>
      </c>
      <c r="C28" s="182">
        <v>32.799999999999997</v>
      </c>
      <c r="D28" s="182">
        <v>17.100000000000001</v>
      </c>
      <c r="E28" s="182">
        <v>42.9</v>
      </c>
      <c r="F28" s="182">
        <v>44.3</v>
      </c>
      <c r="G28" s="182">
        <v>50</v>
      </c>
      <c r="H28" s="182">
        <v>83.1</v>
      </c>
      <c r="I28" s="183">
        <v>45.033333333333331</v>
      </c>
      <c r="J28" s="177"/>
      <c r="K28" s="177"/>
      <c r="L28" s="181" t="s">
        <v>38</v>
      </c>
      <c r="M28" s="182">
        <v>41.2</v>
      </c>
      <c r="N28" s="182">
        <v>17.100000000000001</v>
      </c>
      <c r="O28" s="182">
        <v>37.700000000000003</v>
      </c>
      <c r="P28" s="182">
        <v>46.6</v>
      </c>
      <c r="Q28" s="182">
        <v>51.4</v>
      </c>
      <c r="R28" s="182">
        <v>84.4</v>
      </c>
      <c r="S28" s="183">
        <v>46.4</v>
      </c>
      <c r="T28" s="177"/>
      <c r="U28" s="177"/>
      <c r="V28" s="181" t="s">
        <v>38</v>
      </c>
      <c r="W28" s="182">
        <v>37</v>
      </c>
      <c r="X28" s="182">
        <v>17.100000000000001</v>
      </c>
      <c r="Y28" s="182">
        <v>40.299999999999997</v>
      </c>
      <c r="Z28" s="182">
        <v>45.45</v>
      </c>
      <c r="AA28" s="182">
        <v>50.7</v>
      </c>
      <c r="AB28" s="182">
        <v>83.75</v>
      </c>
      <c r="AC28" s="183">
        <v>45.716666666666669</v>
      </c>
      <c r="AD28" s="171"/>
      <c r="AE28" s="171"/>
      <c r="AF28" s="171"/>
      <c r="AG28" s="171"/>
      <c r="AH28" s="171"/>
    </row>
    <row r="29" spans="1:34" ht="15" thickBot="1">
      <c r="A29" s="177">
        <v>113</v>
      </c>
      <c r="B29" s="181" t="s">
        <v>39</v>
      </c>
      <c r="C29" s="182">
        <v>37.299999999999997</v>
      </c>
      <c r="D29" s="182">
        <v>34.200000000000003</v>
      </c>
      <c r="E29" s="182">
        <v>40</v>
      </c>
      <c r="F29" s="182">
        <v>46.8</v>
      </c>
      <c r="G29" s="182">
        <v>38.9</v>
      </c>
      <c r="H29" s="182">
        <v>47.5</v>
      </c>
      <c r="I29" s="183">
        <v>40.783333333333339</v>
      </c>
      <c r="J29" s="177"/>
      <c r="K29" s="177"/>
      <c r="L29" s="181" t="s">
        <v>39</v>
      </c>
      <c r="M29" s="182">
        <v>41.6</v>
      </c>
      <c r="N29" s="182">
        <v>34.200000000000003</v>
      </c>
      <c r="O29" s="182">
        <v>35.700000000000003</v>
      </c>
      <c r="P29" s="182">
        <v>48.3</v>
      </c>
      <c r="Q29" s="182">
        <v>38.9</v>
      </c>
      <c r="R29" s="182">
        <v>47.5</v>
      </c>
      <c r="S29" s="183">
        <v>41.033333333333339</v>
      </c>
      <c r="T29" s="177"/>
      <c r="U29" s="177"/>
      <c r="V29" s="181" t="s">
        <v>39</v>
      </c>
      <c r="W29" s="182">
        <v>39.450000000000003</v>
      </c>
      <c r="X29" s="182">
        <v>34.200000000000003</v>
      </c>
      <c r="Y29" s="182">
        <v>37.85</v>
      </c>
      <c r="Z29" s="182">
        <v>47.55</v>
      </c>
      <c r="AA29" s="182">
        <v>38.9</v>
      </c>
      <c r="AB29" s="182">
        <v>47.5</v>
      </c>
      <c r="AC29" s="183">
        <v>40.908333333333339</v>
      </c>
      <c r="AD29" s="171"/>
      <c r="AE29" s="171"/>
      <c r="AF29" s="171"/>
      <c r="AG29" s="171"/>
      <c r="AH29" s="171"/>
    </row>
    <row r="30" spans="1:34" ht="15" thickBot="1">
      <c r="A30" s="177">
        <v>114</v>
      </c>
      <c r="B30" s="181" t="s">
        <v>40</v>
      </c>
      <c r="C30" s="182">
        <v>7.5</v>
      </c>
      <c r="D30" s="182">
        <v>20.6</v>
      </c>
      <c r="E30" s="182">
        <v>30.8</v>
      </c>
      <c r="F30" s="182">
        <v>40.9</v>
      </c>
      <c r="G30" s="182">
        <v>26.9</v>
      </c>
      <c r="H30" s="182">
        <v>76</v>
      </c>
      <c r="I30" s="183">
        <v>33.783333333333339</v>
      </c>
      <c r="J30" s="177"/>
      <c r="K30" s="177"/>
      <c r="L30" s="181" t="s">
        <v>40</v>
      </c>
      <c r="M30" s="182">
        <v>7.5</v>
      </c>
      <c r="N30" s="182">
        <v>20.6</v>
      </c>
      <c r="O30" s="182">
        <v>35.6</v>
      </c>
      <c r="P30" s="182">
        <v>40.9</v>
      </c>
      <c r="Q30" s="182">
        <v>19.100000000000001</v>
      </c>
      <c r="R30" s="182">
        <v>76</v>
      </c>
      <c r="S30" s="183">
        <v>33.283333333333331</v>
      </c>
      <c r="T30" s="177"/>
      <c r="U30" s="177"/>
      <c r="V30" s="181" t="s">
        <v>40</v>
      </c>
      <c r="W30" s="182">
        <v>7.5</v>
      </c>
      <c r="X30" s="182">
        <v>20.6</v>
      </c>
      <c r="Y30" s="182">
        <v>33.200000000000003</v>
      </c>
      <c r="Z30" s="182">
        <v>40.9</v>
      </c>
      <c r="AA30" s="182">
        <v>23</v>
      </c>
      <c r="AB30" s="182">
        <v>76</v>
      </c>
      <c r="AC30" s="183">
        <v>33.533333333333331</v>
      </c>
      <c r="AD30" s="171"/>
      <c r="AE30" s="171"/>
      <c r="AF30" s="171"/>
      <c r="AG30" s="171"/>
      <c r="AH30" s="171"/>
    </row>
    <row r="31" spans="1:34" ht="15" thickBot="1">
      <c r="A31" s="177">
        <v>116</v>
      </c>
      <c r="B31" s="181" t="s">
        <v>41</v>
      </c>
      <c r="C31" s="182">
        <v>36.299999999999997</v>
      </c>
      <c r="D31" s="182">
        <v>17.5</v>
      </c>
      <c r="E31" s="182">
        <v>42.3</v>
      </c>
      <c r="F31" s="182">
        <v>37</v>
      </c>
      <c r="G31" s="182">
        <v>54</v>
      </c>
      <c r="H31" s="182">
        <v>57.6</v>
      </c>
      <c r="I31" s="183">
        <v>40.783333333333331</v>
      </c>
      <c r="J31" s="177"/>
      <c r="K31" s="177"/>
      <c r="L31" s="181" t="s">
        <v>41</v>
      </c>
      <c r="M31" s="182">
        <v>33.799999999999997</v>
      </c>
      <c r="N31" s="182">
        <v>32.1</v>
      </c>
      <c r="O31" s="182">
        <v>39.700000000000003</v>
      </c>
      <c r="P31" s="182">
        <v>41.7</v>
      </c>
      <c r="Q31" s="182">
        <v>59.2</v>
      </c>
      <c r="R31" s="182">
        <v>57.9</v>
      </c>
      <c r="S31" s="183">
        <v>44.066666666666663</v>
      </c>
      <c r="T31" s="177"/>
      <c r="U31" s="177"/>
      <c r="V31" s="181" t="s">
        <v>41</v>
      </c>
      <c r="W31" s="182">
        <v>35.049999999999997</v>
      </c>
      <c r="X31" s="182">
        <v>24.8</v>
      </c>
      <c r="Y31" s="182">
        <v>41</v>
      </c>
      <c r="Z31" s="182">
        <v>39.35</v>
      </c>
      <c r="AA31" s="182">
        <v>56.6</v>
      </c>
      <c r="AB31" s="182">
        <v>57.75</v>
      </c>
      <c r="AC31" s="183">
        <v>42.424999999999997</v>
      </c>
      <c r="AD31" s="171"/>
      <c r="AE31" s="171"/>
      <c r="AF31" s="171"/>
      <c r="AG31" s="171"/>
      <c r="AH31" s="171"/>
    </row>
    <row r="32" spans="1:34" ht="15" thickBot="1">
      <c r="A32" s="177">
        <v>130</v>
      </c>
      <c r="B32" s="181" t="s">
        <v>42</v>
      </c>
      <c r="C32" s="182">
        <v>39.9</v>
      </c>
      <c r="D32" s="182">
        <v>30.8</v>
      </c>
      <c r="E32" s="182">
        <v>40.200000000000003</v>
      </c>
      <c r="F32" s="182">
        <v>28.8</v>
      </c>
      <c r="G32" s="182">
        <v>43.2</v>
      </c>
      <c r="H32" s="182">
        <v>57.6</v>
      </c>
      <c r="I32" s="183">
        <v>40.083333333333336</v>
      </c>
      <c r="J32" s="177"/>
      <c r="K32" s="177"/>
      <c r="L32" s="181" t="s">
        <v>42</v>
      </c>
      <c r="M32" s="182">
        <v>35.700000000000003</v>
      </c>
      <c r="N32" s="182">
        <v>37.1</v>
      </c>
      <c r="O32" s="182">
        <v>35.200000000000003</v>
      </c>
      <c r="P32" s="182">
        <v>38.299999999999997</v>
      </c>
      <c r="Q32" s="182">
        <v>47.4</v>
      </c>
      <c r="R32" s="182">
        <v>59.7</v>
      </c>
      <c r="S32" s="183">
        <v>42.233333333333341</v>
      </c>
      <c r="T32" s="177"/>
      <c r="U32" s="177"/>
      <c r="V32" s="181" t="s">
        <v>42</v>
      </c>
      <c r="W32" s="182">
        <v>37.799999999999997</v>
      </c>
      <c r="X32" s="182">
        <v>33.950000000000003</v>
      </c>
      <c r="Y32" s="182">
        <v>37.700000000000003</v>
      </c>
      <c r="Z32" s="182">
        <v>33.549999999999997</v>
      </c>
      <c r="AA32" s="182">
        <v>45.3</v>
      </c>
      <c r="AB32" s="182">
        <v>58.650000000000006</v>
      </c>
      <c r="AC32" s="183">
        <v>41.158333333333339</v>
      </c>
      <c r="AD32" s="171"/>
      <c r="AE32" s="171"/>
      <c r="AF32" s="171"/>
      <c r="AG32" s="171"/>
      <c r="AH32" s="171"/>
    </row>
    <row r="33" spans="1:34" ht="15" thickBot="1">
      <c r="A33" s="177">
        <v>131</v>
      </c>
      <c r="B33" s="181" t="s">
        <v>43</v>
      </c>
      <c r="C33" s="182">
        <v>49.6</v>
      </c>
      <c r="D33" s="182">
        <v>52.5</v>
      </c>
      <c r="E33" s="182">
        <v>68.099999999999994</v>
      </c>
      <c r="F33" s="182">
        <v>45.1</v>
      </c>
      <c r="G33" s="182">
        <v>64.8</v>
      </c>
      <c r="H33" s="182">
        <v>88.2</v>
      </c>
      <c r="I33" s="183">
        <v>61.383333333333326</v>
      </c>
      <c r="J33" s="177"/>
      <c r="K33" s="177"/>
      <c r="L33" s="181" t="s">
        <v>43</v>
      </c>
      <c r="M33" s="182">
        <v>53.8</v>
      </c>
      <c r="N33" s="182">
        <v>46.3</v>
      </c>
      <c r="O33" s="182">
        <v>57.5</v>
      </c>
      <c r="P33" s="182">
        <v>45</v>
      </c>
      <c r="Q33" s="182">
        <v>69.400000000000006</v>
      </c>
      <c r="R33" s="182">
        <v>89</v>
      </c>
      <c r="S33" s="183">
        <v>60.166666666666664</v>
      </c>
      <c r="T33" s="177"/>
      <c r="U33" s="177"/>
      <c r="V33" s="181" t="s">
        <v>43</v>
      </c>
      <c r="W33" s="182">
        <v>51.7</v>
      </c>
      <c r="X33" s="182">
        <v>49.4</v>
      </c>
      <c r="Y33" s="182">
        <v>62.8</v>
      </c>
      <c r="Z33" s="182">
        <v>45.05</v>
      </c>
      <c r="AA33" s="182">
        <v>67.099999999999994</v>
      </c>
      <c r="AB33" s="182">
        <v>88.6</v>
      </c>
      <c r="AC33" s="183">
        <v>60.774999999999999</v>
      </c>
      <c r="AD33" s="171"/>
      <c r="AE33" s="171"/>
      <c r="AF33" s="171"/>
      <c r="AG33" s="171"/>
      <c r="AH33" s="171"/>
    </row>
    <row r="34" spans="1:34" ht="15" thickBot="1">
      <c r="A34" s="177">
        <v>144</v>
      </c>
      <c r="B34" s="181" t="s">
        <v>44</v>
      </c>
      <c r="C34" s="182">
        <v>42.1</v>
      </c>
      <c r="D34" s="182">
        <v>35.299999999999997</v>
      </c>
      <c r="E34" s="182">
        <v>54.7</v>
      </c>
      <c r="F34" s="182">
        <v>49.6</v>
      </c>
      <c r="G34" s="182">
        <v>51.4</v>
      </c>
      <c r="H34" s="182">
        <v>49.6</v>
      </c>
      <c r="I34" s="183">
        <v>47.116666666666674</v>
      </c>
      <c r="J34" s="177"/>
      <c r="K34" s="177"/>
      <c r="L34" s="181" t="s">
        <v>44</v>
      </c>
      <c r="M34" s="182">
        <v>45.5</v>
      </c>
      <c r="N34" s="182">
        <v>43.6</v>
      </c>
      <c r="O34" s="182">
        <v>44.7</v>
      </c>
      <c r="P34" s="182">
        <v>58.9</v>
      </c>
      <c r="Q34" s="182">
        <v>51.4</v>
      </c>
      <c r="R34" s="182">
        <v>50.5</v>
      </c>
      <c r="S34" s="183">
        <v>49.1</v>
      </c>
      <c r="T34" s="177"/>
      <c r="U34" s="177"/>
      <c r="V34" s="181" t="s">
        <v>44</v>
      </c>
      <c r="W34" s="182">
        <v>43.8</v>
      </c>
      <c r="X34" s="182">
        <v>39.450000000000003</v>
      </c>
      <c r="Y34" s="182">
        <v>49.7</v>
      </c>
      <c r="Z34" s="182">
        <v>54.25</v>
      </c>
      <c r="AA34" s="182">
        <v>51.4</v>
      </c>
      <c r="AB34" s="182">
        <v>50.05</v>
      </c>
      <c r="AC34" s="183">
        <v>48.108333333333327</v>
      </c>
      <c r="AD34" s="171"/>
      <c r="AE34" s="171"/>
      <c r="AF34" s="171"/>
      <c r="AG34" s="171"/>
      <c r="AH34" s="171"/>
    </row>
    <row r="35" spans="1:34" ht="15" thickBot="1">
      <c r="A35" s="177">
        <v>147</v>
      </c>
      <c r="B35" s="181" t="s">
        <v>45</v>
      </c>
      <c r="C35" s="182">
        <v>17.399999999999999</v>
      </c>
      <c r="D35" s="182">
        <v>17.2</v>
      </c>
      <c r="E35" s="182">
        <v>28.8</v>
      </c>
      <c r="F35" s="182">
        <v>28.6</v>
      </c>
      <c r="G35" s="182">
        <v>26.6</v>
      </c>
      <c r="H35" s="182">
        <v>74.5</v>
      </c>
      <c r="I35" s="183">
        <v>32.18333333333333</v>
      </c>
      <c r="J35" s="177"/>
      <c r="K35" s="177"/>
      <c r="L35" s="181" t="s">
        <v>45</v>
      </c>
      <c r="M35" s="182">
        <v>17.399999999999999</v>
      </c>
      <c r="N35" s="182">
        <v>21.4</v>
      </c>
      <c r="O35" s="182">
        <v>36.6</v>
      </c>
      <c r="P35" s="182">
        <v>28.6</v>
      </c>
      <c r="Q35" s="182">
        <v>18.8</v>
      </c>
      <c r="R35" s="182">
        <v>74.7</v>
      </c>
      <c r="S35" s="183">
        <v>32.916666666666664</v>
      </c>
      <c r="T35" s="177"/>
      <c r="U35" s="177"/>
      <c r="V35" s="181" t="s">
        <v>45</v>
      </c>
      <c r="W35" s="182">
        <v>17.399999999999999</v>
      </c>
      <c r="X35" s="182">
        <v>19.299999999999997</v>
      </c>
      <c r="Y35" s="182">
        <v>32.700000000000003</v>
      </c>
      <c r="Z35" s="182">
        <v>28.6</v>
      </c>
      <c r="AA35" s="182">
        <v>22.700000000000003</v>
      </c>
      <c r="AB35" s="182">
        <v>74.599999999999994</v>
      </c>
      <c r="AC35" s="183">
        <v>32.550000000000004</v>
      </c>
      <c r="AD35" s="171"/>
      <c r="AE35" s="171"/>
      <c r="AF35" s="171"/>
      <c r="AG35" s="171"/>
      <c r="AH35" s="171"/>
    </row>
    <row r="36" spans="1:34" ht="15" thickBot="1">
      <c r="A36" s="177">
        <v>151</v>
      </c>
      <c r="B36" s="181" t="s">
        <v>46</v>
      </c>
      <c r="C36" s="182">
        <v>44</v>
      </c>
      <c r="D36" s="182">
        <v>28.6</v>
      </c>
      <c r="E36" s="182">
        <v>41.2</v>
      </c>
      <c r="F36" s="182">
        <v>46.2</v>
      </c>
      <c r="G36" s="182">
        <v>50.9</v>
      </c>
      <c r="H36" s="182">
        <v>58.9</v>
      </c>
      <c r="I36" s="183">
        <v>44.966666666666669</v>
      </c>
      <c r="J36" s="177"/>
      <c r="K36" s="177"/>
      <c r="L36" s="181" t="s">
        <v>46</v>
      </c>
      <c r="M36" s="182">
        <v>44</v>
      </c>
      <c r="N36" s="182">
        <v>28.6</v>
      </c>
      <c r="O36" s="182">
        <v>36.299999999999997</v>
      </c>
      <c r="P36" s="182">
        <v>50.9</v>
      </c>
      <c r="Q36" s="182">
        <v>51.4</v>
      </c>
      <c r="R36" s="182">
        <v>58.5</v>
      </c>
      <c r="S36" s="183">
        <v>44.949999999999996</v>
      </c>
      <c r="T36" s="177"/>
      <c r="U36" s="177"/>
      <c r="V36" s="181" t="s">
        <v>46</v>
      </c>
      <c r="W36" s="182">
        <v>44</v>
      </c>
      <c r="X36" s="182">
        <v>28.6</v>
      </c>
      <c r="Y36" s="182">
        <v>38.75</v>
      </c>
      <c r="Z36" s="182">
        <v>48.55</v>
      </c>
      <c r="AA36" s="182">
        <v>51.15</v>
      </c>
      <c r="AB36" s="182">
        <v>58.7</v>
      </c>
      <c r="AC36" s="183">
        <v>44.958333333333336</v>
      </c>
      <c r="AD36" s="171"/>
      <c r="AE36" s="171"/>
      <c r="AF36" s="171"/>
      <c r="AG36" s="171"/>
      <c r="AH36" s="171"/>
    </row>
    <row r="37" spans="1:34" ht="15" thickBot="1">
      <c r="A37" s="177">
        <v>170</v>
      </c>
      <c r="B37" s="181" t="s">
        <v>47</v>
      </c>
      <c r="C37" s="182">
        <v>50.2</v>
      </c>
      <c r="D37" s="182">
        <v>38.299999999999997</v>
      </c>
      <c r="E37" s="182">
        <v>71.3</v>
      </c>
      <c r="F37" s="182">
        <v>50.9</v>
      </c>
      <c r="G37" s="182">
        <v>68.099999999999994</v>
      </c>
      <c r="H37" s="182">
        <v>83.9</v>
      </c>
      <c r="I37" s="183">
        <v>60.45000000000001</v>
      </c>
      <c r="J37" s="177"/>
      <c r="K37" s="177"/>
      <c r="L37" s="181" t="s">
        <v>47</v>
      </c>
      <c r="M37" s="182">
        <v>50.2</v>
      </c>
      <c r="N37" s="182">
        <v>42.5</v>
      </c>
      <c r="O37" s="182">
        <v>64.900000000000006</v>
      </c>
      <c r="P37" s="182">
        <v>50.9</v>
      </c>
      <c r="Q37" s="182">
        <v>59.7</v>
      </c>
      <c r="R37" s="182">
        <v>84.6</v>
      </c>
      <c r="S37" s="183">
        <v>58.800000000000011</v>
      </c>
      <c r="T37" s="177"/>
      <c r="U37" s="177"/>
      <c r="V37" s="181" t="s">
        <v>47</v>
      </c>
      <c r="W37" s="182">
        <v>50.2</v>
      </c>
      <c r="X37" s="182">
        <v>40.4</v>
      </c>
      <c r="Y37" s="182">
        <v>68.099999999999994</v>
      </c>
      <c r="Z37" s="182">
        <v>50.9</v>
      </c>
      <c r="AA37" s="182">
        <v>63.9</v>
      </c>
      <c r="AB37" s="182">
        <v>84.25</v>
      </c>
      <c r="AC37" s="183">
        <v>59.625</v>
      </c>
      <c r="AD37" s="171"/>
      <c r="AE37" s="171"/>
      <c r="AF37" s="171"/>
      <c r="AG37" s="171"/>
      <c r="AH37" s="171"/>
    </row>
    <row r="38" spans="1:34" ht="15" thickBot="1">
      <c r="A38" s="177">
        <v>172</v>
      </c>
      <c r="B38" s="181" t="s">
        <v>48</v>
      </c>
      <c r="C38" s="182">
        <v>30.8</v>
      </c>
      <c r="D38" s="182">
        <v>5.8</v>
      </c>
      <c r="E38" s="182">
        <v>34.5</v>
      </c>
      <c r="F38" s="182">
        <v>24.9</v>
      </c>
      <c r="G38" s="182">
        <v>39.4</v>
      </c>
      <c r="H38" s="182">
        <v>43.5</v>
      </c>
      <c r="I38" s="183">
        <v>29.816666666666666</v>
      </c>
      <c r="J38" s="177"/>
      <c r="K38" s="177"/>
      <c r="L38" s="181" t="s">
        <v>48</v>
      </c>
      <c r="M38" s="182">
        <v>22.1</v>
      </c>
      <c r="N38" s="182">
        <v>10.6</v>
      </c>
      <c r="O38" s="182">
        <v>29.3</v>
      </c>
      <c r="P38" s="182">
        <v>24.8</v>
      </c>
      <c r="Q38" s="182">
        <v>41.1</v>
      </c>
      <c r="R38" s="182">
        <v>48</v>
      </c>
      <c r="S38" s="183">
        <v>29.316666666666666</v>
      </c>
      <c r="T38" s="177"/>
      <c r="U38" s="177"/>
      <c r="V38" s="181" t="s">
        <v>48</v>
      </c>
      <c r="W38" s="182">
        <v>26.450000000000003</v>
      </c>
      <c r="X38" s="182">
        <v>8.1999999999999993</v>
      </c>
      <c r="Y38" s="182">
        <v>31.9</v>
      </c>
      <c r="Z38" s="182">
        <v>24.85</v>
      </c>
      <c r="AA38" s="182">
        <v>40.25</v>
      </c>
      <c r="AB38" s="182">
        <v>45.75</v>
      </c>
      <c r="AC38" s="183">
        <v>29.566666666666666</v>
      </c>
      <c r="AD38" s="171"/>
      <c r="AE38" s="171"/>
      <c r="AF38" s="171"/>
      <c r="AG38" s="171"/>
      <c r="AH38" s="171"/>
    </row>
    <row r="39" spans="1:34" ht="15" thickBot="1">
      <c r="A39" s="177">
        <v>180</v>
      </c>
      <c r="B39" s="181" t="s">
        <v>49</v>
      </c>
      <c r="C39" s="182">
        <v>50.3</v>
      </c>
      <c r="D39" s="182">
        <v>35.1</v>
      </c>
      <c r="E39" s="182">
        <v>46.4</v>
      </c>
      <c r="F39" s="182">
        <v>49.1</v>
      </c>
      <c r="G39" s="182">
        <v>59.7</v>
      </c>
      <c r="H39" s="182">
        <v>57.8</v>
      </c>
      <c r="I39" s="183">
        <v>49.733333333333341</v>
      </c>
      <c r="J39" s="177"/>
      <c r="K39" s="177"/>
      <c r="L39" s="181" t="s">
        <v>49</v>
      </c>
      <c r="M39" s="182">
        <v>51.1</v>
      </c>
      <c r="N39" s="182">
        <v>41.4</v>
      </c>
      <c r="O39" s="182">
        <v>36.6</v>
      </c>
      <c r="P39" s="182">
        <v>53.9</v>
      </c>
      <c r="Q39" s="182">
        <v>59.7</v>
      </c>
      <c r="R39" s="182">
        <v>57.2</v>
      </c>
      <c r="S39" s="183">
        <v>49.983333333333327</v>
      </c>
      <c r="T39" s="177"/>
      <c r="U39" s="177"/>
      <c r="V39" s="181" t="s">
        <v>49</v>
      </c>
      <c r="W39" s="182">
        <v>50.7</v>
      </c>
      <c r="X39" s="182">
        <v>38.25</v>
      </c>
      <c r="Y39" s="182">
        <v>41.5</v>
      </c>
      <c r="Z39" s="182">
        <v>51.5</v>
      </c>
      <c r="AA39" s="182">
        <v>59.7</v>
      </c>
      <c r="AB39" s="182">
        <v>57.5</v>
      </c>
      <c r="AC39" s="183">
        <v>49.858333333333327</v>
      </c>
      <c r="AD39" s="171"/>
      <c r="AE39" s="171"/>
      <c r="AF39" s="171"/>
      <c r="AG39" s="171"/>
      <c r="AH39" s="171"/>
    </row>
    <row r="40" spans="1:34" ht="15" thickBot="1">
      <c r="A40" s="177">
        <v>181</v>
      </c>
      <c r="B40" s="181" t="s">
        <v>50</v>
      </c>
      <c r="C40" s="182">
        <v>22</v>
      </c>
      <c r="D40" s="182">
        <v>27.1</v>
      </c>
      <c r="E40" s="182">
        <v>32.700000000000003</v>
      </c>
      <c r="F40" s="182">
        <v>31.2</v>
      </c>
      <c r="G40" s="182">
        <v>38</v>
      </c>
      <c r="H40" s="182">
        <v>48.8</v>
      </c>
      <c r="I40" s="183">
        <v>33.300000000000004</v>
      </c>
      <c r="J40" s="177"/>
      <c r="K40" s="177"/>
      <c r="L40" s="181" t="s">
        <v>50</v>
      </c>
      <c r="M40" s="182">
        <v>22.1</v>
      </c>
      <c r="N40" s="182">
        <v>27.6</v>
      </c>
      <c r="O40" s="182">
        <v>21.8</v>
      </c>
      <c r="P40" s="182">
        <v>30.6</v>
      </c>
      <c r="Q40" s="182">
        <v>38</v>
      </c>
      <c r="R40" s="182">
        <v>51.1</v>
      </c>
      <c r="S40" s="183">
        <v>31.866666666666664</v>
      </c>
      <c r="T40" s="177"/>
      <c r="U40" s="177"/>
      <c r="V40" s="181" t="s">
        <v>50</v>
      </c>
      <c r="W40" s="182">
        <v>22.05</v>
      </c>
      <c r="X40" s="182">
        <v>27.35</v>
      </c>
      <c r="Y40" s="182">
        <v>27.25</v>
      </c>
      <c r="Z40" s="182">
        <v>30.9</v>
      </c>
      <c r="AA40" s="182">
        <v>38</v>
      </c>
      <c r="AB40" s="182">
        <v>49.95</v>
      </c>
      <c r="AC40" s="183">
        <v>32.583333333333336</v>
      </c>
      <c r="AD40" s="171"/>
      <c r="AE40" s="171"/>
      <c r="AF40" s="171"/>
      <c r="AG40" s="171"/>
      <c r="AH40" s="171"/>
    </row>
    <row r="41" spans="1:34" ht="15" thickBot="1">
      <c r="A41" s="177">
        <v>184</v>
      </c>
      <c r="B41" s="181" t="s">
        <v>51</v>
      </c>
      <c r="C41" s="182">
        <v>32.799999999999997</v>
      </c>
      <c r="D41" s="182">
        <v>23.3</v>
      </c>
      <c r="E41" s="182">
        <v>37.700000000000003</v>
      </c>
      <c r="F41" s="182">
        <v>32.700000000000003</v>
      </c>
      <c r="G41" s="182">
        <v>50.9</v>
      </c>
      <c r="H41" s="182">
        <v>44</v>
      </c>
      <c r="I41" s="183">
        <v>36.9</v>
      </c>
      <c r="J41" s="177"/>
      <c r="K41" s="177"/>
      <c r="L41" s="181" t="s">
        <v>51</v>
      </c>
      <c r="M41" s="182">
        <v>31.4</v>
      </c>
      <c r="N41" s="182">
        <v>32.799999999999997</v>
      </c>
      <c r="O41" s="182">
        <v>26.1</v>
      </c>
      <c r="P41" s="182">
        <v>49.1</v>
      </c>
      <c r="Q41" s="182">
        <v>47.2</v>
      </c>
      <c r="R41" s="182">
        <v>46.7</v>
      </c>
      <c r="S41" s="183">
        <v>38.883333333333326</v>
      </c>
      <c r="T41" s="177"/>
      <c r="U41" s="177"/>
      <c r="V41" s="181" t="s">
        <v>51</v>
      </c>
      <c r="W41" s="182">
        <v>32.099999999999994</v>
      </c>
      <c r="X41" s="182">
        <v>28.049999999999997</v>
      </c>
      <c r="Y41" s="182">
        <v>31.900000000000002</v>
      </c>
      <c r="Z41" s="182">
        <v>40.900000000000006</v>
      </c>
      <c r="AA41" s="182">
        <v>49.05</v>
      </c>
      <c r="AB41" s="182">
        <v>45.35</v>
      </c>
      <c r="AC41" s="183">
        <v>37.891666666666666</v>
      </c>
      <c r="AD41" s="171"/>
      <c r="AE41" s="171"/>
      <c r="AF41" s="171"/>
      <c r="AG41" s="171"/>
      <c r="AH41" s="171"/>
    </row>
    <row r="42" spans="1:34" ht="15" thickBot="1">
      <c r="A42" s="177">
        <v>186</v>
      </c>
      <c r="B42" s="181" t="s">
        <v>52</v>
      </c>
      <c r="C42" s="182">
        <v>63.3</v>
      </c>
      <c r="D42" s="182">
        <v>62.5</v>
      </c>
      <c r="E42" s="182">
        <v>68.099999999999994</v>
      </c>
      <c r="F42" s="182">
        <v>66</v>
      </c>
      <c r="G42" s="182">
        <v>75</v>
      </c>
      <c r="H42" s="182">
        <v>75</v>
      </c>
      <c r="I42" s="183">
        <v>68.316666666666663</v>
      </c>
      <c r="J42" s="177"/>
      <c r="K42" s="177"/>
      <c r="L42" s="181" t="s">
        <v>52</v>
      </c>
      <c r="M42" s="182">
        <v>63.5</v>
      </c>
      <c r="N42" s="182">
        <v>70.8</v>
      </c>
      <c r="O42" s="182">
        <v>64.8</v>
      </c>
      <c r="P42" s="182">
        <v>68.3</v>
      </c>
      <c r="Q42" s="182">
        <v>62.5</v>
      </c>
      <c r="R42" s="182">
        <v>73</v>
      </c>
      <c r="S42" s="183">
        <v>67.150000000000006</v>
      </c>
      <c r="T42" s="177"/>
      <c r="U42" s="177"/>
      <c r="V42" s="181" t="s">
        <v>52</v>
      </c>
      <c r="W42" s="182">
        <v>63.4</v>
      </c>
      <c r="X42" s="182">
        <v>66.650000000000006</v>
      </c>
      <c r="Y42" s="182">
        <v>66.449999999999989</v>
      </c>
      <c r="Z42" s="182">
        <v>67.150000000000006</v>
      </c>
      <c r="AA42" s="182">
        <v>68.75</v>
      </c>
      <c r="AB42" s="182">
        <v>74</v>
      </c>
      <c r="AC42" s="183">
        <v>67.733333333333334</v>
      </c>
      <c r="AD42" s="171"/>
      <c r="AE42" s="171"/>
      <c r="AF42" s="171"/>
      <c r="AG42" s="171"/>
      <c r="AH42" s="171"/>
    </row>
    <row r="43" spans="1:34" ht="15" thickBot="1">
      <c r="A43" s="177">
        <v>189</v>
      </c>
      <c r="B43" s="181" t="s">
        <v>53</v>
      </c>
      <c r="C43" s="182">
        <v>36.200000000000003</v>
      </c>
      <c r="D43" s="182">
        <v>20</v>
      </c>
      <c r="E43" s="182">
        <v>35.700000000000003</v>
      </c>
      <c r="F43" s="182">
        <v>24.4</v>
      </c>
      <c r="G43" s="182">
        <v>57.3</v>
      </c>
      <c r="H43" s="182">
        <v>52.7</v>
      </c>
      <c r="I43" s="183">
        <v>37.716666666666669</v>
      </c>
      <c r="J43" s="177"/>
      <c r="K43" s="177"/>
      <c r="L43" s="181" t="s">
        <v>53</v>
      </c>
      <c r="M43" s="182">
        <v>40.6</v>
      </c>
      <c r="N43" s="182">
        <v>18.5</v>
      </c>
      <c r="O43" s="182">
        <v>28.6</v>
      </c>
      <c r="P43" s="182">
        <v>30.3</v>
      </c>
      <c r="Q43" s="182">
        <v>62.8</v>
      </c>
      <c r="R43" s="182">
        <v>53.3</v>
      </c>
      <c r="S43" s="183">
        <v>39.016666666666673</v>
      </c>
      <c r="T43" s="177"/>
      <c r="U43" s="177"/>
      <c r="V43" s="181" t="s">
        <v>53</v>
      </c>
      <c r="W43" s="182">
        <v>38.400000000000006</v>
      </c>
      <c r="X43" s="182">
        <v>19.25</v>
      </c>
      <c r="Y43" s="182">
        <v>32.150000000000006</v>
      </c>
      <c r="Z43" s="182">
        <v>27.35</v>
      </c>
      <c r="AA43" s="182">
        <v>60.05</v>
      </c>
      <c r="AB43" s="182">
        <v>53</v>
      </c>
      <c r="AC43" s="183">
        <v>38.366666666666667</v>
      </c>
      <c r="AD43" s="171"/>
      <c r="AE43" s="171"/>
      <c r="AF43" s="171"/>
      <c r="AG43" s="171"/>
      <c r="AH43" s="171"/>
    </row>
    <row r="44" spans="1:34">
      <c r="A44" s="177"/>
      <c r="B44" s="177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1"/>
      <c r="AE44" s="171"/>
      <c r="AF44" s="171"/>
      <c r="AG44" s="171"/>
      <c r="AH44" s="171"/>
    </row>
    <row r="45" spans="1:34">
      <c r="A45" s="177"/>
      <c r="B45" s="175"/>
      <c r="C45" s="176"/>
      <c r="D45" s="176"/>
      <c r="E45" s="176"/>
      <c r="F45" s="176"/>
      <c r="G45" s="176"/>
      <c r="H45" s="176"/>
      <c r="I45" s="176"/>
      <c r="J45" s="176"/>
      <c r="K45" s="175"/>
      <c r="L45" s="175"/>
      <c r="M45" s="175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1"/>
      <c r="AE45" s="171"/>
      <c r="AF45" s="171"/>
      <c r="AG45" s="171"/>
      <c r="AH45" s="171"/>
    </row>
    <row r="46" spans="1:34" ht="15" thickBot="1">
      <c r="A46" s="177"/>
      <c r="B46" s="178" t="s">
        <v>54</v>
      </c>
      <c r="C46" s="177"/>
      <c r="D46" s="177"/>
      <c r="E46" s="177"/>
      <c r="F46" s="177"/>
      <c r="G46" s="177"/>
      <c r="H46" s="177"/>
      <c r="I46" s="177"/>
      <c r="J46" s="177"/>
      <c r="K46" s="177"/>
      <c r="L46" s="178" t="s">
        <v>55</v>
      </c>
      <c r="M46" s="177"/>
      <c r="N46" s="177"/>
      <c r="O46" s="177"/>
      <c r="P46" s="177"/>
      <c r="Q46" s="177"/>
      <c r="R46" s="177"/>
      <c r="S46" s="177"/>
      <c r="T46" s="177"/>
      <c r="U46" s="177"/>
      <c r="V46" s="178" t="s">
        <v>56</v>
      </c>
      <c r="W46" s="177"/>
      <c r="X46" s="177"/>
      <c r="Y46" s="177"/>
      <c r="Z46" s="177"/>
      <c r="AA46" s="177"/>
      <c r="AB46" s="177"/>
      <c r="AC46" s="177"/>
      <c r="AD46" s="171"/>
      <c r="AE46" s="171"/>
      <c r="AF46" s="171"/>
      <c r="AG46" s="171"/>
      <c r="AH46" s="171"/>
    </row>
    <row r="47" spans="1:34" ht="15" thickBot="1">
      <c r="A47" s="177"/>
      <c r="B47" s="179" t="s">
        <v>25</v>
      </c>
      <c r="C47" s="180" t="s">
        <v>5</v>
      </c>
      <c r="D47" s="180" t="s">
        <v>8</v>
      </c>
      <c r="E47" s="180" t="s">
        <v>11</v>
      </c>
      <c r="F47" s="180" t="s">
        <v>14</v>
      </c>
      <c r="G47" s="180" t="s">
        <v>17</v>
      </c>
      <c r="H47" s="180" t="s">
        <v>20</v>
      </c>
      <c r="I47" s="180" t="s">
        <v>26</v>
      </c>
      <c r="J47" s="177"/>
      <c r="K47" s="177"/>
      <c r="L47" s="179" t="s">
        <v>25</v>
      </c>
      <c r="M47" s="180" t="s">
        <v>5</v>
      </c>
      <c r="N47" s="180" t="s">
        <v>8</v>
      </c>
      <c r="O47" s="180" t="s">
        <v>11</v>
      </c>
      <c r="P47" s="180" t="s">
        <v>14</v>
      </c>
      <c r="Q47" s="180" t="s">
        <v>17</v>
      </c>
      <c r="R47" s="180" t="s">
        <v>20</v>
      </c>
      <c r="S47" s="180" t="s">
        <v>26</v>
      </c>
      <c r="T47" s="177"/>
      <c r="U47" s="177"/>
      <c r="V47" s="179" t="s">
        <v>25</v>
      </c>
      <c r="W47" s="180" t="s">
        <v>5</v>
      </c>
      <c r="X47" s="180" t="s">
        <v>8</v>
      </c>
      <c r="Y47" s="180" t="s">
        <v>11</v>
      </c>
      <c r="Z47" s="180" t="s">
        <v>14</v>
      </c>
      <c r="AA47" s="180" t="s">
        <v>17</v>
      </c>
      <c r="AB47" s="180" t="s">
        <v>20</v>
      </c>
      <c r="AC47" s="180" t="s">
        <v>26</v>
      </c>
      <c r="AD47" s="171"/>
      <c r="AE47" s="171"/>
      <c r="AF47" s="171"/>
      <c r="AG47" s="171"/>
      <c r="AH47" s="171"/>
    </row>
    <row r="48" spans="1:34" ht="15" thickBot="1">
      <c r="A48" s="177">
        <v>3</v>
      </c>
      <c r="B48" s="181" t="s">
        <v>57</v>
      </c>
      <c r="C48" s="182">
        <v>19.399999999999999</v>
      </c>
      <c r="D48" s="182">
        <v>8.5</v>
      </c>
      <c r="E48" s="182">
        <v>31.1</v>
      </c>
      <c r="F48" s="182">
        <v>12.6</v>
      </c>
      <c r="G48" s="182">
        <v>37.299999999999997</v>
      </c>
      <c r="H48" s="182">
        <v>52</v>
      </c>
      <c r="I48" s="183">
        <v>26.816666666666663</v>
      </c>
      <c r="J48" s="177"/>
      <c r="K48" s="177"/>
      <c r="L48" s="181" t="s">
        <v>57</v>
      </c>
      <c r="M48" s="182">
        <v>15.3</v>
      </c>
      <c r="N48" s="182">
        <v>12.6</v>
      </c>
      <c r="O48" s="182">
        <v>25.6</v>
      </c>
      <c r="P48" s="182">
        <v>15</v>
      </c>
      <c r="Q48" s="182">
        <v>38.9</v>
      </c>
      <c r="R48" s="182">
        <v>49.7</v>
      </c>
      <c r="S48" s="183">
        <v>26.183333333333337</v>
      </c>
      <c r="T48" s="177"/>
      <c r="U48" s="177"/>
      <c r="V48" s="181" t="s">
        <v>57</v>
      </c>
      <c r="W48" s="182">
        <v>17.350000000000001</v>
      </c>
      <c r="X48" s="182">
        <v>10.55</v>
      </c>
      <c r="Y48" s="182">
        <v>28.35</v>
      </c>
      <c r="Z48" s="182">
        <v>13.8</v>
      </c>
      <c r="AA48" s="182">
        <v>38.099999999999994</v>
      </c>
      <c r="AB48" s="182">
        <v>50.85</v>
      </c>
      <c r="AC48" s="183">
        <v>26.5</v>
      </c>
      <c r="AD48" s="171"/>
      <c r="AE48" s="171"/>
      <c r="AF48" s="171"/>
      <c r="AG48" s="171"/>
      <c r="AH48" s="171"/>
    </row>
    <row r="49" spans="1:34" ht="15" thickBot="1">
      <c r="A49" s="177">
        <v>5</v>
      </c>
      <c r="B49" s="181" t="s">
        <v>58</v>
      </c>
      <c r="C49" s="182">
        <v>13.4</v>
      </c>
      <c r="D49" s="182">
        <v>13.3</v>
      </c>
      <c r="E49" s="182">
        <v>20.9</v>
      </c>
      <c r="F49" s="182">
        <v>16.8</v>
      </c>
      <c r="G49" s="182">
        <v>43.1</v>
      </c>
      <c r="H49" s="182">
        <v>43.7</v>
      </c>
      <c r="I49" s="183">
        <v>25.2</v>
      </c>
      <c r="J49" s="177"/>
      <c r="K49" s="177"/>
      <c r="L49" s="181" t="s">
        <v>58</v>
      </c>
      <c r="M49" s="182">
        <v>14.7</v>
      </c>
      <c r="N49" s="182">
        <v>13.3</v>
      </c>
      <c r="O49" s="182">
        <v>31.6</v>
      </c>
      <c r="P49" s="182">
        <v>23.1</v>
      </c>
      <c r="Q49" s="182">
        <v>47.7</v>
      </c>
      <c r="R49" s="182">
        <v>43.9</v>
      </c>
      <c r="S49" s="183">
        <v>29.05</v>
      </c>
      <c r="T49" s="177"/>
      <c r="U49" s="177"/>
      <c r="V49" s="181" t="s">
        <v>58</v>
      </c>
      <c r="W49" s="182">
        <v>14.05</v>
      </c>
      <c r="X49" s="182">
        <v>13.3</v>
      </c>
      <c r="Y49" s="182">
        <v>26.25</v>
      </c>
      <c r="Z49" s="182">
        <v>19.950000000000003</v>
      </c>
      <c r="AA49" s="182">
        <v>45.400000000000006</v>
      </c>
      <c r="AB49" s="182">
        <v>43.8</v>
      </c>
      <c r="AC49" s="183">
        <v>27.125</v>
      </c>
      <c r="AD49" s="171"/>
      <c r="AE49" s="171"/>
      <c r="AF49" s="171"/>
      <c r="AG49" s="171"/>
      <c r="AH49" s="171"/>
    </row>
    <row r="50" spans="1:34" ht="15" thickBot="1">
      <c r="A50" s="177">
        <v>19</v>
      </c>
      <c r="B50" s="181" t="s">
        <v>59</v>
      </c>
      <c r="C50" s="182">
        <v>9.1999999999999993</v>
      </c>
      <c r="D50" s="182">
        <v>18.3</v>
      </c>
      <c r="E50" s="182">
        <v>31.6</v>
      </c>
      <c r="F50" s="182">
        <v>7.6</v>
      </c>
      <c r="G50" s="182">
        <v>50</v>
      </c>
      <c r="H50" s="182">
        <v>44.9</v>
      </c>
      <c r="I50" s="183">
        <v>26.933333333333334</v>
      </c>
      <c r="J50" s="177"/>
      <c r="K50" s="177"/>
      <c r="L50" s="181" t="s">
        <v>59</v>
      </c>
      <c r="M50" s="182">
        <v>9.3000000000000007</v>
      </c>
      <c r="N50" s="182">
        <v>14.2</v>
      </c>
      <c r="O50" s="182">
        <v>29.3</v>
      </c>
      <c r="P50" s="182">
        <v>7.7</v>
      </c>
      <c r="Q50" s="182">
        <v>46.9</v>
      </c>
      <c r="R50" s="182">
        <v>45</v>
      </c>
      <c r="S50" s="183">
        <v>25.400000000000002</v>
      </c>
      <c r="T50" s="177"/>
      <c r="U50" s="177"/>
      <c r="V50" s="181" t="s">
        <v>59</v>
      </c>
      <c r="W50" s="182">
        <v>9.25</v>
      </c>
      <c r="X50" s="182">
        <v>16.25</v>
      </c>
      <c r="Y50" s="182">
        <v>30.450000000000003</v>
      </c>
      <c r="Z50" s="182">
        <v>7.65</v>
      </c>
      <c r="AA50" s="182">
        <v>48.45</v>
      </c>
      <c r="AB50" s="182">
        <v>44.95</v>
      </c>
      <c r="AC50" s="183">
        <v>26.166666666666668</v>
      </c>
      <c r="AD50" s="171"/>
      <c r="AE50" s="171"/>
      <c r="AF50" s="171"/>
      <c r="AG50" s="171"/>
      <c r="AH50" s="171"/>
    </row>
    <row r="51" spans="1:34" ht="15" thickBot="1">
      <c r="A51" s="177">
        <v>23</v>
      </c>
      <c r="B51" s="181" t="s">
        <v>60</v>
      </c>
      <c r="C51" s="182">
        <v>14.7</v>
      </c>
      <c r="D51" s="182">
        <v>18.899999999999999</v>
      </c>
      <c r="E51" s="182">
        <v>30.3</v>
      </c>
      <c r="F51" s="182">
        <v>18.5</v>
      </c>
      <c r="G51" s="182">
        <v>41.7</v>
      </c>
      <c r="H51" s="182">
        <v>62.4</v>
      </c>
      <c r="I51" s="183">
        <v>31.083333333333332</v>
      </c>
      <c r="J51" s="177"/>
      <c r="K51" s="177"/>
      <c r="L51" s="181" t="s">
        <v>60</v>
      </c>
      <c r="M51" s="182">
        <v>14.7</v>
      </c>
      <c r="N51" s="182">
        <v>29.3</v>
      </c>
      <c r="O51" s="182">
        <v>25.3</v>
      </c>
      <c r="P51" s="182">
        <v>20.9</v>
      </c>
      <c r="Q51" s="182">
        <v>48.3</v>
      </c>
      <c r="R51" s="182">
        <v>63.3</v>
      </c>
      <c r="S51" s="183">
        <v>33.633333333333333</v>
      </c>
      <c r="T51" s="177"/>
      <c r="U51" s="177"/>
      <c r="V51" s="181" t="s">
        <v>60</v>
      </c>
      <c r="W51" s="182">
        <v>14.7</v>
      </c>
      <c r="X51" s="182">
        <v>24.1</v>
      </c>
      <c r="Y51" s="182">
        <v>27.8</v>
      </c>
      <c r="Z51" s="182">
        <v>19.7</v>
      </c>
      <c r="AA51" s="182">
        <v>45</v>
      </c>
      <c r="AB51" s="182">
        <v>62.849999999999994</v>
      </c>
      <c r="AC51" s="183">
        <v>32.358333333333334</v>
      </c>
      <c r="AD51" s="171"/>
      <c r="AE51" s="171"/>
      <c r="AF51" s="171"/>
      <c r="AG51" s="171"/>
      <c r="AH51" s="171"/>
    </row>
    <row r="52" spans="1:34" ht="15" thickBot="1">
      <c r="A52" s="177">
        <v>27</v>
      </c>
      <c r="B52" s="181" t="s">
        <v>61</v>
      </c>
      <c r="C52" s="182">
        <v>9.6999999999999993</v>
      </c>
      <c r="D52" s="182">
        <v>37.6</v>
      </c>
      <c r="E52" s="182">
        <v>47.7</v>
      </c>
      <c r="F52" s="182">
        <v>11.3</v>
      </c>
      <c r="G52" s="182">
        <v>51.9</v>
      </c>
      <c r="H52" s="182">
        <v>48.4</v>
      </c>
      <c r="I52" s="183">
        <v>34.43333333333333</v>
      </c>
      <c r="J52" s="177"/>
      <c r="K52" s="177"/>
      <c r="L52" s="181" t="s">
        <v>61</v>
      </c>
      <c r="M52" s="182">
        <v>9.6999999999999993</v>
      </c>
      <c r="N52" s="182">
        <v>33.9</v>
      </c>
      <c r="O52" s="182">
        <v>32.4</v>
      </c>
      <c r="P52" s="182">
        <v>13.7</v>
      </c>
      <c r="Q52" s="182">
        <v>51.9</v>
      </c>
      <c r="R52" s="182">
        <v>37.4</v>
      </c>
      <c r="S52" s="183">
        <v>29.833333333333332</v>
      </c>
      <c r="T52" s="177"/>
      <c r="U52" s="177"/>
      <c r="V52" s="181" t="s">
        <v>61</v>
      </c>
      <c r="W52" s="182">
        <v>9.6999999999999993</v>
      </c>
      <c r="X52" s="182">
        <v>35.75</v>
      </c>
      <c r="Y52" s="182">
        <v>40.049999999999997</v>
      </c>
      <c r="Z52" s="182">
        <v>12.5</v>
      </c>
      <c r="AA52" s="182">
        <v>51.9</v>
      </c>
      <c r="AB52" s="182">
        <v>42.9</v>
      </c>
      <c r="AC52" s="183">
        <v>32.133333333333333</v>
      </c>
      <c r="AD52" s="171"/>
      <c r="AE52" s="171"/>
      <c r="AF52" s="171"/>
      <c r="AG52" s="171"/>
      <c r="AH52" s="171"/>
    </row>
    <row r="53" spans="1:34" ht="15" thickBot="1">
      <c r="A53" s="177">
        <v>28</v>
      </c>
      <c r="B53" s="181" t="s">
        <v>62</v>
      </c>
      <c r="C53" s="182">
        <v>10.3</v>
      </c>
      <c r="D53" s="182">
        <v>14.2</v>
      </c>
      <c r="E53" s="182">
        <v>30</v>
      </c>
      <c r="F53" s="182">
        <v>9.1</v>
      </c>
      <c r="G53" s="182">
        <v>33.299999999999997</v>
      </c>
      <c r="H53" s="182">
        <v>39</v>
      </c>
      <c r="I53" s="183">
        <v>22.650000000000002</v>
      </c>
      <c r="J53" s="177"/>
      <c r="K53" s="177"/>
      <c r="L53" s="181" t="s">
        <v>62</v>
      </c>
      <c r="M53" s="182">
        <v>14.2</v>
      </c>
      <c r="N53" s="182">
        <v>14.2</v>
      </c>
      <c r="O53" s="182">
        <v>21.5</v>
      </c>
      <c r="P53" s="182">
        <v>9.1</v>
      </c>
      <c r="Q53" s="182">
        <v>34.4</v>
      </c>
      <c r="R53" s="182">
        <v>39.4</v>
      </c>
      <c r="S53" s="183">
        <v>22.133333333333336</v>
      </c>
      <c r="T53" s="177"/>
      <c r="U53" s="177"/>
      <c r="V53" s="181" t="s">
        <v>62</v>
      </c>
      <c r="W53" s="182">
        <v>12.25</v>
      </c>
      <c r="X53" s="182">
        <v>14.2</v>
      </c>
      <c r="Y53" s="182">
        <v>25.75</v>
      </c>
      <c r="Z53" s="182">
        <v>9.1</v>
      </c>
      <c r="AA53" s="182">
        <v>33.849999999999994</v>
      </c>
      <c r="AB53" s="182">
        <v>39.200000000000003</v>
      </c>
      <c r="AC53" s="183">
        <v>22.391666666666669</v>
      </c>
      <c r="AD53" s="171"/>
      <c r="AE53" s="171"/>
      <c r="AF53" s="171"/>
      <c r="AG53" s="171"/>
      <c r="AH53" s="171"/>
    </row>
    <row r="54" spans="1:34" ht="15" thickBot="1">
      <c r="A54" s="177">
        <v>29</v>
      </c>
      <c r="B54" s="181" t="s">
        <v>63</v>
      </c>
      <c r="C54" s="182">
        <v>20.100000000000001</v>
      </c>
      <c r="D54" s="182">
        <v>10.6</v>
      </c>
      <c r="E54" s="182">
        <v>37.4</v>
      </c>
      <c r="F54" s="182">
        <v>21.5</v>
      </c>
      <c r="G54" s="182">
        <v>39.4</v>
      </c>
      <c r="H54" s="182">
        <v>66.5</v>
      </c>
      <c r="I54" s="183">
        <v>32.583333333333336</v>
      </c>
      <c r="J54" s="177"/>
      <c r="K54" s="177"/>
      <c r="L54" s="181" t="s">
        <v>63</v>
      </c>
      <c r="M54" s="182">
        <v>22.3</v>
      </c>
      <c r="N54" s="182">
        <v>14.7</v>
      </c>
      <c r="O54" s="182">
        <v>38.5</v>
      </c>
      <c r="P54" s="182">
        <v>23.1</v>
      </c>
      <c r="Q54" s="182">
        <v>43.6</v>
      </c>
      <c r="R54" s="182">
        <v>62.5</v>
      </c>
      <c r="S54" s="183">
        <v>34.116666666666667</v>
      </c>
      <c r="T54" s="177"/>
      <c r="U54" s="177"/>
      <c r="V54" s="181" t="s">
        <v>63</v>
      </c>
      <c r="W54" s="182">
        <v>21.200000000000003</v>
      </c>
      <c r="X54" s="182">
        <v>12.649999999999999</v>
      </c>
      <c r="Y54" s="182">
        <v>37.950000000000003</v>
      </c>
      <c r="Z54" s="182">
        <v>22.3</v>
      </c>
      <c r="AA54" s="182">
        <v>41.5</v>
      </c>
      <c r="AB54" s="182">
        <v>64.5</v>
      </c>
      <c r="AC54" s="183">
        <v>33.35</v>
      </c>
      <c r="AD54" s="171"/>
      <c r="AE54" s="171"/>
      <c r="AF54" s="171"/>
      <c r="AG54" s="171"/>
      <c r="AH54" s="171"/>
    </row>
    <row r="55" spans="1:34" ht="15" thickBot="1">
      <c r="A55" s="177">
        <v>31</v>
      </c>
      <c r="B55" s="184" t="s">
        <v>64</v>
      </c>
      <c r="C55" s="182">
        <v>15.2</v>
      </c>
      <c r="D55" s="182">
        <v>31.4</v>
      </c>
      <c r="E55" s="182">
        <v>33.799999999999997</v>
      </c>
      <c r="F55" s="182">
        <v>17.899999999999999</v>
      </c>
      <c r="G55" s="182">
        <v>56.3</v>
      </c>
      <c r="H55" s="182">
        <v>38.799999999999997</v>
      </c>
      <c r="I55" s="183">
        <v>32.233333333333327</v>
      </c>
      <c r="J55" s="177"/>
      <c r="K55" s="177"/>
      <c r="L55" s="184" t="s">
        <v>64</v>
      </c>
      <c r="M55" s="182">
        <v>6.5</v>
      </c>
      <c r="N55" s="182">
        <v>30.8</v>
      </c>
      <c r="O55" s="182">
        <v>29.5</v>
      </c>
      <c r="P55" s="182">
        <v>20.3</v>
      </c>
      <c r="Q55" s="182">
        <v>51</v>
      </c>
      <c r="R55" s="182">
        <v>33.799999999999997</v>
      </c>
      <c r="S55" s="183">
        <v>28.649999999999995</v>
      </c>
      <c r="T55" s="177"/>
      <c r="U55" s="177"/>
      <c r="V55" s="184" t="s">
        <v>64</v>
      </c>
      <c r="W55" s="182">
        <v>10.85</v>
      </c>
      <c r="X55" s="182">
        <v>31.1</v>
      </c>
      <c r="Y55" s="182">
        <v>31.65</v>
      </c>
      <c r="Z55" s="182">
        <v>19.100000000000001</v>
      </c>
      <c r="AA55" s="182">
        <v>53.65</v>
      </c>
      <c r="AB55" s="182">
        <v>36.299999999999997</v>
      </c>
      <c r="AC55" s="183">
        <v>30.441666666666663</v>
      </c>
      <c r="AD55" s="171"/>
      <c r="AE55" s="171"/>
      <c r="AF55" s="171"/>
      <c r="AG55" s="171"/>
      <c r="AH55" s="171"/>
    </row>
    <row r="56" spans="1:34" ht="15" thickBot="1">
      <c r="A56" s="177">
        <v>33</v>
      </c>
      <c r="B56" s="181" t="s">
        <v>65</v>
      </c>
      <c r="C56" s="182">
        <v>13.8</v>
      </c>
      <c r="D56" s="182">
        <v>12.5</v>
      </c>
      <c r="E56" s="182">
        <v>27.8</v>
      </c>
      <c r="F56" s="182">
        <v>8.3000000000000007</v>
      </c>
      <c r="G56" s="182">
        <v>31.8</v>
      </c>
      <c r="H56" s="182">
        <v>29.9</v>
      </c>
      <c r="I56" s="183">
        <v>20.683333333333334</v>
      </c>
      <c r="J56" s="177"/>
      <c r="K56" s="177"/>
      <c r="L56" s="181" t="s">
        <v>65</v>
      </c>
      <c r="M56" s="182">
        <v>10.5</v>
      </c>
      <c r="N56" s="182">
        <v>12.5</v>
      </c>
      <c r="O56" s="182">
        <v>20.6</v>
      </c>
      <c r="P56" s="182">
        <v>8.3000000000000007</v>
      </c>
      <c r="Q56" s="182">
        <v>33.9</v>
      </c>
      <c r="R56" s="182">
        <v>26.2</v>
      </c>
      <c r="S56" s="183">
        <v>18.666666666666668</v>
      </c>
      <c r="T56" s="177"/>
      <c r="U56" s="177"/>
      <c r="V56" s="181" t="s">
        <v>65</v>
      </c>
      <c r="W56" s="182">
        <v>12.15</v>
      </c>
      <c r="X56" s="182">
        <v>12.5</v>
      </c>
      <c r="Y56" s="182">
        <v>24.200000000000003</v>
      </c>
      <c r="Z56" s="182">
        <v>8.3000000000000007</v>
      </c>
      <c r="AA56" s="182">
        <v>32.85</v>
      </c>
      <c r="AB56" s="182">
        <v>28.049999999999997</v>
      </c>
      <c r="AC56" s="183">
        <v>19.675000000000001</v>
      </c>
      <c r="AD56" s="171"/>
      <c r="AE56" s="171"/>
      <c r="AF56" s="171"/>
      <c r="AG56" s="171"/>
      <c r="AH56" s="171"/>
    </row>
    <row r="57" spans="1:34" ht="15" thickBot="1">
      <c r="A57" s="177">
        <v>34</v>
      </c>
      <c r="B57" s="181" t="s">
        <v>66</v>
      </c>
      <c r="C57" s="182">
        <v>18.100000000000001</v>
      </c>
      <c r="D57" s="182">
        <v>18.3</v>
      </c>
      <c r="E57" s="182">
        <v>29.6</v>
      </c>
      <c r="F57" s="182">
        <v>10.199999999999999</v>
      </c>
      <c r="G57" s="182">
        <v>41.7</v>
      </c>
      <c r="H57" s="182">
        <v>29.2</v>
      </c>
      <c r="I57" s="183">
        <v>24.516666666666666</v>
      </c>
      <c r="J57" s="177"/>
      <c r="K57" s="177"/>
      <c r="L57" s="181" t="s">
        <v>66</v>
      </c>
      <c r="M57" s="182">
        <v>18.100000000000001</v>
      </c>
      <c r="N57" s="182">
        <v>18.3</v>
      </c>
      <c r="O57" s="182">
        <v>25.7</v>
      </c>
      <c r="P57" s="182">
        <v>10.199999999999999</v>
      </c>
      <c r="Q57" s="182">
        <v>46.4</v>
      </c>
      <c r="R57" s="182">
        <v>25</v>
      </c>
      <c r="S57" s="183">
        <v>23.950000000000003</v>
      </c>
      <c r="T57" s="177"/>
      <c r="U57" s="177"/>
      <c r="V57" s="181" t="s">
        <v>66</v>
      </c>
      <c r="W57" s="182">
        <v>18.100000000000001</v>
      </c>
      <c r="X57" s="182">
        <v>18.3</v>
      </c>
      <c r="Y57" s="182">
        <v>27.65</v>
      </c>
      <c r="Z57" s="182">
        <v>10.199999999999999</v>
      </c>
      <c r="AA57" s="182">
        <v>44.05</v>
      </c>
      <c r="AB57" s="182">
        <v>27.1</v>
      </c>
      <c r="AC57" s="183">
        <v>24.233333333333334</v>
      </c>
      <c r="AD57" s="171"/>
      <c r="AE57" s="171"/>
      <c r="AF57" s="171"/>
      <c r="AG57" s="171"/>
      <c r="AH57" s="171"/>
    </row>
    <row r="58" spans="1:34" ht="15" thickBot="1">
      <c r="A58" s="177">
        <v>38</v>
      </c>
      <c r="B58" s="181" t="s">
        <v>67</v>
      </c>
      <c r="C58" s="182">
        <v>8.4</v>
      </c>
      <c r="D58" s="182">
        <v>15.8</v>
      </c>
      <c r="E58" s="182">
        <v>31.4</v>
      </c>
      <c r="F58" s="182">
        <v>11.6</v>
      </c>
      <c r="G58" s="182">
        <v>47.9</v>
      </c>
      <c r="H58" s="182">
        <v>36.299999999999997</v>
      </c>
      <c r="I58" s="183">
        <v>25.233333333333331</v>
      </c>
      <c r="J58" s="177"/>
      <c r="K58" s="177"/>
      <c r="L58" s="181" t="s">
        <v>67</v>
      </c>
      <c r="M58" s="182">
        <v>8.4</v>
      </c>
      <c r="N58" s="182">
        <v>17.899999999999999</v>
      </c>
      <c r="O58" s="182">
        <v>22.4</v>
      </c>
      <c r="P58" s="182">
        <v>14</v>
      </c>
      <c r="Q58" s="182">
        <v>47.9</v>
      </c>
      <c r="R58" s="182">
        <v>38.799999999999997</v>
      </c>
      <c r="S58" s="183">
        <v>24.899999999999995</v>
      </c>
      <c r="T58" s="177"/>
      <c r="U58" s="177"/>
      <c r="V58" s="181" t="s">
        <v>67</v>
      </c>
      <c r="W58" s="182">
        <v>8.4</v>
      </c>
      <c r="X58" s="182">
        <v>16.850000000000001</v>
      </c>
      <c r="Y58" s="182">
        <v>26.9</v>
      </c>
      <c r="Z58" s="182">
        <v>12.8</v>
      </c>
      <c r="AA58" s="182">
        <v>47.9</v>
      </c>
      <c r="AB58" s="182">
        <v>37.549999999999997</v>
      </c>
      <c r="AC58" s="183">
        <v>25.066666666666663</v>
      </c>
      <c r="AD58" s="171"/>
      <c r="AE58" s="171"/>
      <c r="AF58" s="171"/>
      <c r="AG58" s="171"/>
      <c r="AH58" s="171"/>
    </row>
    <row r="59" spans="1:34" ht="15" thickBot="1">
      <c r="A59" s="177">
        <v>39</v>
      </c>
      <c r="B59" s="181" t="s">
        <v>68</v>
      </c>
      <c r="C59" s="182">
        <v>9.5</v>
      </c>
      <c r="D59" s="182">
        <v>4.2</v>
      </c>
      <c r="E59" s="182">
        <v>28</v>
      </c>
      <c r="F59" s="182">
        <v>8.1999999999999993</v>
      </c>
      <c r="G59" s="182">
        <v>54.2</v>
      </c>
      <c r="H59" s="182">
        <v>39.200000000000003</v>
      </c>
      <c r="I59" s="183">
        <v>23.883333333333336</v>
      </c>
      <c r="J59" s="177"/>
      <c r="K59" s="177"/>
      <c r="L59" s="181" t="s">
        <v>68</v>
      </c>
      <c r="M59" s="182">
        <v>1.1000000000000001</v>
      </c>
      <c r="N59" s="182">
        <v>9.6</v>
      </c>
      <c r="O59" s="182">
        <v>36.200000000000003</v>
      </c>
      <c r="P59" s="182">
        <v>8.1999999999999993</v>
      </c>
      <c r="Q59" s="182">
        <v>63</v>
      </c>
      <c r="R59" s="182">
        <v>40</v>
      </c>
      <c r="S59" s="183">
        <v>26.350000000000005</v>
      </c>
      <c r="T59" s="177"/>
      <c r="U59" s="177"/>
      <c r="V59" s="181" t="s">
        <v>68</v>
      </c>
      <c r="W59" s="182">
        <v>5.3</v>
      </c>
      <c r="X59" s="182">
        <v>6.9</v>
      </c>
      <c r="Y59" s="182">
        <v>32.1</v>
      </c>
      <c r="Z59" s="182">
        <v>8.1999999999999993</v>
      </c>
      <c r="AA59" s="182">
        <v>58.6</v>
      </c>
      <c r="AB59" s="182">
        <v>39.6</v>
      </c>
      <c r="AC59" s="183">
        <v>25.116666666666664</v>
      </c>
      <c r="AD59" s="171"/>
      <c r="AE59" s="171"/>
      <c r="AF59" s="171"/>
      <c r="AG59" s="171"/>
      <c r="AH59" s="171"/>
    </row>
    <row r="60" spans="1:34" ht="15" thickBot="1">
      <c r="A60" s="177">
        <v>40</v>
      </c>
      <c r="B60" s="181" t="s">
        <v>69</v>
      </c>
      <c r="C60" s="182">
        <v>12.4</v>
      </c>
      <c r="D60" s="182">
        <v>29.2</v>
      </c>
      <c r="E60" s="182">
        <v>29.8</v>
      </c>
      <c r="F60" s="182">
        <v>16.2</v>
      </c>
      <c r="G60" s="182">
        <v>42.2</v>
      </c>
      <c r="H60" s="182">
        <v>26.4</v>
      </c>
      <c r="I60" s="183">
        <v>26.033333333333335</v>
      </c>
      <c r="J60" s="177"/>
      <c r="K60" s="177"/>
      <c r="L60" s="181" t="s">
        <v>69</v>
      </c>
      <c r="M60" s="182">
        <v>12.4</v>
      </c>
      <c r="N60" s="182">
        <v>29.2</v>
      </c>
      <c r="O60" s="182">
        <v>26.2</v>
      </c>
      <c r="P60" s="182">
        <v>16.2</v>
      </c>
      <c r="Q60" s="182">
        <v>42.7</v>
      </c>
      <c r="R60" s="182">
        <v>29.9</v>
      </c>
      <c r="S60" s="183">
        <v>26.099999999999998</v>
      </c>
      <c r="T60" s="177"/>
      <c r="U60" s="177"/>
      <c r="V60" s="181" t="s">
        <v>69</v>
      </c>
      <c r="W60" s="182">
        <v>12.4</v>
      </c>
      <c r="X60" s="182">
        <v>29.2</v>
      </c>
      <c r="Y60" s="182">
        <v>28</v>
      </c>
      <c r="Z60" s="182">
        <v>16.2</v>
      </c>
      <c r="AA60" s="182">
        <v>42.45</v>
      </c>
      <c r="AB60" s="182">
        <v>28.15</v>
      </c>
      <c r="AC60" s="183">
        <v>26.066666666666666</v>
      </c>
      <c r="AD60" s="171"/>
      <c r="AE60" s="171"/>
      <c r="AF60" s="171"/>
      <c r="AG60" s="171"/>
      <c r="AH60" s="171"/>
    </row>
    <row r="61" spans="1:34" ht="15" thickBot="1">
      <c r="A61" s="177">
        <v>43</v>
      </c>
      <c r="B61" s="181" t="s">
        <v>70</v>
      </c>
      <c r="C61" s="182">
        <v>15.7</v>
      </c>
      <c r="D61" s="182">
        <v>33.799999999999997</v>
      </c>
      <c r="E61" s="182">
        <v>38.799999999999997</v>
      </c>
      <c r="F61" s="182">
        <v>14.7</v>
      </c>
      <c r="G61" s="182">
        <v>50</v>
      </c>
      <c r="H61" s="182">
        <v>44.3</v>
      </c>
      <c r="I61" s="183">
        <v>32.883333333333333</v>
      </c>
      <c r="J61" s="177"/>
      <c r="K61" s="177"/>
      <c r="L61" s="181" t="s">
        <v>70</v>
      </c>
      <c r="M61" s="182">
        <v>12.4</v>
      </c>
      <c r="N61" s="182">
        <v>29.6</v>
      </c>
      <c r="O61" s="182">
        <v>35.299999999999997</v>
      </c>
      <c r="P61" s="182">
        <v>17.100000000000001</v>
      </c>
      <c r="Q61" s="182">
        <v>47.7</v>
      </c>
      <c r="R61" s="182">
        <v>45.2</v>
      </c>
      <c r="S61" s="183">
        <v>31.216666666666669</v>
      </c>
      <c r="T61" s="177"/>
      <c r="U61" s="177"/>
      <c r="V61" s="181" t="s">
        <v>70</v>
      </c>
      <c r="W61" s="182">
        <v>14.05</v>
      </c>
      <c r="X61" s="182">
        <v>31.7</v>
      </c>
      <c r="Y61" s="182">
        <v>37.049999999999997</v>
      </c>
      <c r="Z61" s="182">
        <v>15.9</v>
      </c>
      <c r="AA61" s="182">
        <v>48.85</v>
      </c>
      <c r="AB61" s="182">
        <v>44.75</v>
      </c>
      <c r="AC61" s="183">
        <v>32.050000000000004</v>
      </c>
      <c r="AD61" s="171"/>
      <c r="AE61" s="171"/>
      <c r="AF61" s="171"/>
      <c r="AG61" s="171"/>
      <c r="AH61" s="171"/>
    </row>
    <row r="62" spans="1:34" ht="15" thickBot="1">
      <c r="A62" s="177">
        <v>55</v>
      </c>
      <c r="B62" s="181" t="s">
        <v>71</v>
      </c>
      <c r="C62" s="182">
        <v>1E-3</v>
      </c>
      <c r="D62" s="182">
        <v>1E-3</v>
      </c>
      <c r="E62" s="182">
        <v>24.9</v>
      </c>
      <c r="F62" s="182">
        <v>8.3000000000000007</v>
      </c>
      <c r="G62" s="182">
        <v>29.2</v>
      </c>
      <c r="H62" s="182">
        <v>45.4</v>
      </c>
      <c r="I62" s="183">
        <v>17.966999999999999</v>
      </c>
      <c r="J62" s="177"/>
      <c r="K62" s="177"/>
      <c r="L62" s="181" t="s">
        <v>71</v>
      </c>
      <c r="M62" s="182">
        <v>1E-3</v>
      </c>
      <c r="N62" s="182">
        <v>1E-3</v>
      </c>
      <c r="O62" s="182">
        <v>21.2</v>
      </c>
      <c r="P62" s="182">
        <v>8.3000000000000007</v>
      </c>
      <c r="Q62" s="182">
        <v>29.2</v>
      </c>
      <c r="R62" s="182">
        <v>46</v>
      </c>
      <c r="S62" s="183">
        <v>17.450333333333333</v>
      </c>
      <c r="T62" s="177"/>
      <c r="U62" s="177"/>
      <c r="V62" s="181" t="s">
        <v>71</v>
      </c>
      <c r="W62" s="182">
        <v>1E-3</v>
      </c>
      <c r="X62" s="182">
        <v>1E-3</v>
      </c>
      <c r="Y62" s="182">
        <v>23.049999999999997</v>
      </c>
      <c r="Z62" s="182">
        <v>8.3000000000000007</v>
      </c>
      <c r="AA62" s="182">
        <v>29.2</v>
      </c>
      <c r="AB62" s="182">
        <v>45.7</v>
      </c>
      <c r="AC62" s="183">
        <v>17.708666666666666</v>
      </c>
      <c r="AD62" s="171"/>
      <c r="AE62" s="171"/>
      <c r="AF62" s="171"/>
      <c r="AG62" s="171"/>
      <c r="AH62" s="171"/>
    </row>
    <row r="63" spans="1:34" ht="15" thickBot="1">
      <c r="A63" s="177">
        <v>56</v>
      </c>
      <c r="B63" s="181" t="s">
        <v>72</v>
      </c>
      <c r="C63" s="182">
        <v>16</v>
      </c>
      <c r="D63" s="182">
        <v>10.4</v>
      </c>
      <c r="E63" s="182">
        <v>23.6</v>
      </c>
      <c r="F63" s="182">
        <v>8.6</v>
      </c>
      <c r="G63" s="182">
        <v>37.5</v>
      </c>
      <c r="H63" s="182">
        <v>38.799999999999997</v>
      </c>
      <c r="I63" s="183">
        <v>22.483333333333331</v>
      </c>
      <c r="J63" s="177"/>
      <c r="K63" s="177"/>
      <c r="L63" s="181" t="s">
        <v>72</v>
      </c>
      <c r="M63" s="182">
        <v>12.5</v>
      </c>
      <c r="N63" s="182">
        <v>10.4</v>
      </c>
      <c r="O63" s="182">
        <v>19.899999999999999</v>
      </c>
      <c r="P63" s="182">
        <v>8.6</v>
      </c>
      <c r="Q63" s="182">
        <v>37.5</v>
      </c>
      <c r="R63" s="182">
        <v>39.299999999999997</v>
      </c>
      <c r="S63" s="183">
        <v>21.366666666666664</v>
      </c>
      <c r="T63" s="177"/>
      <c r="U63" s="177"/>
      <c r="V63" s="181" t="s">
        <v>72</v>
      </c>
      <c r="W63" s="182">
        <v>14.25</v>
      </c>
      <c r="X63" s="182">
        <v>10.4</v>
      </c>
      <c r="Y63" s="182">
        <v>21.75</v>
      </c>
      <c r="Z63" s="182">
        <v>8.6</v>
      </c>
      <c r="AA63" s="182">
        <v>37.5</v>
      </c>
      <c r="AB63" s="182">
        <v>39.049999999999997</v>
      </c>
      <c r="AC63" s="183">
        <v>21.925000000000001</v>
      </c>
      <c r="AD63" s="171"/>
      <c r="AE63" s="171"/>
      <c r="AF63" s="171"/>
      <c r="AG63" s="171"/>
      <c r="AH63" s="171"/>
    </row>
    <row r="64" spans="1:34" ht="15" thickBot="1">
      <c r="A64" s="177">
        <v>58</v>
      </c>
      <c r="B64" s="181" t="s">
        <v>73</v>
      </c>
      <c r="C64" s="182">
        <v>23.8</v>
      </c>
      <c r="D64" s="182">
        <v>21.1</v>
      </c>
      <c r="E64" s="182">
        <v>30.1</v>
      </c>
      <c r="F64" s="182">
        <v>9.4</v>
      </c>
      <c r="G64" s="182">
        <v>48.4</v>
      </c>
      <c r="H64" s="182">
        <v>51.3</v>
      </c>
      <c r="I64" s="183">
        <v>30.683333333333337</v>
      </c>
      <c r="J64" s="177"/>
      <c r="K64" s="177"/>
      <c r="L64" s="181" t="s">
        <v>73</v>
      </c>
      <c r="M64" s="182">
        <v>24</v>
      </c>
      <c r="N64" s="182">
        <v>21.7</v>
      </c>
      <c r="O64" s="182">
        <v>25.9</v>
      </c>
      <c r="P64" s="182">
        <v>11.8</v>
      </c>
      <c r="Q64" s="182">
        <v>40.1</v>
      </c>
      <c r="R64" s="182">
        <v>52.1</v>
      </c>
      <c r="S64" s="183">
        <v>29.266666666666666</v>
      </c>
      <c r="T64" s="177"/>
      <c r="U64" s="177"/>
      <c r="V64" s="181" t="s">
        <v>73</v>
      </c>
      <c r="W64" s="182">
        <v>23.9</v>
      </c>
      <c r="X64" s="182">
        <v>21.4</v>
      </c>
      <c r="Y64" s="182">
        <v>28</v>
      </c>
      <c r="Z64" s="182">
        <v>10.600000000000001</v>
      </c>
      <c r="AA64" s="182">
        <v>44.25</v>
      </c>
      <c r="AB64" s="182">
        <v>51.7</v>
      </c>
      <c r="AC64" s="183">
        <v>29.975000000000005</v>
      </c>
      <c r="AD64" s="171"/>
      <c r="AE64" s="171"/>
      <c r="AF64" s="171"/>
      <c r="AG64" s="171"/>
      <c r="AH64" s="171"/>
    </row>
    <row r="65" spans="1:34" ht="15" thickBot="1">
      <c r="A65" s="177">
        <v>59</v>
      </c>
      <c r="B65" s="181" t="s">
        <v>74</v>
      </c>
      <c r="C65" s="182">
        <v>22.5</v>
      </c>
      <c r="D65" s="182">
        <v>23.5</v>
      </c>
      <c r="E65" s="182">
        <v>42</v>
      </c>
      <c r="F65" s="182">
        <v>28.2</v>
      </c>
      <c r="G65" s="182">
        <v>64.900000000000006</v>
      </c>
      <c r="H65" s="182">
        <v>43.2</v>
      </c>
      <c r="I65" s="183">
        <v>37.383333333333333</v>
      </c>
      <c r="J65" s="177"/>
      <c r="K65" s="177"/>
      <c r="L65" s="181" t="s">
        <v>74</v>
      </c>
      <c r="M65" s="182">
        <v>22.5</v>
      </c>
      <c r="N65" s="182">
        <v>29.7</v>
      </c>
      <c r="O65" s="182">
        <v>45.9</v>
      </c>
      <c r="P65" s="182">
        <v>28.2</v>
      </c>
      <c r="Q65" s="182">
        <v>59.4</v>
      </c>
      <c r="R65" s="182">
        <v>41.2</v>
      </c>
      <c r="S65" s="183">
        <v>37.816666666666663</v>
      </c>
      <c r="T65" s="177"/>
      <c r="U65" s="177"/>
      <c r="V65" s="181" t="s">
        <v>74</v>
      </c>
      <c r="W65" s="182">
        <v>22.5</v>
      </c>
      <c r="X65" s="182">
        <v>26.6</v>
      </c>
      <c r="Y65" s="182">
        <v>43.95</v>
      </c>
      <c r="Z65" s="182">
        <v>28.2</v>
      </c>
      <c r="AA65" s="182">
        <v>62.150000000000006</v>
      </c>
      <c r="AB65" s="182">
        <v>42.2</v>
      </c>
      <c r="AC65" s="183">
        <v>37.6</v>
      </c>
      <c r="AD65" s="171"/>
      <c r="AE65" s="171"/>
      <c r="AF65" s="171"/>
      <c r="AG65" s="171"/>
      <c r="AH65" s="171"/>
    </row>
    <row r="66" spans="1:34" ht="15" thickBot="1">
      <c r="A66" s="177">
        <v>63</v>
      </c>
      <c r="B66" s="181" t="s">
        <v>75</v>
      </c>
      <c r="C66" s="182">
        <v>3.2</v>
      </c>
      <c r="D66" s="182">
        <v>3.3</v>
      </c>
      <c r="E66" s="182">
        <v>27.9</v>
      </c>
      <c r="F66" s="182">
        <v>9.3000000000000007</v>
      </c>
      <c r="G66" s="182">
        <v>35.4</v>
      </c>
      <c r="H66" s="182">
        <v>40.5</v>
      </c>
      <c r="I66" s="183">
        <v>19.933333333333334</v>
      </c>
      <c r="J66" s="177"/>
      <c r="K66" s="177"/>
      <c r="L66" s="181" t="s">
        <v>75</v>
      </c>
      <c r="M66" s="182">
        <v>4.5999999999999996</v>
      </c>
      <c r="N66" s="182">
        <v>7.5</v>
      </c>
      <c r="O66" s="182">
        <v>28.4</v>
      </c>
      <c r="P66" s="182">
        <v>11.7</v>
      </c>
      <c r="Q66" s="182">
        <v>37.5</v>
      </c>
      <c r="R66" s="182">
        <v>41.2</v>
      </c>
      <c r="S66" s="183">
        <v>21.816666666666666</v>
      </c>
      <c r="T66" s="177"/>
      <c r="U66" s="177"/>
      <c r="V66" s="181" t="s">
        <v>75</v>
      </c>
      <c r="W66" s="182">
        <v>3.9</v>
      </c>
      <c r="X66" s="182">
        <v>5.4</v>
      </c>
      <c r="Y66" s="182">
        <v>28.15</v>
      </c>
      <c r="Z66" s="182">
        <v>10.5</v>
      </c>
      <c r="AA66" s="182">
        <v>36.450000000000003</v>
      </c>
      <c r="AB66" s="182">
        <v>40.85</v>
      </c>
      <c r="AC66" s="183">
        <v>20.875</v>
      </c>
      <c r="AD66" s="171"/>
      <c r="AE66" s="171"/>
      <c r="AF66" s="171"/>
      <c r="AG66" s="171"/>
      <c r="AH66" s="171"/>
    </row>
    <row r="67" spans="1:34" ht="15" thickBot="1">
      <c r="A67" s="177">
        <v>64</v>
      </c>
      <c r="B67" s="181" t="s">
        <v>76</v>
      </c>
      <c r="C67" s="182">
        <v>10.8</v>
      </c>
      <c r="D67" s="182">
        <v>20.8</v>
      </c>
      <c r="E67" s="182">
        <v>37.299999999999997</v>
      </c>
      <c r="F67" s="182">
        <v>17.899999999999999</v>
      </c>
      <c r="G67" s="182">
        <v>40.1</v>
      </c>
      <c r="H67" s="182">
        <v>50.2</v>
      </c>
      <c r="I67" s="183">
        <v>29.516666666666669</v>
      </c>
      <c r="J67" s="177"/>
      <c r="K67" s="177"/>
      <c r="L67" s="181" t="s">
        <v>76</v>
      </c>
      <c r="M67" s="182">
        <v>10.8</v>
      </c>
      <c r="N67" s="182">
        <v>22.9</v>
      </c>
      <c r="O67" s="182">
        <v>30.9</v>
      </c>
      <c r="P67" s="182">
        <v>15.5</v>
      </c>
      <c r="Q67" s="182">
        <v>40.6</v>
      </c>
      <c r="R67" s="182">
        <v>51.4</v>
      </c>
      <c r="S67" s="183">
        <v>28.683333333333334</v>
      </c>
      <c r="T67" s="177"/>
      <c r="U67" s="177"/>
      <c r="V67" s="181" t="s">
        <v>76</v>
      </c>
      <c r="W67" s="182">
        <v>10.8</v>
      </c>
      <c r="X67" s="182">
        <v>21.85</v>
      </c>
      <c r="Y67" s="182">
        <v>34.099999999999994</v>
      </c>
      <c r="Z67" s="182">
        <v>16.7</v>
      </c>
      <c r="AA67" s="182">
        <v>40.35</v>
      </c>
      <c r="AB67" s="182">
        <v>50.8</v>
      </c>
      <c r="AC67" s="183">
        <v>29.100000000000005</v>
      </c>
      <c r="AD67" s="171"/>
      <c r="AE67" s="171"/>
      <c r="AF67" s="171"/>
      <c r="AG67" s="171"/>
      <c r="AH67" s="171"/>
    </row>
    <row r="68" spans="1:34" ht="15" thickBot="1">
      <c r="A68" s="177">
        <v>67</v>
      </c>
      <c r="B68" s="181" t="s">
        <v>77</v>
      </c>
      <c r="C68" s="182">
        <v>27</v>
      </c>
      <c r="D68" s="182">
        <v>22.6</v>
      </c>
      <c r="E68" s="182">
        <v>34.200000000000003</v>
      </c>
      <c r="F68" s="182">
        <v>15.6</v>
      </c>
      <c r="G68" s="182">
        <v>33.9</v>
      </c>
      <c r="H68" s="182">
        <v>56.4</v>
      </c>
      <c r="I68" s="183">
        <v>31.616666666666671</v>
      </c>
      <c r="J68" s="177"/>
      <c r="K68" s="177"/>
      <c r="L68" s="181" t="s">
        <v>77</v>
      </c>
      <c r="M68" s="182">
        <v>27</v>
      </c>
      <c r="N68" s="182">
        <v>33.1</v>
      </c>
      <c r="O68" s="182">
        <v>31.4</v>
      </c>
      <c r="P68" s="182">
        <v>22.7</v>
      </c>
      <c r="Q68" s="182">
        <v>34.4</v>
      </c>
      <c r="R68" s="182">
        <v>57.2</v>
      </c>
      <c r="S68" s="183">
        <v>34.300000000000004</v>
      </c>
      <c r="T68" s="177"/>
      <c r="U68" s="177"/>
      <c r="V68" s="181" t="s">
        <v>77</v>
      </c>
      <c r="W68" s="182">
        <v>27</v>
      </c>
      <c r="X68" s="182">
        <v>27.85</v>
      </c>
      <c r="Y68" s="182">
        <v>32.799999999999997</v>
      </c>
      <c r="Z68" s="182">
        <v>19.149999999999999</v>
      </c>
      <c r="AA68" s="182">
        <v>34.15</v>
      </c>
      <c r="AB68" s="182">
        <v>56.8</v>
      </c>
      <c r="AC68" s="183">
        <v>32.958333333333336</v>
      </c>
      <c r="AD68" s="171"/>
      <c r="AE68" s="171"/>
      <c r="AF68" s="171"/>
      <c r="AG68" s="171"/>
      <c r="AH68" s="171"/>
    </row>
    <row r="69" spans="1:34" ht="15" thickBot="1">
      <c r="A69" s="177">
        <v>71</v>
      </c>
      <c r="B69" s="181" t="s">
        <v>78</v>
      </c>
      <c r="C69" s="182">
        <v>18</v>
      </c>
      <c r="D69" s="182">
        <v>28.3</v>
      </c>
      <c r="E69" s="182">
        <v>33.700000000000003</v>
      </c>
      <c r="F69" s="182">
        <v>18</v>
      </c>
      <c r="G69" s="182">
        <v>36.799999999999997</v>
      </c>
      <c r="H69" s="182">
        <v>36</v>
      </c>
      <c r="I69" s="183">
        <v>28.466666666666669</v>
      </c>
      <c r="J69" s="177"/>
      <c r="K69" s="177"/>
      <c r="L69" s="181" t="s">
        <v>78</v>
      </c>
      <c r="M69" s="182">
        <v>14.6</v>
      </c>
      <c r="N69" s="182">
        <v>28.3</v>
      </c>
      <c r="O69" s="182">
        <v>25.4</v>
      </c>
      <c r="P69" s="182">
        <v>20.3</v>
      </c>
      <c r="Q69" s="182">
        <v>37.299999999999997</v>
      </c>
      <c r="R69" s="182">
        <v>35.1</v>
      </c>
      <c r="S69" s="183">
        <v>26.833333333333332</v>
      </c>
      <c r="T69" s="177"/>
      <c r="U69" s="177"/>
      <c r="V69" s="181" t="s">
        <v>78</v>
      </c>
      <c r="W69" s="182">
        <v>16.3</v>
      </c>
      <c r="X69" s="182">
        <v>28.3</v>
      </c>
      <c r="Y69" s="182">
        <v>29.55</v>
      </c>
      <c r="Z69" s="182">
        <v>19.149999999999999</v>
      </c>
      <c r="AA69" s="182">
        <v>37.049999999999997</v>
      </c>
      <c r="AB69" s="182">
        <v>35.549999999999997</v>
      </c>
      <c r="AC69" s="183">
        <v>27.650000000000006</v>
      </c>
      <c r="AD69" s="171"/>
      <c r="AE69" s="171"/>
      <c r="AF69" s="171"/>
      <c r="AG69" s="171"/>
      <c r="AH69" s="171"/>
    </row>
    <row r="70" spans="1:34" ht="15" thickBot="1">
      <c r="A70" s="177">
        <v>72</v>
      </c>
      <c r="B70" s="181" t="s">
        <v>79</v>
      </c>
      <c r="C70" s="182">
        <v>8.4</v>
      </c>
      <c r="D70" s="182">
        <v>12.5</v>
      </c>
      <c r="E70" s="182">
        <v>24.8</v>
      </c>
      <c r="F70" s="182">
        <v>7.2</v>
      </c>
      <c r="G70" s="182">
        <v>34.700000000000003</v>
      </c>
      <c r="H70" s="182">
        <v>28.3</v>
      </c>
      <c r="I70" s="183">
        <v>19.316666666666666</v>
      </c>
      <c r="J70" s="177"/>
      <c r="K70" s="177"/>
      <c r="L70" s="181" t="s">
        <v>79</v>
      </c>
      <c r="M70" s="182">
        <v>8.4</v>
      </c>
      <c r="N70" s="182">
        <v>16.7</v>
      </c>
      <c r="O70" s="182">
        <v>25.3</v>
      </c>
      <c r="P70" s="182">
        <v>7.2</v>
      </c>
      <c r="Q70" s="182">
        <v>41.7</v>
      </c>
      <c r="R70" s="182">
        <v>29.1</v>
      </c>
      <c r="S70" s="183">
        <v>21.400000000000002</v>
      </c>
      <c r="T70" s="177"/>
      <c r="U70" s="177"/>
      <c r="V70" s="181" t="s">
        <v>79</v>
      </c>
      <c r="W70" s="182">
        <v>8.4</v>
      </c>
      <c r="X70" s="182">
        <v>14.6</v>
      </c>
      <c r="Y70" s="182">
        <v>25.05</v>
      </c>
      <c r="Z70" s="182">
        <v>7.2</v>
      </c>
      <c r="AA70" s="182">
        <v>38.200000000000003</v>
      </c>
      <c r="AB70" s="182">
        <v>28.700000000000003</v>
      </c>
      <c r="AC70" s="183">
        <v>20.358333333333334</v>
      </c>
      <c r="AD70" s="171"/>
      <c r="AE70" s="171"/>
      <c r="AF70" s="171"/>
      <c r="AG70" s="171"/>
      <c r="AH70" s="171"/>
    </row>
    <row r="71" spans="1:34" ht="15" thickBot="1">
      <c r="A71" s="177">
        <v>89</v>
      </c>
      <c r="B71" s="181" t="s">
        <v>80</v>
      </c>
      <c r="C71" s="182">
        <v>34.4</v>
      </c>
      <c r="D71" s="182">
        <v>51.5</v>
      </c>
      <c r="E71" s="182">
        <v>38.4</v>
      </c>
      <c r="F71" s="182">
        <v>23.9</v>
      </c>
      <c r="G71" s="182">
        <v>66.5</v>
      </c>
      <c r="H71" s="182">
        <v>43.8</v>
      </c>
      <c r="I71" s="183">
        <v>43.083333333333336</v>
      </c>
      <c r="J71" s="177"/>
      <c r="K71" s="177"/>
      <c r="L71" s="181" t="s">
        <v>80</v>
      </c>
      <c r="M71" s="182">
        <v>31</v>
      </c>
      <c r="N71" s="182">
        <v>55.7</v>
      </c>
      <c r="O71" s="182">
        <v>19.3</v>
      </c>
      <c r="P71" s="182">
        <v>21.5</v>
      </c>
      <c r="Q71" s="182">
        <v>62.3</v>
      </c>
      <c r="R71" s="182">
        <v>43.1</v>
      </c>
      <c r="S71" s="183">
        <v>38.81666666666667</v>
      </c>
      <c r="T71" s="177"/>
      <c r="U71" s="177"/>
      <c r="V71" s="181" t="s">
        <v>80</v>
      </c>
      <c r="W71" s="182">
        <v>32.700000000000003</v>
      </c>
      <c r="X71" s="182">
        <v>53.6</v>
      </c>
      <c r="Y71" s="182">
        <v>28.85</v>
      </c>
      <c r="Z71" s="182">
        <v>22.7</v>
      </c>
      <c r="AA71" s="182">
        <v>64.400000000000006</v>
      </c>
      <c r="AB71" s="182">
        <v>43.45</v>
      </c>
      <c r="AC71" s="183">
        <v>40.949999999999996</v>
      </c>
      <c r="AD71" s="171"/>
      <c r="AE71" s="171"/>
      <c r="AF71" s="171"/>
      <c r="AG71" s="171"/>
      <c r="AH71" s="171"/>
    </row>
    <row r="72" spans="1:34" ht="15" thickBot="1">
      <c r="A72" s="177">
        <v>96</v>
      </c>
      <c r="B72" s="181" t="s">
        <v>81</v>
      </c>
      <c r="C72" s="182">
        <v>21.6</v>
      </c>
      <c r="D72" s="182">
        <v>8.5</v>
      </c>
      <c r="E72" s="182">
        <v>46.9</v>
      </c>
      <c r="F72" s="182">
        <v>27.2</v>
      </c>
      <c r="G72" s="182">
        <v>43.6</v>
      </c>
      <c r="H72" s="182">
        <v>48.1</v>
      </c>
      <c r="I72" s="183">
        <v>32.65</v>
      </c>
      <c r="J72" s="177"/>
      <c r="K72" s="177"/>
      <c r="L72" s="181" t="s">
        <v>81</v>
      </c>
      <c r="M72" s="182">
        <v>12.5</v>
      </c>
      <c r="N72" s="182">
        <v>8.5</v>
      </c>
      <c r="O72" s="182">
        <v>45.8</v>
      </c>
      <c r="P72" s="182">
        <v>27.2</v>
      </c>
      <c r="Q72" s="182">
        <v>42.7</v>
      </c>
      <c r="R72" s="182">
        <v>48.8</v>
      </c>
      <c r="S72" s="183">
        <v>30.916666666666668</v>
      </c>
      <c r="T72" s="177"/>
      <c r="U72" s="177"/>
      <c r="V72" s="181" t="s">
        <v>81</v>
      </c>
      <c r="W72" s="182">
        <v>17.05</v>
      </c>
      <c r="X72" s="182">
        <v>8.5</v>
      </c>
      <c r="Y72" s="182">
        <v>46.349999999999994</v>
      </c>
      <c r="Z72" s="182">
        <v>27.2</v>
      </c>
      <c r="AA72" s="182">
        <v>43.150000000000006</v>
      </c>
      <c r="AB72" s="182">
        <v>48.45</v>
      </c>
      <c r="AC72" s="183">
        <v>31.783333333333331</v>
      </c>
      <c r="AD72" s="171"/>
      <c r="AE72" s="171"/>
      <c r="AF72" s="171"/>
      <c r="AG72" s="171"/>
      <c r="AH72" s="171"/>
    </row>
    <row r="73" spans="1:34" ht="15" thickBot="1">
      <c r="A73" s="177">
        <v>97</v>
      </c>
      <c r="B73" s="181" t="s">
        <v>82</v>
      </c>
      <c r="C73" s="182">
        <v>7.6</v>
      </c>
      <c r="D73" s="182">
        <v>23.8</v>
      </c>
      <c r="E73" s="182">
        <v>34.700000000000003</v>
      </c>
      <c r="F73" s="182">
        <v>29.2</v>
      </c>
      <c r="G73" s="182">
        <v>67.400000000000006</v>
      </c>
      <c r="H73" s="182">
        <v>44.7</v>
      </c>
      <c r="I73" s="183">
        <v>34.566666666666663</v>
      </c>
      <c r="J73" s="177"/>
      <c r="K73" s="177"/>
      <c r="L73" s="181" t="s">
        <v>82</v>
      </c>
      <c r="M73" s="182">
        <v>7.6</v>
      </c>
      <c r="N73" s="182">
        <v>24.6</v>
      </c>
      <c r="O73" s="182">
        <v>32.6</v>
      </c>
      <c r="P73" s="182">
        <v>36.4</v>
      </c>
      <c r="Q73" s="182">
        <v>66.5</v>
      </c>
      <c r="R73" s="182">
        <v>46.6</v>
      </c>
      <c r="S73" s="183">
        <v>35.716666666666669</v>
      </c>
      <c r="T73" s="177"/>
      <c r="U73" s="177"/>
      <c r="V73" s="181" t="s">
        <v>82</v>
      </c>
      <c r="W73" s="182">
        <v>7.6</v>
      </c>
      <c r="X73" s="182">
        <v>24.200000000000003</v>
      </c>
      <c r="Y73" s="182">
        <v>33.650000000000006</v>
      </c>
      <c r="Z73" s="182">
        <v>32.799999999999997</v>
      </c>
      <c r="AA73" s="182">
        <v>66.95</v>
      </c>
      <c r="AB73" s="182">
        <v>45.650000000000006</v>
      </c>
      <c r="AC73" s="183">
        <v>35.141666666666673</v>
      </c>
      <c r="AD73" s="171"/>
      <c r="AE73" s="171"/>
      <c r="AF73" s="171"/>
      <c r="AG73" s="171"/>
      <c r="AH73" s="171"/>
    </row>
    <row r="74" spans="1:34" ht="15" thickBot="1">
      <c r="A74" s="177">
        <v>102</v>
      </c>
      <c r="B74" s="181" t="s">
        <v>83</v>
      </c>
      <c r="C74" s="182">
        <v>17.5</v>
      </c>
      <c r="D74" s="182">
        <v>27.5</v>
      </c>
      <c r="E74" s="182">
        <v>35.9</v>
      </c>
      <c r="F74" s="182">
        <v>15.8</v>
      </c>
      <c r="G74" s="182">
        <v>52.6</v>
      </c>
      <c r="H74" s="182">
        <v>36.1</v>
      </c>
      <c r="I74" s="183">
        <v>30.900000000000002</v>
      </c>
      <c r="J74" s="177"/>
      <c r="K74" s="177"/>
      <c r="L74" s="181" t="s">
        <v>83</v>
      </c>
      <c r="M74" s="182">
        <v>17.5</v>
      </c>
      <c r="N74" s="182">
        <v>31.7</v>
      </c>
      <c r="O74" s="182">
        <v>28.5</v>
      </c>
      <c r="P74" s="182">
        <v>15.8</v>
      </c>
      <c r="Q74" s="182">
        <v>52.6</v>
      </c>
      <c r="R74" s="182">
        <v>36.6</v>
      </c>
      <c r="S74" s="183">
        <v>30.45</v>
      </c>
      <c r="T74" s="177"/>
      <c r="U74" s="177"/>
      <c r="V74" s="181" t="s">
        <v>83</v>
      </c>
      <c r="W74" s="182">
        <v>17.5</v>
      </c>
      <c r="X74" s="182">
        <v>29.6</v>
      </c>
      <c r="Y74" s="182">
        <v>32.200000000000003</v>
      </c>
      <c r="Z74" s="182">
        <v>15.8</v>
      </c>
      <c r="AA74" s="182">
        <v>52.6</v>
      </c>
      <c r="AB74" s="182">
        <v>36.35</v>
      </c>
      <c r="AC74" s="183">
        <v>30.675000000000001</v>
      </c>
      <c r="AD74" s="171"/>
      <c r="AE74" s="171"/>
      <c r="AF74" s="171"/>
      <c r="AG74" s="171"/>
      <c r="AH74" s="171"/>
    </row>
    <row r="75" spans="1:34" ht="15" thickBot="1">
      <c r="A75" s="177">
        <v>103</v>
      </c>
      <c r="B75" s="181" t="s">
        <v>84</v>
      </c>
      <c r="C75" s="182">
        <v>17.3</v>
      </c>
      <c r="D75" s="182">
        <v>14.7</v>
      </c>
      <c r="E75" s="182">
        <v>23.5</v>
      </c>
      <c r="F75" s="182">
        <v>19.899999999999999</v>
      </c>
      <c r="G75" s="182">
        <v>47.9</v>
      </c>
      <c r="H75" s="182">
        <v>43.2</v>
      </c>
      <c r="I75" s="183">
        <v>27.75</v>
      </c>
      <c r="J75" s="177"/>
      <c r="K75" s="177"/>
      <c r="L75" s="181" t="s">
        <v>84</v>
      </c>
      <c r="M75" s="182">
        <v>17.3</v>
      </c>
      <c r="N75" s="182">
        <v>10.6</v>
      </c>
      <c r="O75" s="182">
        <v>24.9</v>
      </c>
      <c r="P75" s="182">
        <v>22.3</v>
      </c>
      <c r="Q75" s="182">
        <v>51.9</v>
      </c>
      <c r="R75" s="182">
        <v>44.2</v>
      </c>
      <c r="S75" s="183">
        <v>28.533333333333331</v>
      </c>
      <c r="T75" s="177"/>
      <c r="U75" s="177"/>
      <c r="V75" s="181" t="s">
        <v>84</v>
      </c>
      <c r="W75" s="182">
        <v>17.3</v>
      </c>
      <c r="X75" s="182">
        <v>12.649999999999999</v>
      </c>
      <c r="Y75" s="182">
        <v>24.2</v>
      </c>
      <c r="Z75" s="182">
        <v>21.1</v>
      </c>
      <c r="AA75" s="182">
        <v>49.9</v>
      </c>
      <c r="AB75" s="182">
        <v>43.7</v>
      </c>
      <c r="AC75" s="183">
        <v>28.141666666666669</v>
      </c>
      <c r="AD75" s="171"/>
      <c r="AE75" s="171"/>
      <c r="AF75" s="171"/>
      <c r="AG75" s="171"/>
      <c r="AH75" s="171"/>
    </row>
    <row r="76" spans="1:34" ht="15" thickBot="1">
      <c r="A76" s="177">
        <v>106</v>
      </c>
      <c r="B76" s="181" t="s">
        <v>85</v>
      </c>
      <c r="C76" s="182">
        <v>13.9</v>
      </c>
      <c r="D76" s="182">
        <v>24.6</v>
      </c>
      <c r="E76" s="182">
        <v>33.1</v>
      </c>
      <c r="F76" s="182">
        <v>14.5</v>
      </c>
      <c r="G76" s="182">
        <v>58.2</v>
      </c>
      <c r="H76" s="182">
        <v>39.1</v>
      </c>
      <c r="I76" s="183">
        <v>30.566666666666666</v>
      </c>
      <c r="J76" s="177"/>
      <c r="K76" s="177"/>
      <c r="L76" s="181" t="s">
        <v>85</v>
      </c>
      <c r="M76" s="182">
        <v>10.5</v>
      </c>
      <c r="N76" s="182">
        <v>25.1</v>
      </c>
      <c r="O76" s="182">
        <v>32.200000000000003</v>
      </c>
      <c r="P76" s="182">
        <v>17.3</v>
      </c>
      <c r="Q76" s="182">
        <v>56.1</v>
      </c>
      <c r="R76" s="182">
        <v>32.700000000000003</v>
      </c>
      <c r="S76" s="183">
        <v>28.983333333333338</v>
      </c>
      <c r="T76" s="177"/>
      <c r="U76" s="177"/>
      <c r="V76" s="181" t="s">
        <v>85</v>
      </c>
      <c r="W76" s="182">
        <v>12.2</v>
      </c>
      <c r="X76" s="182">
        <v>24.85</v>
      </c>
      <c r="Y76" s="182">
        <v>32.650000000000006</v>
      </c>
      <c r="Z76" s="182">
        <v>15.9</v>
      </c>
      <c r="AA76" s="182">
        <v>57.150000000000006</v>
      </c>
      <c r="AB76" s="182">
        <v>35.900000000000006</v>
      </c>
      <c r="AC76" s="183">
        <v>29.775000000000002</v>
      </c>
      <c r="AD76" s="171"/>
      <c r="AE76" s="171"/>
      <c r="AF76" s="171"/>
      <c r="AG76" s="171"/>
      <c r="AH76" s="171"/>
    </row>
    <row r="77" spans="1:34" ht="15" thickBot="1">
      <c r="A77" s="177">
        <v>109</v>
      </c>
      <c r="B77" s="181" t="s">
        <v>86</v>
      </c>
      <c r="C77" s="182">
        <v>1.9</v>
      </c>
      <c r="D77" s="182">
        <v>24.6</v>
      </c>
      <c r="E77" s="182">
        <v>31</v>
      </c>
      <c r="F77" s="182">
        <v>21</v>
      </c>
      <c r="G77" s="182">
        <v>33.200000000000003</v>
      </c>
      <c r="H77" s="182">
        <v>40.799999999999997</v>
      </c>
      <c r="I77" s="183">
        <v>25.416666666666668</v>
      </c>
      <c r="J77" s="177"/>
      <c r="K77" s="177"/>
      <c r="L77" s="181" t="s">
        <v>86</v>
      </c>
      <c r="M77" s="182">
        <v>1.9</v>
      </c>
      <c r="N77" s="182">
        <v>26.7</v>
      </c>
      <c r="O77" s="182">
        <v>28.5</v>
      </c>
      <c r="P77" s="182">
        <v>21</v>
      </c>
      <c r="Q77" s="182">
        <v>37.799999999999997</v>
      </c>
      <c r="R77" s="182">
        <v>41.3</v>
      </c>
      <c r="S77" s="183">
        <v>26.2</v>
      </c>
      <c r="T77" s="177"/>
      <c r="U77" s="177"/>
      <c r="V77" s="181" t="s">
        <v>86</v>
      </c>
      <c r="W77" s="182">
        <v>1.9</v>
      </c>
      <c r="X77" s="182">
        <v>25.65</v>
      </c>
      <c r="Y77" s="182">
        <v>29.75</v>
      </c>
      <c r="Z77" s="182">
        <v>21</v>
      </c>
      <c r="AA77" s="182">
        <v>35.5</v>
      </c>
      <c r="AB77" s="182">
        <v>41.05</v>
      </c>
      <c r="AC77" s="183">
        <v>25.808333333333334</v>
      </c>
      <c r="AD77" s="171"/>
      <c r="AE77" s="171"/>
      <c r="AF77" s="171"/>
      <c r="AG77" s="171"/>
      <c r="AH77" s="171"/>
    </row>
    <row r="78" spans="1:34" ht="15" thickBot="1">
      <c r="A78" s="177">
        <v>110</v>
      </c>
      <c r="B78" s="181" t="s">
        <v>87</v>
      </c>
      <c r="C78" s="182">
        <v>27.3</v>
      </c>
      <c r="D78" s="182">
        <v>35.799999999999997</v>
      </c>
      <c r="E78" s="182">
        <v>29.9</v>
      </c>
      <c r="F78" s="182">
        <v>20.7</v>
      </c>
      <c r="G78" s="182">
        <v>51.2</v>
      </c>
      <c r="H78" s="182">
        <v>65</v>
      </c>
      <c r="I78" s="183">
        <v>38.31666666666667</v>
      </c>
      <c r="J78" s="177"/>
      <c r="K78" s="177"/>
      <c r="L78" s="181" t="s">
        <v>87</v>
      </c>
      <c r="M78" s="182">
        <v>27.3</v>
      </c>
      <c r="N78" s="182">
        <v>32.200000000000003</v>
      </c>
      <c r="O78" s="182">
        <v>35</v>
      </c>
      <c r="P78" s="182">
        <v>23.1</v>
      </c>
      <c r="Q78" s="182">
        <v>54.5</v>
      </c>
      <c r="R78" s="182">
        <v>65.8</v>
      </c>
      <c r="S78" s="183">
        <v>39.65</v>
      </c>
      <c r="T78" s="177"/>
      <c r="U78" s="177"/>
      <c r="V78" s="181" t="s">
        <v>87</v>
      </c>
      <c r="W78" s="182">
        <v>27.3</v>
      </c>
      <c r="X78" s="182">
        <v>34</v>
      </c>
      <c r="Y78" s="182">
        <v>32.450000000000003</v>
      </c>
      <c r="Z78" s="182">
        <v>21.9</v>
      </c>
      <c r="AA78" s="182">
        <v>52.85</v>
      </c>
      <c r="AB78" s="182">
        <v>65.400000000000006</v>
      </c>
      <c r="AC78" s="183">
        <v>38.983333333333334</v>
      </c>
      <c r="AD78" s="171"/>
      <c r="AE78" s="171"/>
      <c r="AF78" s="171"/>
      <c r="AG78" s="171"/>
      <c r="AH78" s="171"/>
    </row>
    <row r="79" spans="1:34" ht="15" thickBot="1">
      <c r="A79" s="177">
        <v>118</v>
      </c>
      <c r="B79" s="181" t="s">
        <v>88</v>
      </c>
      <c r="C79" s="182">
        <v>15.1</v>
      </c>
      <c r="D79" s="182">
        <v>24.2</v>
      </c>
      <c r="E79" s="182">
        <v>30.2</v>
      </c>
      <c r="F79" s="182">
        <v>24</v>
      </c>
      <c r="G79" s="182">
        <v>41</v>
      </c>
      <c r="H79" s="182">
        <v>43.1</v>
      </c>
      <c r="I79" s="183">
        <v>29.599999999999998</v>
      </c>
      <c r="J79" s="177"/>
      <c r="K79" s="177"/>
      <c r="L79" s="181" t="s">
        <v>88</v>
      </c>
      <c r="M79" s="182">
        <v>19.2</v>
      </c>
      <c r="N79" s="182">
        <v>28.3</v>
      </c>
      <c r="O79" s="182">
        <v>26.9</v>
      </c>
      <c r="P79" s="182">
        <v>24</v>
      </c>
      <c r="Q79" s="182">
        <v>43.6</v>
      </c>
      <c r="R79" s="182">
        <v>40.5</v>
      </c>
      <c r="S79" s="183">
        <v>30.416666666666668</v>
      </c>
      <c r="T79" s="177"/>
      <c r="U79" s="177"/>
      <c r="V79" s="181" t="s">
        <v>88</v>
      </c>
      <c r="W79" s="182">
        <v>17.149999999999999</v>
      </c>
      <c r="X79" s="182">
        <v>26.25</v>
      </c>
      <c r="Y79" s="182">
        <v>28.549999999999997</v>
      </c>
      <c r="Z79" s="182">
        <v>24</v>
      </c>
      <c r="AA79" s="182">
        <v>42.3</v>
      </c>
      <c r="AB79" s="182">
        <v>41.8</v>
      </c>
      <c r="AC79" s="183">
        <v>30.008333333333336</v>
      </c>
      <c r="AD79" s="171"/>
      <c r="AE79" s="171"/>
      <c r="AF79" s="171"/>
      <c r="AG79" s="171"/>
      <c r="AH79" s="171"/>
    </row>
    <row r="80" spans="1:34" ht="15" thickBot="1">
      <c r="A80" s="177">
        <v>120</v>
      </c>
      <c r="B80" s="181" t="s">
        <v>89</v>
      </c>
      <c r="C80" s="182">
        <v>12.5</v>
      </c>
      <c r="D80" s="182">
        <v>35.4</v>
      </c>
      <c r="E80" s="182">
        <v>27.4</v>
      </c>
      <c r="F80" s="182">
        <v>14.4</v>
      </c>
      <c r="G80" s="182">
        <v>41.5</v>
      </c>
      <c r="H80" s="182">
        <v>53.9</v>
      </c>
      <c r="I80" s="183">
        <v>30.849999999999998</v>
      </c>
      <c r="J80" s="177"/>
      <c r="K80" s="177"/>
      <c r="L80" s="181" t="s">
        <v>89</v>
      </c>
      <c r="M80" s="182">
        <v>9.1999999999999993</v>
      </c>
      <c r="N80" s="182">
        <v>31.8</v>
      </c>
      <c r="O80" s="182">
        <v>31.1</v>
      </c>
      <c r="P80" s="182">
        <v>16.8</v>
      </c>
      <c r="Q80" s="182">
        <v>40.6</v>
      </c>
      <c r="R80" s="182">
        <v>52.2</v>
      </c>
      <c r="S80" s="183">
        <v>30.283333333333331</v>
      </c>
      <c r="T80" s="177"/>
      <c r="U80" s="177"/>
      <c r="V80" s="181" t="s">
        <v>89</v>
      </c>
      <c r="W80" s="182">
        <v>10.85</v>
      </c>
      <c r="X80" s="182">
        <v>33.6</v>
      </c>
      <c r="Y80" s="182">
        <v>29.25</v>
      </c>
      <c r="Z80" s="182">
        <v>15.600000000000001</v>
      </c>
      <c r="AA80" s="182">
        <v>41.05</v>
      </c>
      <c r="AB80" s="182">
        <v>53.05</v>
      </c>
      <c r="AC80" s="183">
        <v>30.566666666666674</v>
      </c>
      <c r="AD80" s="171"/>
      <c r="AE80" s="171"/>
      <c r="AF80" s="171"/>
      <c r="AG80" s="171"/>
      <c r="AH80" s="171"/>
    </row>
    <row r="81" spans="1:34" ht="15" thickBot="1">
      <c r="A81" s="177">
        <v>1</v>
      </c>
      <c r="B81" s="181" t="s">
        <v>90</v>
      </c>
      <c r="C81" s="182">
        <v>22.3</v>
      </c>
      <c r="D81" s="182">
        <v>28.3</v>
      </c>
      <c r="E81" s="182">
        <v>25</v>
      </c>
      <c r="F81" s="182">
        <v>24</v>
      </c>
      <c r="G81" s="182">
        <v>41.7</v>
      </c>
      <c r="H81" s="182">
        <v>37.1</v>
      </c>
      <c r="I81" s="183">
        <v>29.733333333333334</v>
      </c>
      <c r="J81" s="177"/>
      <c r="K81" s="177"/>
      <c r="L81" s="181" t="s">
        <v>90</v>
      </c>
      <c r="M81" s="182">
        <v>18.899999999999999</v>
      </c>
      <c r="N81" s="182">
        <v>24.2</v>
      </c>
      <c r="O81" s="182">
        <v>26.7</v>
      </c>
      <c r="P81" s="182">
        <v>24</v>
      </c>
      <c r="Q81" s="182">
        <v>46.4</v>
      </c>
      <c r="R81" s="182">
        <v>31.9</v>
      </c>
      <c r="S81" s="183">
        <v>28.683333333333334</v>
      </c>
      <c r="T81" s="177"/>
      <c r="U81" s="177"/>
      <c r="V81" s="181" t="s">
        <v>90</v>
      </c>
      <c r="W81" s="182">
        <v>20.6</v>
      </c>
      <c r="X81" s="182">
        <v>26.25</v>
      </c>
      <c r="Y81" s="182">
        <v>25.85</v>
      </c>
      <c r="Z81" s="182">
        <v>24</v>
      </c>
      <c r="AA81" s="182">
        <v>44.05</v>
      </c>
      <c r="AB81" s="182">
        <v>34.5</v>
      </c>
      <c r="AC81" s="183">
        <v>29.208333333333332</v>
      </c>
      <c r="AD81" s="171"/>
      <c r="AE81" s="171"/>
      <c r="AF81" s="171"/>
      <c r="AG81" s="171"/>
      <c r="AH81" s="171"/>
    </row>
    <row r="82" spans="1:34" ht="15" thickBot="1">
      <c r="A82" s="177">
        <v>127</v>
      </c>
      <c r="B82" s="181" t="s">
        <v>91</v>
      </c>
      <c r="C82" s="182">
        <v>23.5</v>
      </c>
      <c r="D82" s="182">
        <v>35.799999999999997</v>
      </c>
      <c r="E82" s="182">
        <v>41.8</v>
      </c>
      <c r="F82" s="182">
        <v>23.4</v>
      </c>
      <c r="G82" s="182">
        <v>54.7</v>
      </c>
      <c r="H82" s="182">
        <v>42.6</v>
      </c>
      <c r="I82" s="183">
        <v>36.966666666666661</v>
      </c>
      <c r="J82" s="177"/>
      <c r="K82" s="177"/>
      <c r="L82" s="181" t="s">
        <v>91</v>
      </c>
      <c r="M82" s="182">
        <v>20.100000000000001</v>
      </c>
      <c r="N82" s="182">
        <v>37.9</v>
      </c>
      <c r="O82" s="182">
        <v>43.2</v>
      </c>
      <c r="P82" s="182">
        <v>23.4</v>
      </c>
      <c r="Q82" s="182">
        <v>62.8</v>
      </c>
      <c r="R82" s="182">
        <v>40.700000000000003</v>
      </c>
      <c r="S82" s="183">
        <v>38.016666666666659</v>
      </c>
      <c r="T82" s="177"/>
      <c r="U82" s="177"/>
      <c r="V82" s="181" t="s">
        <v>91</v>
      </c>
      <c r="W82" s="182">
        <v>21.8</v>
      </c>
      <c r="X82" s="182">
        <v>36.849999999999994</v>
      </c>
      <c r="Y82" s="182">
        <v>42.5</v>
      </c>
      <c r="Z82" s="182">
        <v>23.4</v>
      </c>
      <c r="AA82" s="182">
        <v>58.75</v>
      </c>
      <c r="AB82" s="182">
        <v>41.650000000000006</v>
      </c>
      <c r="AC82" s="183">
        <v>37.491666666666667</v>
      </c>
      <c r="AD82" s="171"/>
      <c r="AE82" s="171"/>
      <c r="AF82" s="171"/>
      <c r="AG82" s="171"/>
      <c r="AH82" s="171"/>
    </row>
    <row r="83" spans="1:34" ht="15" thickBot="1">
      <c r="A83" s="177">
        <v>145</v>
      </c>
      <c r="B83" s="181" t="s">
        <v>92</v>
      </c>
      <c r="C83" s="182">
        <v>29.7</v>
      </c>
      <c r="D83" s="182">
        <v>24.6</v>
      </c>
      <c r="E83" s="182">
        <v>28.5</v>
      </c>
      <c r="F83" s="182">
        <v>20.9</v>
      </c>
      <c r="G83" s="182">
        <v>33.9</v>
      </c>
      <c r="H83" s="182">
        <v>49.2</v>
      </c>
      <c r="I83" s="183">
        <v>31.133333333333336</v>
      </c>
      <c r="J83" s="177"/>
      <c r="K83" s="177"/>
      <c r="L83" s="181" t="s">
        <v>92</v>
      </c>
      <c r="M83" s="182">
        <v>25.4</v>
      </c>
      <c r="N83" s="182">
        <v>34.6</v>
      </c>
      <c r="O83" s="182">
        <v>30.5</v>
      </c>
      <c r="P83" s="182">
        <v>18.5</v>
      </c>
      <c r="Q83" s="182">
        <v>39.4</v>
      </c>
      <c r="R83" s="182">
        <v>50.1</v>
      </c>
      <c r="S83" s="183">
        <v>33.083333333333336</v>
      </c>
      <c r="T83" s="177"/>
      <c r="U83" s="177"/>
      <c r="V83" s="181" t="s">
        <v>92</v>
      </c>
      <c r="W83" s="182">
        <v>27.549999999999997</v>
      </c>
      <c r="X83" s="182">
        <v>29.6</v>
      </c>
      <c r="Y83" s="182">
        <v>29.5</v>
      </c>
      <c r="Z83" s="182">
        <v>19.7</v>
      </c>
      <c r="AA83" s="182">
        <v>36.65</v>
      </c>
      <c r="AB83" s="182">
        <v>49.650000000000006</v>
      </c>
      <c r="AC83" s="183">
        <v>32.108333333333334</v>
      </c>
      <c r="AD83" s="171"/>
      <c r="AE83" s="171"/>
      <c r="AF83" s="171"/>
      <c r="AG83" s="171"/>
      <c r="AH83" s="171"/>
    </row>
    <row r="84" spans="1:34" ht="15" thickBot="1">
      <c r="A84" s="177">
        <v>148</v>
      </c>
      <c r="B84" s="181" t="s">
        <v>93</v>
      </c>
      <c r="C84" s="182">
        <v>1E-3</v>
      </c>
      <c r="D84" s="182">
        <v>5.8</v>
      </c>
      <c r="E84" s="182">
        <v>29.4</v>
      </c>
      <c r="F84" s="182">
        <v>10.9</v>
      </c>
      <c r="G84" s="182">
        <v>34.700000000000003</v>
      </c>
      <c r="H84" s="182">
        <v>44.7</v>
      </c>
      <c r="I84" s="183">
        <v>20.916833333333333</v>
      </c>
      <c r="J84" s="177"/>
      <c r="K84" s="177"/>
      <c r="L84" s="181" t="s">
        <v>93</v>
      </c>
      <c r="M84" s="182">
        <v>14.4</v>
      </c>
      <c r="N84" s="182">
        <v>7.9</v>
      </c>
      <c r="O84" s="182">
        <v>32.1</v>
      </c>
      <c r="P84" s="182">
        <v>25.2</v>
      </c>
      <c r="Q84" s="182">
        <v>33.9</v>
      </c>
      <c r="R84" s="182">
        <v>46</v>
      </c>
      <c r="S84" s="183">
        <v>26.583333333333332</v>
      </c>
      <c r="T84" s="177"/>
      <c r="U84" s="177"/>
      <c r="V84" s="181" t="s">
        <v>93</v>
      </c>
      <c r="W84" s="182">
        <v>7.2004999999999999</v>
      </c>
      <c r="X84" s="182">
        <v>6.85</v>
      </c>
      <c r="Y84" s="182">
        <v>30.75</v>
      </c>
      <c r="Z84" s="182">
        <v>18.05</v>
      </c>
      <c r="AA84" s="182">
        <v>34.299999999999997</v>
      </c>
      <c r="AB84" s="182">
        <v>45.35</v>
      </c>
      <c r="AC84" s="183">
        <v>23.750083333333333</v>
      </c>
      <c r="AD84" s="171"/>
      <c r="AE84" s="171"/>
      <c r="AF84" s="171"/>
      <c r="AG84" s="171"/>
      <c r="AH84" s="171"/>
    </row>
    <row r="85" spans="1:34" ht="15" thickBot="1">
      <c r="A85" s="177">
        <v>150</v>
      </c>
      <c r="B85" s="181" t="s">
        <v>94</v>
      </c>
      <c r="C85" s="182">
        <v>14.3</v>
      </c>
      <c r="D85" s="182">
        <v>28.3</v>
      </c>
      <c r="E85" s="182">
        <v>49.5</v>
      </c>
      <c r="F85" s="182">
        <v>14.3</v>
      </c>
      <c r="G85" s="182">
        <v>56.8</v>
      </c>
      <c r="H85" s="182">
        <v>51.9</v>
      </c>
      <c r="I85" s="183">
        <v>35.85</v>
      </c>
      <c r="J85" s="177"/>
      <c r="K85" s="177"/>
      <c r="L85" s="181" t="s">
        <v>94</v>
      </c>
      <c r="M85" s="182">
        <v>11</v>
      </c>
      <c r="N85" s="182">
        <v>28.3</v>
      </c>
      <c r="O85" s="182">
        <v>41.3</v>
      </c>
      <c r="P85" s="182">
        <v>14.6</v>
      </c>
      <c r="Q85" s="182">
        <v>54</v>
      </c>
      <c r="R85" s="182">
        <v>47.8</v>
      </c>
      <c r="S85" s="183">
        <v>32.833333333333336</v>
      </c>
      <c r="T85" s="177"/>
      <c r="U85" s="177"/>
      <c r="V85" s="181" t="s">
        <v>94</v>
      </c>
      <c r="W85" s="182">
        <v>12.65</v>
      </c>
      <c r="X85" s="182">
        <v>28.3</v>
      </c>
      <c r="Y85" s="182">
        <v>45.4</v>
      </c>
      <c r="Z85" s="182">
        <v>14.45</v>
      </c>
      <c r="AA85" s="182">
        <v>55.4</v>
      </c>
      <c r="AB85" s="182">
        <v>49.849999999999994</v>
      </c>
      <c r="AC85" s="183">
        <v>34.341666666666661</v>
      </c>
      <c r="AD85" s="171"/>
      <c r="AE85" s="171"/>
      <c r="AF85" s="171"/>
      <c r="AG85" s="171"/>
      <c r="AH85" s="171"/>
    </row>
    <row r="86" spans="1:34" ht="15" thickBot="1">
      <c r="A86" s="177">
        <v>152</v>
      </c>
      <c r="B86" s="181" t="s">
        <v>95</v>
      </c>
      <c r="C86" s="182">
        <v>8.3000000000000007</v>
      </c>
      <c r="D86" s="182">
        <v>22.9</v>
      </c>
      <c r="E86" s="182">
        <v>37.4</v>
      </c>
      <c r="F86" s="182">
        <v>15.8</v>
      </c>
      <c r="G86" s="182">
        <v>45.1</v>
      </c>
      <c r="H86" s="182">
        <v>69.8</v>
      </c>
      <c r="I86" s="183">
        <v>33.216666666666669</v>
      </c>
      <c r="J86" s="177"/>
      <c r="K86" s="177"/>
      <c r="L86" s="181" t="s">
        <v>95</v>
      </c>
      <c r="M86" s="182">
        <v>8.6</v>
      </c>
      <c r="N86" s="182">
        <v>18.8</v>
      </c>
      <c r="O86" s="182">
        <v>32.5</v>
      </c>
      <c r="P86" s="182">
        <v>18.2</v>
      </c>
      <c r="Q86" s="182">
        <v>45.7</v>
      </c>
      <c r="R86" s="182">
        <v>67.3</v>
      </c>
      <c r="S86" s="183">
        <v>31.849999999999998</v>
      </c>
      <c r="T86" s="177"/>
      <c r="U86" s="177"/>
      <c r="V86" s="181" t="s">
        <v>95</v>
      </c>
      <c r="W86" s="182">
        <v>8.4499999999999993</v>
      </c>
      <c r="X86" s="182">
        <v>20.85</v>
      </c>
      <c r="Y86" s="182">
        <v>34.950000000000003</v>
      </c>
      <c r="Z86" s="182">
        <v>17</v>
      </c>
      <c r="AA86" s="182">
        <v>45.400000000000006</v>
      </c>
      <c r="AB86" s="182">
        <v>68.55</v>
      </c>
      <c r="AC86" s="183">
        <v>32.533333333333331</v>
      </c>
      <c r="AD86" s="171"/>
      <c r="AE86" s="171"/>
      <c r="AF86" s="171"/>
      <c r="AG86" s="171"/>
      <c r="AH86" s="171"/>
    </row>
    <row r="87" spans="1:34" ht="15" thickBot="1">
      <c r="A87" s="177">
        <v>153</v>
      </c>
      <c r="B87" s="181" t="s">
        <v>96</v>
      </c>
      <c r="C87" s="182">
        <v>17.399999999999999</v>
      </c>
      <c r="D87" s="182">
        <v>31.4</v>
      </c>
      <c r="E87" s="182">
        <v>39.1</v>
      </c>
      <c r="F87" s="182">
        <v>30.6</v>
      </c>
      <c r="G87" s="182">
        <v>48.6</v>
      </c>
      <c r="H87" s="182">
        <v>37.700000000000003</v>
      </c>
      <c r="I87" s="183">
        <v>34.133333333333333</v>
      </c>
      <c r="J87" s="177"/>
      <c r="K87" s="177"/>
      <c r="L87" s="181" t="s">
        <v>96</v>
      </c>
      <c r="M87" s="182">
        <v>9</v>
      </c>
      <c r="N87" s="182">
        <v>31.4</v>
      </c>
      <c r="O87" s="182">
        <v>37.299999999999997</v>
      </c>
      <c r="P87" s="182">
        <v>31</v>
      </c>
      <c r="Q87" s="182">
        <v>47.2</v>
      </c>
      <c r="R87" s="182">
        <v>40.299999999999997</v>
      </c>
      <c r="S87" s="183">
        <v>32.699999999999996</v>
      </c>
      <c r="T87" s="177"/>
      <c r="U87" s="177"/>
      <c r="V87" s="181" t="s">
        <v>96</v>
      </c>
      <c r="W87" s="182">
        <v>13.2</v>
      </c>
      <c r="X87" s="182">
        <v>31.4</v>
      </c>
      <c r="Y87" s="182">
        <v>38.200000000000003</v>
      </c>
      <c r="Z87" s="182">
        <v>30.8</v>
      </c>
      <c r="AA87" s="182">
        <v>47.900000000000006</v>
      </c>
      <c r="AB87" s="182">
        <v>39</v>
      </c>
      <c r="AC87" s="183">
        <v>33.416666666666664</v>
      </c>
      <c r="AD87" s="171"/>
      <c r="AE87" s="171"/>
      <c r="AF87" s="171"/>
      <c r="AG87" s="171"/>
      <c r="AH87" s="171"/>
    </row>
    <row r="88" spans="1:34" ht="15" thickBot="1">
      <c r="A88" s="177">
        <v>159</v>
      </c>
      <c r="B88" s="181" t="s">
        <v>97</v>
      </c>
      <c r="C88" s="182">
        <v>35.5</v>
      </c>
      <c r="D88" s="182">
        <v>52.1</v>
      </c>
      <c r="E88" s="182">
        <v>61.3</v>
      </c>
      <c r="F88" s="182">
        <v>29.3</v>
      </c>
      <c r="G88" s="182">
        <v>47.2</v>
      </c>
      <c r="H88" s="182">
        <v>59.4</v>
      </c>
      <c r="I88" s="183">
        <v>47.466666666666661</v>
      </c>
      <c r="J88" s="177"/>
      <c r="K88" s="177"/>
      <c r="L88" s="181" t="s">
        <v>97</v>
      </c>
      <c r="M88" s="182">
        <v>32.1</v>
      </c>
      <c r="N88" s="182">
        <v>50</v>
      </c>
      <c r="O88" s="182">
        <v>62</v>
      </c>
      <c r="P88" s="182">
        <v>29.2</v>
      </c>
      <c r="Q88" s="182">
        <v>43.1</v>
      </c>
      <c r="R88" s="182">
        <v>58.5</v>
      </c>
      <c r="S88" s="183">
        <v>45.816666666666663</v>
      </c>
      <c r="T88" s="177"/>
      <c r="U88" s="177"/>
      <c r="V88" s="181" t="s">
        <v>97</v>
      </c>
      <c r="W88" s="182">
        <v>33.799999999999997</v>
      </c>
      <c r="X88" s="182">
        <v>51.05</v>
      </c>
      <c r="Y88" s="182">
        <v>61.65</v>
      </c>
      <c r="Z88" s="182">
        <v>29.25</v>
      </c>
      <c r="AA88" s="182">
        <v>45.150000000000006</v>
      </c>
      <c r="AB88" s="182">
        <v>58.95</v>
      </c>
      <c r="AC88" s="183">
        <v>46.641666666666673</v>
      </c>
      <c r="AD88" s="171"/>
      <c r="AE88" s="171"/>
      <c r="AF88" s="171"/>
      <c r="AG88" s="171"/>
      <c r="AH88" s="171"/>
    </row>
    <row r="89" spans="1:34" ht="15" thickBot="1">
      <c r="A89" s="177">
        <v>161</v>
      </c>
      <c r="B89" s="181" t="s">
        <v>98</v>
      </c>
      <c r="C89" s="182">
        <v>15.4</v>
      </c>
      <c r="D89" s="182">
        <v>16.7</v>
      </c>
      <c r="E89" s="182">
        <v>21.3</v>
      </c>
      <c r="F89" s="182">
        <v>17.100000000000001</v>
      </c>
      <c r="G89" s="182">
        <v>31.3</v>
      </c>
      <c r="H89" s="182">
        <v>27.8</v>
      </c>
      <c r="I89" s="183">
        <v>21.599999999999998</v>
      </c>
      <c r="J89" s="177"/>
      <c r="K89" s="177"/>
      <c r="L89" s="181" t="s">
        <v>98</v>
      </c>
      <c r="M89" s="182">
        <v>12.1</v>
      </c>
      <c r="N89" s="182">
        <v>14.6</v>
      </c>
      <c r="O89" s="182">
        <v>25.4</v>
      </c>
      <c r="P89" s="182">
        <v>19.5</v>
      </c>
      <c r="Q89" s="182">
        <v>31.3</v>
      </c>
      <c r="R89" s="182">
        <v>25.1</v>
      </c>
      <c r="S89" s="183">
        <v>21.333333333333332</v>
      </c>
      <c r="T89" s="177"/>
      <c r="U89" s="177"/>
      <c r="V89" s="181" t="s">
        <v>98</v>
      </c>
      <c r="W89" s="182">
        <v>13.75</v>
      </c>
      <c r="X89" s="182">
        <v>15.649999999999999</v>
      </c>
      <c r="Y89" s="182">
        <v>23.35</v>
      </c>
      <c r="Z89" s="182">
        <v>18.3</v>
      </c>
      <c r="AA89" s="182">
        <v>31.3</v>
      </c>
      <c r="AB89" s="182">
        <v>26.450000000000003</v>
      </c>
      <c r="AC89" s="183">
        <v>21.466666666666669</v>
      </c>
      <c r="AD89" s="171"/>
      <c r="AE89" s="171"/>
      <c r="AF89" s="171"/>
      <c r="AG89" s="171"/>
      <c r="AH89" s="171"/>
    </row>
    <row r="90" spans="1:34" ht="15" thickBot="1">
      <c r="A90" s="177">
        <v>173</v>
      </c>
      <c r="B90" s="181" t="s">
        <v>99</v>
      </c>
      <c r="C90" s="182">
        <v>18.8</v>
      </c>
      <c r="D90" s="182">
        <v>29.7</v>
      </c>
      <c r="E90" s="182">
        <v>29.9</v>
      </c>
      <c r="F90" s="182">
        <v>11</v>
      </c>
      <c r="G90" s="182">
        <v>53.1</v>
      </c>
      <c r="H90" s="182">
        <v>50.8</v>
      </c>
      <c r="I90" s="183">
        <v>32.216666666666669</v>
      </c>
      <c r="J90" s="177"/>
      <c r="K90" s="177"/>
      <c r="L90" s="181" t="s">
        <v>99</v>
      </c>
      <c r="M90" s="182">
        <v>15.4</v>
      </c>
      <c r="N90" s="182">
        <v>25.6</v>
      </c>
      <c r="O90" s="182">
        <v>26.4</v>
      </c>
      <c r="P90" s="182">
        <v>11</v>
      </c>
      <c r="Q90" s="182">
        <v>58.9</v>
      </c>
      <c r="R90" s="182">
        <v>50.5</v>
      </c>
      <c r="S90" s="183">
        <v>31.3</v>
      </c>
      <c r="T90" s="177"/>
      <c r="U90" s="177"/>
      <c r="V90" s="181" t="s">
        <v>99</v>
      </c>
      <c r="W90" s="182">
        <v>17.100000000000001</v>
      </c>
      <c r="X90" s="182">
        <v>27.65</v>
      </c>
      <c r="Y90" s="182">
        <v>28.15</v>
      </c>
      <c r="Z90" s="182">
        <v>11</v>
      </c>
      <c r="AA90" s="182">
        <v>56</v>
      </c>
      <c r="AB90" s="182">
        <v>50.65</v>
      </c>
      <c r="AC90" s="183">
        <v>31.758333333333336</v>
      </c>
      <c r="AD90" s="171"/>
      <c r="AE90" s="171"/>
      <c r="AF90" s="171"/>
      <c r="AG90" s="171"/>
      <c r="AH90" s="171"/>
    </row>
    <row r="91" spans="1:34" ht="15" thickBot="1">
      <c r="A91" s="177">
        <v>176</v>
      </c>
      <c r="B91" s="181" t="s">
        <v>100</v>
      </c>
      <c r="C91" s="182">
        <v>13.6</v>
      </c>
      <c r="D91" s="182">
        <v>27.1</v>
      </c>
      <c r="E91" s="182">
        <v>30.3</v>
      </c>
      <c r="F91" s="182">
        <v>11.5</v>
      </c>
      <c r="G91" s="182">
        <v>33.299999999999997</v>
      </c>
      <c r="H91" s="182">
        <v>40.9</v>
      </c>
      <c r="I91" s="183">
        <v>26.116666666666664</v>
      </c>
      <c r="J91" s="177"/>
      <c r="K91" s="177"/>
      <c r="L91" s="181" t="s">
        <v>100</v>
      </c>
      <c r="M91" s="182">
        <v>10.199999999999999</v>
      </c>
      <c r="N91" s="182">
        <v>34.6</v>
      </c>
      <c r="O91" s="182">
        <v>27</v>
      </c>
      <c r="P91" s="182">
        <v>13.8</v>
      </c>
      <c r="Q91" s="182">
        <v>38.5</v>
      </c>
      <c r="R91" s="182">
        <v>42.6</v>
      </c>
      <c r="S91" s="183">
        <v>27.783333333333331</v>
      </c>
      <c r="T91" s="177"/>
      <c r="U91" s="177"/>
      <c r="V91" s="181" t="s">
        <v>100</v>
      </c>
      <c r="W91" s="182">
        <v>11.899999999999999</v>
      </c>
      <c r="X91" s="182">
        <v>30.85</v>
      </c>
      <c r="Y91" s="182">
        <v>28.65</v>
      </c>
      <c r="Z91" s="182">
        <v>12.65</v>
      </c>
      <c r="AA91" s="182">
        <v>35.9</v>
      </c>
      <c r="AB91" s="182">
        <v>41.75</v>
      </c>
      <c r="AC91" s="183">
        <v>26.950000000000003</v>
      </c>
      <c r="AD91" s="171"/>
      <c r="AE91" s="171"/>
      <c r="AF91" s="171"/>
      <c r="AG91" s="171"/>
      <c r="AH91" s="171"/>
    </row>
    <row r="92" spans="1:34" ht="15" thickBot="1">
      <c r="A92" s="177">
        <v>183</v>
      </c>
      <c r="B92" s="181" t="s">
        <v>101</v>
      </c>
      <c r="C92" s="182">
        <v>22.9</v>
      </c>
      <c r="D92" s="182">
        <v>35</v>
      </c>
      <c r="E92" s="182">
        <v>45.1</v>
      </c>
      <c r="F92" s="182">
        <v>20.399999999999999</v>
      </c>
      <c r="G92" s="182">
        <v>67.2</v>
      </c>
      <c r="H92" s="182">
        <v>43.4</v>
      </c>
      <c r="I92" s="183">
        <v>39.000000000000007</v>
      </c>
      <c r="J92" s="177"/>
      <c r="K92" s="177"/>
      <c r="L92" s="181" t="s">
        <v>101</v>
      </c>
      <c r="M92" s="182">
        <v>19.5</v>
      </c>
      <c r="N92" s="182">
        <v>35.6</v>
      </c>
      <c r="O92" s="182">
        <v>33.799999999999997</v>
      </c>
      <c r="P92" s="182">
        <v>20.399999999999999</v>
      </c>
      <c r="Q92" s="182">
        <v>67.2</v>
      </c>
      <c r="R92" s="182">
        <v>42.4</v>
      </c>
      <c r="S92" s="183">
        <v>36.483333333333334</v>
      </c>
      <c r="T92" s="177"/>
      <c r="U92" s="177"/>
      <c r="V92" s="181" t="s">
        <v>101</v>
      </c>
      <c r="W92" s="182">
        <v>21.2</v>
      </c>
      <c r="X92" s="182">
        <v>35.299999999999997</v>
      </c>
      <c r="Y92" s="182">
        <v>39.450000000000003</v>
      </c>
      <c r="Z92" s="182">
        <v>20.399999999999999</v>
      </c>
      <c r="AA92" s="182">
        <v>67.2</v>
      </c>
      <c r="AB92" s="182">
        <v>42.9</v>
      </c>
      <c r="AC92" s="183">
        <v>37.741666666666667</v>
      </c>
      <c r="AD92" s="171"/>
      <c r="AE92" s="171"/>
      <c r="AF92" s="171"/>
      <c r="AG92" s="171"/>
      <c r="AH92" s="171"/>
    </row>
    <row r="93" spans="1:34" ht="15" thickBot="1">
      <c r="A93" s="177">
        <v>194</v>
      </c>
      <c r="B93" s="181" t="s">
        <v>102</v>
      </c>
      <c r="C93" s="182">
        <v>14</v>
      </c>
      <c r="D93" s="182">
        <v>18.8</v>
      </c>
      <c r="E93" s="182">
        <v>33</v>
      </c>
      <c r="F93" s="182">
        <v>20.8</v>
      </c>
      <c r="G93" s="182">
        <v>35.200000000000003</v>
      </c>
      <c r="H93" s="182">
        <v>46.4</v>
      </c>
      <c r="I93" s="183">
        <v>28.033333333333331</v>
      </c>
      <c r="J93" s="177"/>
      <c r="K93" s="177"/>
      <c r="L93" s="181" t="s">
        <v>102</v>
      </c>
      <c r="M93" s="182">
        <v>5.6</v>
      </c>
      <c r="N93" s="182">
        <v>19.3</v>
      </c>
      <c r="O93" s="182">
        <v>34.9</v>
      </c>
      <c r="P93" s="182">
        <v>21.1</v>
      </c>
      <c r="Q93" s="182">
        <v>34.4</v>
      </c>
      <c r="R93" s="182">
        <v>43.5</v>
      </c>
      <c r="S93" s="183">
        <v>26.466666666666669</v>
      </c>
      <c r="T93" s="177"/>
      <c r="U93" s="177"/>
      <c r="V93" s="181" t="s">
        <v>102</v>
      </c>
      <c r="W93" s="182">
        <v>9.8000000000000007</v>
      </c>
      <c r="X93" s="182">
        <v>19.05</v>
      </c>
      <c r="Y93" s="182">
        <v>33.950000000000003</v>
      </c>
      <c r="Z93" s="182">
        <v>20.950000000000003</v>
      </c>
      <c r="AA93" s="182">
        <v>34.799999999999997</v>
      </c>
      <c r="AB93" s="182">
        <v>44.95</v>
      </c>
      <c r="AC93" s="183">
        <v>27.25</v>
      </c>
      <c r="AD93" s="171"/>
      <c r="AE93" s="171"/>
      <c r="AF93" s="171"/>
      <c r="AG93" s="171"/>
      <c r="AH93" s="171"/>
    </row>
    <row r="94" spans="1:34" ht="15" thickBot="1">
      <c r="A94" s="177">
        <v>195</v>
      </c>
      <c r="B94" s="181" t="s">
        <v>103</v>
      </c>
      <c r="C94" s="182">
        <v>21.4</v>
      </c>
      <c r="D94" s="182">
        <v>40.4</v>
      </c>
      <c r="E94" s="182">
        <v>36.9</v>
      </c>
      <c r="F94" s="182">
        <v>14.4</v>
      </c>
      <c r="G94" s="182">
        <v>42.2</v>
      </c>
      <c r="H94" s="182">
        <v>44.9</v>
      </c>
      <c r="I94" s="183">
        <v>33.366666666666667</v>
      </c>
      <c r="J94" s="177"/>
      <c r="K94" s="177"/>
      <c r="L94" s="181" t="s">
        <v>103</v>
      </c>
      <c r="M94" s="182">
        <v>18.100000000000001</v>
      </c>
      <c r="N94" s="182">
        <v>40.4</v>
      </c>
      <c r="O94" s="182">
        <v>31.4</v>
      </c>
      <c r="P94" s="182">
        <v>16.8</v>
      </c>
      <c r="Q94" s="182">
        <v>42.7</v>
      </c>
      <c r="R94" s="182">
        <v>44.9</v>
      </c>
      <c r="S94" s="183">
        <v>32.383333333333333</v>
      </c>
      <c r="T94" s="177"/>
      <c r="U94" s="177"/>
      <c r="V94" s="181" t="s">
        <v>103</v>
      </c>
      <c r="W94" s="182">
        <v>19.75</v>
      </c>
      <c r="X94" s="182">
        <v>40.4</v>
      </c>
      <c r="Y94" s="182">
        <v>34.15</v>
      </c>
      <c r="Z94" s="182">
        <v>15.600000000000001</v>
      </c>
      <c r="AA94" s="182">
        <v>42.45</v>
      </c>
      <c r="AB94" s="182">
        <v>44.9</v>
      </c>
      <c r="AC94" s="183">
        <v>32.875000000000007</v>
      </c>
      <c r="AD94" s="171"/>
      <c r="AE94" s="171"/>
      <c r="AF94" s="171"/>
      <c r="AG94" s="171"/>
      <c r="AH94" s="171"/>
    </row>
    <row r="95" spans="1:34">
      <c r="A95" s="177"/>
      <c r="B95" s="185"/>
      <c r="C95" s="185"/>
      <c r="D95" s="185"/>
      <c r="E95" s="185"/>
      <c r="F95" s="185"/>
      <c r="G95" s="185"/>
      <c r="H95" s="185"/>
      <c r="I95" s="185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1"/>
      <c r="AE95" s="171"/>
      <c r="AF95" s="171"/>
      <c r="AG95" s="171"/>
      <c r="AH95" s="171"/>
    </row>
    <row r="96" spans="1:34">
      <c r="A96" s="177"/>
      <c r="B96" s="175"/>
      <c r="C96" s="176"/>
      <c r="D96" s="176"/>
      <c r="E96" s="176"/>
      <c r="F96" s="176"/>
      <c r="G96" s="176"/>
      <c r="H96" s="176"/>
      <c r="I96" s="176"/>
      <c r="J96" s="176"/>
      <c r="K96" s="175"/>
      <c r="L96" s="175"/>
      <c r="M96" s="175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176"/>
      <c r="Z96" s="176"/>
      <c r="AA96" s="176"/>
      <c r="AB96" s="176"/>
      <c r="AC96" s="176"/>
      <c r="AD96" s="171"/>
      <c r="AE96" s="171"/>
      <c r="AF96" s="171"/>
      <c r="AG96" s="171"/>
      <c r="AH96" s="171"/>
    </row>
    <row r="97" spans="1:34" ht="15" thickBot="1">
      <c r="A97" s="177"/>
      <c r="B97" s="178" t="s">
        <v>104</v>
      </c>
      <c r="C97" s="177"/>
      <c r="D97" s="177"/>
      <c r="E97" s="177"/>
      <c r="F97" s="177"/>
      <c r="G97" s="177"/>
      <c r="H97" s="177"/>
      <c r="I97" s="177"/>
      <c r="J97" s="177"/>
      <c r="K97" s="177"/>
      <c r="L97" s="178" t="s">
        <v>105</v>
      </c>
      <c r="M97" s="177"/>
      <c r="N97" s="177"/>
      <c r="O97" s="177"/>
      <c r="P97" s="177"/>
      <c r="Q97" s="177"/>
      <c r="R97" s="177"/>
      <c r="S97" s="177"/>
      <c r="T97" s="177"/>
      <c r="U97" s="177"/>
      <c r="V97" s="178" t="s">
        <v>106</v>
      </c>
      <c r="W97" s="177"/>
      <c r="X97" s="177"/>
      <c r="Y97" s="177"/>
      <c r="Z97" s="177"/>
      <c r="AA97" s="177"/>
      <c r="AB97" s="177"/>
      <c r="AC97" s="177"/>
      <c r="AD97" s="171"/>
      <c r="AE97" s="171"/>
      <c r="AF97" s="171"/>
      <c r="AG97" s="171"/>
      <c r="AH97" s="171"/>
    </row>
    <row r="98" spans="1:34" ht="15" thickBot="1">
      <c r="A98" s="177"/>
      <c r="B98" s="179" t="s">
        <v>25</v>
      </c>
      <c r="C98" s="180" t="s">
        <v>5</v>
      </c>
      <c r="D98" s="180" t="s">
        <v>8</v>
      </c>
      <c r="E98" s="180" t="s">
        <v>11</v>
      </c>
      <c r="F98" s="180" t="s">
        <v>14</v>
      </c>
      <c r="G98" s="180" t="s">
        <v>17</v>
      </c>
      <c r="H98" s="180" t="s">
        <v>20</v>
      </c>
      <c r="I98" s="180" t="s">
        <v>26</v>
      </c>
      <c r="J98" s="177"/>
      <c r="K98" s="177"/>
      <c r="L98" s="179" t="s">
        <v>25</v>
      </c>
      <c r="M98" s="180" t="s">
        <v>5</v>
      </c>
      <c r="N98" s="180" t="s">
        <v>8</v>
      </c>
      <c r="O98" s="180" t="s">
        <v>11</v>
      </c>
      <c r="P98" s="180" t="s">
        <v>14</v>
      </c>
      <c r="Q98" s="180" t="s">
        <v>17</v>
      </c>
      <c r="R98" s="180" t="s">
        <v>20</v>
      </c>
      <c r="S98" s="180" t="s">
        <v>26</v>
      </c>
      <c r="T98" s="177"/>
      <c r="U98" s="177"/>
      <c r="V98" s="179" t="s">
        <v>25</v>
      </c>
      <c r="W98" s="180" t="s">
        <v>5</v>
      </c>
      <c r="X98" s="180" t="s">
        <v>8</v>
      </c>
      <c r="Y98" s="180" t="s">
        <v>11</v>
      </c>
      <c r="Z98" s="180" t="s">
        <v>14</v>
      </c>
      <c r="AA98" s="180" t="s">
        <v>17</v>
      </c>
      <c r="AB98" s="180" t="s">
        <v>20</v>
      </c>
      <c r="AC98" s="180" t="s">
        <v>26</v>
      </c>
      <c r="AD98" s="171"/>
      <c r="AE98" s="171"/>
      <c r="AF98" s="171"/>
      <c r="AG98" s="171"/>
      <c r="AH98" s="171"/>
    </row>
    <row r="99" spans="1:34" ht="15" thickBot="1">
      <c r="A99" s="177">
        <v>13</v>
      </c>
      <c r="B99" s="181" t="s">
        <v>107</v>
      </c>
      <c r="C99" s="182">
        <v>31.9</v>
      </c>
      <c r="D99" s="182">
        <v>33.5</v>
      </c>
      <c r="E99" s="182">
        <v>44.8</v>
      </c>
      <c r="F99" s="182">
        <v>38.9</v>
      </c>
      <c r="G99" s="182">
        <v>29.2</v>
      </c>
      <c r="H99" s="182">
        <v>55</v>
      </c>
      <c r="I99" s="183">
        <v>38.883333333333333</v>
      </c>
      <c r="J99" s="177"/>
      <c r="K99" s="177"/>
      <c r="L99" s="181" t="s">
        <v>107</v>
      </c>
      <c r="M99" s="182">
        <v>28.6</v>
      </c>
      <c r="N99" s="182">
        <v>37.200000000000003</v>
      </c>
      <c r="O99" s="182">
        <v>33.5</v>
      </c>
      <c r="P99" s="182">
        <v>41.2</v>
      </c>
      <c r="Q99" s="182">
        <v>21.9</v>
      </c>
      <c r="R99" s="182">
        <v>55.2</v>
      </c>
      <c r="S99" s="183">
        <v>36.266666666666673</v>
      </c>
      <c r="T99" s="177"/>
      <c r="U99" s="177"/>
      <c r="V99" s="181" t="s">
        <v>107</v>
      </c>
      <c r="W99" s="182">
        <v>30.25</v>
      </c>
      <c r="X99" s="182">
        <v>35.35</v>
      </c>
      <c r="Y99" s="182">
        <v>39.15</v>
      </c>
      <c r="Z99" s="182">
        <v>40.049999999999997</v>
      </c>
      <c r="AA99" s="182">
        <v>25.549999999999997</v>
      </c>
      <c r="AB99" s="182">
        <v>55.1</v>
      </c>
      <c r="AC99" s="183">
        <v>37.575000000000003</v>
      </c>
      <c r="AD99" s="171"/>
      <c r="AE99" s="171"/>
      <c r="AF99" s="171"/>
      <c r="AG99" s="171"/>
      <c r="AH99" s="171"/>
    </row>
    <row r="100" spans="1:34" ht="15" thickBot="1">
      <c r="A100" s="177">
        <v>91</v>
      </c>
      <c r="B100" s="181" t="s">
        <v>108</v>
      </c>
      <c r="C100" s="182">
        <v>34.700000000000003</v>
      </c>
      <c r="D100" s="182">
        <v>17.899999999999999</v>
      </c>
      <c r="E100" s="182">
        <v>52.4</v>
      </c>
      <c r="F100" s="182">
        <v>42.5</v>
      </c>
      <c r="G100" s="182">
        <v>30.6</v>
      </c>
      <c r="H100" s="182">
        <v>62.8</v>
      </c>
      <c r="I100" s="183">
        <v>40.15</v>
      </c>
      <c r="J100" s="177"/>
      <c r="K100" s="177"/>
      <c r="L100" s="181" t="s">
        <v>108</v>
      </c>
      <c r="M100" s="182">
        <v>27.2</v>
      </c>
      <c r="N100" s="182">
        <v>17.899999999999999</v>
      </c>
      <c r="O100" s="182">
        <v>40.299999999999997</v>
      </c>
      <c r="P100" s="182">
        <v>42.5</v>
      </c>
      <c r="Q100" s="182">
        <v>29.2</v>
      </c>
      <c r="R100" s="182">
        <v>63.9</v>
      </c>
      <c r="S100" s="183">
        <v>36.833333333333336</v>
      </c>
      <c r="T100" s="177"/>
      <c r="U100" s="177"/>
      <c r="V100" s="181" t="s">
        <v>108</v>
      </c>
      <c r="W100" s="182">
        <v>30.950000000000003</v>
      </c>
      <c r="X100" s="182">
        <v>17.899999999999999</v>
      </c>
      <c r="Y100" s="182">
        <v>46.349999999999994</v>
      </c>
      <c r="Z100" s="182">
        <v>42.5</v>
      </c>
      <c r="AA100" s="182">
        <v>29.9</v>
      </c>
      <c r="AB100" s="182">
        <v>63.349999999999994</v>
      </c>
      <c r="AC100" s="183">
        <v>38.491666666666667</v>
      </c>
      <c r="AD100" s="171"/>
      <c r="AE100" s="171"/>
      <c r="AF100" s="171"/>
      <c r="AG100" s="171"/>
      <c r="AH100" s="171"/>
    </row>
    <row r="101" spans="1:34" ht="15" thickBot="1">
      <c r="A101" s="177">
        <v>132</v>
      </c>
      <c r="B101" s="181" t="s">
        <v>109</v>
      </c>
      <c r="C101" s="182">
        <v>35.4</v>
      </c>
      <c r="D101" s="182">
        <v>33.5</v>
      </c>
      <c r="E101" s="182">
        <v>45.9</v>
      </c>
      <c r="F101" s="182">
        <v>26.2</v>
      </c>
      <c r="G101" s="182">
        <v>39.6</v>
      </c>
      <c r="H101" s="182">
        <v>64.7</v>
      </c>
      <c r="I101" s="183">
        <v>40.883333333333333</v>
      </c>
      <c r="J101" s="177"/>
      <c r="K101" s="177"/>
      <c r="L101" s="181" t="s">
        <v>109</v>
      </c>
      <c r="M101" s="182">
        <v>35.4</v>
      </c>
      <c r="N101" s="182">
        <v>33.5</v>
      </c>
      <c r="O101" s="182">
        <v>31.7</v>
      </c>
      <c r="P101" s="182">
        <v>28.6</v>
      </c>
      <c r="Q101" s="182">
        <v>41.5</v>
      </c>
      <c r="R101" s="182">
        <v>64.2</v>
      </c>
      <c r="S101" s="183">
        <v>39.150000000000006</v>
      </c>
      <c r="T101" s="177"/>
      <c r="U101" s="177"/>
      <c r="V101" s="181" t="s">
        <v>109</v>
      </c>
      <c r="W101" s="182">
        <v>35.4</v>
      </c>
      <c r="X101" s="182">
        <v>33.5</v>
      </c>
      <c r="Y101" s="182">
        <v>38.799999999999997</v>
      </c>
      <c r="Z101" s="182">
        <v>27.4</v>
      </c>
      <c r="AA101" s="182">
        <v>40.549999999999997</v>
      </c>
      <c r="AB101" s="182">
        <v>64.45</v>
      </c>
      <c r="AC101" s="183">
        <v>40.016666666666659</v>
      </c>
      <c r="AD101" s="171"/>
      <c r="AE101" s="171"/>
      <c r="AF101" s="171"/>
      <c r="AG101" s="171"/>
      <c r="AH101" s="171"/>
    </row>
    <row r="102" spans="1:34" ht="15" thickBot="1">
      <c r="A102" s="177">
        <v>142</v>
      </c>
      <c r="B102" s="181" t="s">
        <v>110</v>
      </c>
      <c r="C102" s="182">
        <v>32.1</v>
      </c>
      <c r="D102" s="182">
        <v>33.5</v>
      </c>
      <c r="E102" s="182">
        <v>54.2</v>
      </c>
      <c r="F102" s="182">
        <v>40</v>
      </c>
      <c r="G102" s="182">
        <v>43.8</v>
      </c>
      <c r="H102" s="182">
        <v>67</v>
      </c>
      <c r="I102" s="183">
        <v>45.1</v>
      </c>
      <c r="J102" s="177"/>
      <c r="K102" s="177"/>
      <c r="L102" s="181" t="s">
        <v>110</v>
      </c>
      <c r="M102" s="182">
        <v>36.4</v>
      </c>
      <c r="N102" s="182">
        <v>39.700000000000003</v>
      </c>
      <c r="O102" s="182">
        <v>55.2</v>
      </c>
      <c r="P102" s="182">
        <v>42.4</v>
      </c>
      <c r="Q102" s="182">
        <v>46.7</v>
      </c>
      <c r="R102" s="182">
        <v>71.7</v>
      </c>
      <c r="S102" s="183">
        <v>48.683333333333337</v>
      </c>
      <c r="T102" s="177"/>
      <c r="U102" s="177"/>
      <c r="V102" s="181" t="s">
        <v>110</v>
      </c>
      <c r="W102" s="182">
        <v>34.25</v>
      </c>
      <c r="X102" s="182">
        <v>36.6</v>
      </c>
      <c r="Y102" s="182">
        <v>54.7</v>
      </c>
      <c r="Z102" s="182">
        <v>41.2</v>
      </c>
      <c r="AA102" s="182">
        <v>45.25</v>
      </c>
      <c r="AB102" s="182">
        <v>69.349999999999994</v>
      </c>
      <c r="AC102" s="183">
        <v>46.891666666666673</v>
      </c>
      <c r="AD102" s="171"/>
      <c r="AE102" s="171"/>
      <c r="AF102" s="171"/>
      <c r="AG102" s="171"/>
      <c r="AH102" s="171"/>
    </row>
    <row r="103" spans="1:34" ht="15" thickBot="1">
      <c r="A103" s="177">
        <v>149</v>
      </c>
      <c r="B103" s="181" t="s">
        <v>111</v>
      </c>
      <c r="C103" s="182">
        <v>33.4</v>
      </c>
      <c r="D103" s="182">
        <v>50</v>
      </c>
      <c r="E103" s="182">
        <v>39.4</v>
      </c>
      <c r="F103" s="182">
        <v>38.4</v>
      </c>
      <c r="G103" s="182">
        <v>49.3</v>
      </c>
      <c r="H103" s="182">
        <v>59.7</v>
      </c>
      <c r="I103" s="183">
        <v>45.033333333333331</v>
      </c>
      <c r="J103" s="177"/>
      <c r="K103" s="177"/>
      <c r="L103" s="181" t="s">
        <v>111</v>
      </c>
      <c r="M103" s="182">
        <v>33.4</v>
      </c>
      <c r="N103" s="182">
        <v>52.1</v>
      </c>
      <c r="O103" s="182">
        <v>32.700000000000003</v>
      </c>
      <c r="P103" s="182">
        <v>40.700000000000003</v>
      </c>
      <c r="Q103" s="182">
        <v>49.5</v>
      </c>
      <c r="R103" s="182">
        <v>61.2</v>
      </c>
      <c r="S103" s="183">
        <v>44.933333333333337</v>
      </c>
      <c r="T103" s="177"/>
      <c r="U103" s="177"/>
      <c r="V103" s="181" t="s">
        <v>111</v>
      </c>
      <c r="W103" s="182">
        <v>33.4</v>
      </c>
      <c r="X103" s="182">
        <v>51.05</v>
      </c>
      <c r="Y103" s="182">
        <v>36.049999999999997</v>
      </c>
      <c r="Z103" s="182">
        <v>39.549999999999997</v>
      </c>
      <c r="AA103" s="182">
        <v>49.4</v>
      </c>
      <c r="AB103" s="182">
        <v>60.45</v>
      </c>
      <c r="AC103" s="183">
        <v>44.983333333333327</v>
      </c>
      <c r="AD103" s="171"/>
      <c r="AE103" s="171"/>
      <c r="AF103" s="171"/>
      <c r="AG103" s="171"/>
      <c r="AH103" s="171"/>
    </row>
    <row r="104" spans="1:34" ht="15" thickBot="1">
      <c r="A104" s="177">
        <v>185</v>
      </c>
      <c r="B104" s="181" t="s">
        <v>112</v>
      </c>
      <c r="C104" s="182">
        <v>39</v>
      </c>
      <c r="D104" s="182">
        <v>25.1</v>
      </c>
      <c r="E104" s="182">
        <v>42.1</v>
      </c>
      <c r="F104" s="182">
        <v>17.100000000000001</v>
      </c>
      <c r="G104" s="182">
        <v>43.4</v>
      </c>
      <c r="H104" s="182">
        <v>73.900000000000006</v>
      </c>
      <c r="I104" s="183">
        <v>40.1</v>
      </c>
      <c r="J104" s="177"/>
      <c r="K104" s="177"/>
      <c r="L104" s="181" t="s">
        <v>112</v>
      </c>
      <c r="M104" s="182">
        <v>39</v>
      </c>
      <c r="N104" s="182">
        <v>22.6</v>
      </c>
      <c r="O104" s="182">
        <v>37.5</v>
      </c>
      <c r="P104" s="182">
        <v>19.5</v>
      </c>
      <c r="Q104" s="182">
        <v>43.9</v>
      </c>
      <c r="R104" s="182">
        <v>74.7</v>
      </c>
      <c r="S104" s="183">
        <v>39.533333333333331</v>
      </c>
      <c r="T104" s="177"/>
      <c r="U104" s="177"/>
      <c r="V104" s="181" t="s">
        <v>112</v>
      </c>
      <c r="W104" s="182">
        <v>39</v>
      </c>
      <c r="X104" s="182">
        <v>23.85</v>
      </c>
      <c r="Y104" s="182">
        <v>39.799999999999997</v>
      </c>
      <c r="Z104" s="182">
        <v>18.3</v>
      </c>
      <c r="AA104" s="182">
        <v>43.65</v>
      </c>
      <c r="AB104" s="182">
        <v>74.300000000000011</v>
      </c>
      <c r="AC104" s="183">
        <v>39.81666666666667</v>
      </c>
      <c r="AD104" s="171"/>
      <c r="AE104" s="171"/>
      <c r="AF104" s="171"/>
      <c r="AG104" s="171"/>
      <c r="AH104" s="171"/>
    </row>
    <row r="105" spans="1:34" ht="15" thickBot="1">
      <c r="A105" s="177">
        <v>1</v>
      </c>
      <c r="B105" s="181" t="s">
        <v>113</v>
      </c>
      <c r="C105" s="182">
        <v>15.4</v>
      </c>
      <c r="D105" s="182">
        <v>20</v>
      </c>
      <c r="E105" s="182">
        <v>27.1</v>
      </c>
      <c r="F105" s="182">
        <v>20.6</v>
      </c>
      <c r="G105" s="182">
        <v>54.2</v>
      </c>
      <c r="H105" s="182">
        <v>30.4</v>
      </c>
      <c r="I105" s="183">
        <v>27.950000000000003</v>
      </c>
      <c r="J105" s="177"/>
      <c r="K105" s="177"/>
      <c r="L105" s="181" t="s">
        <v>113</v>
      </c>
      <c r="M105" s="182">
        <v>12</v>
      </c>
      <c r="N105" s="182">
        <v>20.6</v>
      </c>
      <c r="O105" s="182">
        <v>24.5</v>
      </c>
      <c r="P105" s="182">
        <v>23</v>
      </c>
      <c r="Q105" s="182">
        <v>60.9</v>
      </c>
      <c r="R105" s="182">
        <v>31.6</v>
      </c>
      <c r="S105" s="183">
        <v>28.766666666666666</v>
      </c>
      <c r="T105" s="177"/>
      <c r="U105" s="177"/>
      <c r="V105" s="181" t="s">
        <v>113</v>
      </c>
      <c r="W105" s="182">
        <v>13.7</v>
      </c>
      <c r="X105" s="182">
        <v>20.3</v>
      </c>
      <c r="Y105" s="182">
        <v>25.8</v>
      </c>
      <c r="Z105" s="182">
        <v>21.8</v>
      </c>
      <c r="AA105" s="182">
        <v>57.55</v>
      </c>
      <c r="AB105" s="182">
        <v>31</v>
      </c>
      <c r="AC105" s="183">
        <v>28.358333333333331</v>
      </c>
      <c r="AD105" s="171"/>
      <c r="AE105" s="171"/>
      <c r="AF105" s="171"/>
      <c r="AG105" s="171"/>
      <c r="AH105" s="171"/>
    </row>
    <row r="106" spans="1:34" ht="15" thickBot="1">
      <c r="A106" s="177">
        <v>49</v>
      </c>
      <c r="B106" s="181" t="s">
        <v>114</v>
      </c>
      <c r="C106" s="182">
        <v>12.7</v>
      </c>
      <c r="D106" s="182">
        <v>10</v>
      </c>
      <c r="E106" s="182">
        <v>26.9</v>
      </c>
      <c r="F106" s="182">
        <v>14</v>
      </c>
      <c r="G106" s="182">
        <v>33.200000000000003</v>
      </c>
      <c r="H106" s="182">
        <v>46.6</v>
      </c>
      <c r="I106" s="183">
        <v>23.900000000000002</v>
      </c>
      <c r="J106" s="177"/>
      <c r="K106" s="177"/>
      <c r="L106" s="181" t="s">
        <v>114</v>
      </c>
      <c r="M106" s="182">
        <v>16.100000000000001</v>
      </c>
      <c r="N106" s="182">
        <v>14.2</v>
      </c>
      <c r="O106" s="182">
        <v>29.1</v>
      </c>
      <c r="P106" s="182">
        <v>14</v>
      </c>
      <c r="Q106" s="182">
        <v>33.200000000000003</v>
      </c>
      <c r="R106" s="182">
        <v>45</v>
      </c>
      <c r="S106" s="183">
        <v>25.266666666666669</v>
      </c>
      <c r="T106" s="177"/>
      <c r="U106" s="177"/>
      <c r="V106" s="181" t="s">
        <v>114</v>
      </c>
      <c r="W106" s="182">
        <v>14.4</v>
      </c>
      <c r="X106" s="182">
        <v>12.1</v>
      </c>
      <c r="Y106" s="182">
        <v>28</v>
      </c>
      <c r="Z106" s="182">
        <v>14</v>
      </c>
      <c r="AA106" s="182">
        <v>33.200000000000003</v>
      </c>
      <c r="AB106" s="182">
        <v>45.8</v>
      </c>
      <c r="AC106" s="183">
        <v>24.583333333333332</v>
      </c>
      <c r="AD106" s="171"/>
      <c r="AE106" s="171"/>
      <c r="AF106" s="171"/>
      <c r="AG106" s="171"/>
      <c r="AH106" s="171"/>
    </row>
    <row r="107" spans="1:34" ht="15" thickBot="1">
      <c r="A107" s="177">
        <v>53</v>
      </c>
      <c r="B107" s="181" t="s">
        <v>115</v>
      </c>
      <c r="C107" s="182">
        <v>19.100000000000001</v>
      </c>
      <c r="D107" s="182">
        <v>18.3</v>
      </c>
      <c r="E107" s="182">
        <v>32.700000000000003</v>
      </c>
      <c r="F107" s="182">
        <v>16.5</v>
      </c>
      <c r="G107" s="182">
        <v>34.200000000000003</v>
      </c>
      <c r="H107" s="182">
        <v>61</v>
      </c>
      <c r="I107" s="183">
        <v>30.3</v>
      </c>
      <c r="J107" s="177"/>
      <c r="K107" s="177"/>
      <c r="L107" s="181" t="s">
        <v>115</v>
      </c>
      <c r="M107" s="182">
        <v>15.7</v>
      </c>
      <c r="N107" s="182">
        <v>18.899999999999999</v>
      </c>
      <c r="O107" s="182">
        <v>20.9</v>
      </c>
      <c r="P107" s="182">
        <v>18.8</v>
      </c>
      <c r="Q107" s="182">
        <v>33.299999999999997</v>
      </c>
      <c r="R107" s="182">
        <v>60.3</v>
      </c>
      <c r="S107" s="183">
        <v>27.983333333333331</v>
      </c>
      <c r="T107" s="177"/>
      <c r="U107" s="177"/>
      <c r="V107" s="181" t="s">
        <v>115</v>
      </c>
      <c r="W107" s="182">
        <v>17.399999999999999</v>
      </c>
      <c r="X107" s="182">
        <v>18.600000000000001</v>
      </c>
      <c r="Y107" s="182">
        <v>26.8</v>
      </c>
      <c r="Z107" s="182">
        <v>17.649999999999999</v>
      </c>
      <c r="AA107" s="182">
        <v>33.75</v>
      </c>
      <c r="AB107" s="182">
        <v>60.65</v>
      </c>
      <c r="AC107" s="183">
        <v>29.141666666666666</v>
      </c>
      <c r="AD107" s="171"/>
      <c r="AE107" s="171"/>
      <c r="AF107" s="171"/>
      <c r="AG107" s="171"/>
      <c r="AH107" s="171"/>
    </row>
    <row r="108" spans="1:34" ht="15" thickBot="1">
      <c r="A108" s="177">
        <v>80</v>
      </c>
      <c r="B108" s="181" t="s">
        <v>116</v>
      </c>
      <c r="C108" s="182">
        <v>42.9</v>
      </c>
      <c r="D108" s="182">
        <v>24.7</v>
      </c>
      <c r="E108" s="182">
        <v>51.2</v>
      </c>
      <c r="F108" s="182">
        <v>39.4</v>
      </c>
      <c r="G108" s="182">
        <v>27.1</v>
      </c>
      <c r="H108" s="182">
        <v>51.9</v>
      </c>
      <c r="I108" s="183">
        <v>39.533333333333331</v>
      </c>
      <c r="J108" s="177"/>
      <c r="K108" s="177"/>
      <c r="L108" s="181" t="s">
        <v>116</v>
      </c>
      <c r="M108" s="182">
        <v>42.9</v>
      </c>
      <c r="N108" s="182">
        <v>28.9</v>
      </c>
      <c r="O108" s="182">
        <v>36.4</v>
      </c>
      <c r="P108" s="182">
        <v>39.4</v>
      </c>
      <c r="Q108" s="182">
        <v>27.1</v>
      </c>
      <c r="R108" s="182">
        <v>44.4</v>
      </c>
      <c r="S108" s="183">
        <v>36.516666666666666</v>
      </c>
      <c r="T108" s="177"/>
      <c r="U108" s="177"/>
      <c r="V108" s="181" t="s">
        <v>116</v>
      </c>
      <c r="W108" s="182">
        <v>42.9</v>
      </c>
      <c r="X108" s="182">
        <v>26.799999999999997</v>
      </c>
      <c r="Y108" s="182">
        <v>43.8</v>
      </c>
      <c r="Z108" s="182">
        <v>39.4</v>
      </c>
      <c r="AA108" s="182">
        <v>27.1</v>
      </c>
      <c r="AB108" s="182">
        <v>48.15</v>
      </c>
      <c r="AC108" s="183">
        <v>38.024999999999999</v>
      </c>
      <c r="AD108" s="171"/>
      <c r="AE108" s="171"/>
      <c r="AF108" s="171"/>
      <c r="AG108" s="171"/>
      <c r="AH108" s="171"/>
    </row>
    <row r="109" spans="1:34" ht="15" thickBot="1">
      <c r="A109" s="177">
        <v>81</v>
      </c>
      <c r="B109" s="181" t="s">
        <v>117</v>
      </c>
      <c r="C109" s="182">
        <v>17.3</v>
      </c>
      <c r="D109" s="182">
        <v>15.8</v>
      </c>
      <c r="E109" s="182">
        <v>26.7</v>
      </c>
      <c r="F109" s="182">
        <v>15</v>
      </c>
      <c r="G109" s="182">
        <v>29.5</v>
      </c>
      <c r="H109" s="182">
        <v>35.4</v>
      </c>
      <c r="I109" s="183">
        <v>23.283333333333331</v>
      </c>
      <c r="J109" s="177"/>
      <c r="K109" s="177"/>
      <c r="L109" s="181" t="s">
        <v>117</v>
      </c>
      <c r="M109" s="182">
        <v>15.4</v>
      </c>
      <c r="N109" s="182">
        <v>24.2</v>
      </c>
      <c r="O109" s="182">
        <v>21.3</v>
      </c>
      <c r="P109" s="182">
        <v>20.2</v>
      </c>
      <c r="Q109" s="182">
        <v>32.799999999999997</v>
      </c>
      <c r="R109" s="182">
        <v>30.1</v>
      </c>
      <c r="S109" s="183">
        <v>24</v>
      </c>
      <c r="T109" s="177"/>
      <c r="U109" s="177"/>
      <c r="V109" s="181" t="s">
        <v>117</v>
      </c>
      <c r="W109" s="182">
        <v>16.350000000000001</v>
      </c>
      <c r="X109" s="182">
        <v>20</v>
      </c>
      <c r="Y109" s="182">
        <v>24</v>
      </c>
      <c r="Z109" s="182">
        <v>17.600000000000001</v>
      </c>
      <c r="AA109" s="182">
        <v>31.15</v>
      </c>
      <c r="AB109" s="182">
        <v>32.75</v>
      </c>
      <c r="AC109" s="183">
        <v>23.641666666666666</v>
      </c>
      <c r="AD109" s="171"/>
      <c r="AE109" s="171"/>
      <c r="AF109" s="171"/>
      <c r="AG109" s="171"/>
      <c r="AH109" s="171"/>
    </row>
    <row r="110" spans="1:34" ht="15" thickBot="1">
      <c r="A110" s="177">
        <v>87</v>
      </c>
      <c r="B110" s="181" t="s">
        <v>118</v>
      </c>
      <c r="C110" s="182">
        <v>30.3</v>
      </c>
      <c r="D110" s="182">
        <v>27.2</v>
      </c>
      <c r="E110" s="182">
        <v>45.2</v>
      </c>
      <c r="F110" s="182">
        <v>40</v>
      </c>
      <c r="G110" s="182">
        <v>48.1</v>
      </c>
      <c r="H110" s="182">
        <v>56.5</v>
      </c>
      <c r="I110" s="183">
        <v>41.216666666666661</v>
      </c>
      <c r="J110" s="177"/>
      <c r="K110" s="177"/>
      <c r="L110" s="181" t="s">
        <v>118</v>
      </c>
      <c r="M110" s="182">
        <v>30.3</v>
      </c>
      <c r="N110" s="182">
        <v>32.5</v>
      </c>
      <c r="O110" s="182">
        <v>41.8</v>
      </c>
      <c r="P110" s="182">
        <v>47.1</v>
      </c>
      <c r="Q110" s="182">
        <v>48.1</v>
      </c>
      <c r="R110" s="182">
        <v>57.1</v>
      </c>
      <c r="S110" s="183">
        <v>42.816666666666663</v>
      </c>
      <c r="T110" s="177"/>
      <c r="U110" s="177"/>
      <c r="V110" s="181" t="s">
        <v>118</v>
      </c>
      <c r="W110" s="182">
        <v>30.3</v>
      </c>
      <c r="X110" s="182">
        <v>29.85</v>
      </c>
      <c r="Y110" s="182">
        <v>43.5</v>
      </c>
      <c r="Z110" s="182">
        <v>43.55</v>
      </c>
      <c r="AA110" s="182">
        <v>48.1</v>
      </c>
      <c r="AB110" s="182">
        <v>56.8</v>
      </c>
      <c r="AC110" s="183">
        <v>42.016666666666659</v>
      </c>
      <c r="AD110" s="171"/>
      <c r="AE110" s="171"/>
      <c r="AF110" s="171"/>
      <c r="AG110" s="171"/>
      <c r="AH110" s="171"/>
    </row>
    <row r="111" spans="1:34" ht="15" thickBot="1">
      <c r="A111" s="177">
        <v>95</v>
      </c>
      <c r="B111" s="181" t="s">
        <v>119</v>
      </c>
      <c r="C111" s="182">
        <v>17</v>
      </c>
      <c r="D111" s="182">
        <v>41</v>
      </c>
      <c r="E111" s="182">
        <v>57</v>
      </c>
      <c r="F111" s="182">
        <v>19.2</v>
      </c>
      <c r="G111" s="182">
        <v>39.6</v>
      </c>
      <c r="H111" s="182">
        <v>46.9</v>
      </c>
      <c r="I111" s="183">
        <v>36.783333333333331</v>
      </c>
      <c r="J111" s="177"/>
      <c r="K111" s="177"/>
      <c r="L111" s="181" t="s">
        <v>119</v>
      </c>
      <c r="M111" s="182">
        <v>8.6</v>
      </c>
      <c r="N111" s="182">
        <v>38.9</v>
      </c>
      <c r="O111" s="182">
        <v>52</v>
      </c>
      <c r="P111" s="182">
        <v>21.6</v>
      </c>
      <c r="Q111" s="182">
        <v>40.1</v>
      </c>
      <c r="R111" s="182">
        <v>39</v>
      </c>
      <c r="S111" s="183">
        <v>33.366666666666667</v>
      </c>
      <c r="T111" s="177"/>
      <c r="U111" s="177"/>
      <c r="V111" s="181" t="s">
        <v>119</v>
      </c>
      <c r="W111" s="182">
        <v>12.8</v>
      </c>
      <c r="X111" s="182">
        <v>39.950000000000003</v>
      </c>
      <c r="Y111" s="182">
        <v>54.5</v>
      </c>
      <c r="Z111" s="182">
        <v>20.399999999999999</v>
      </c>
      <c r="AA111" s="182">
        <v>39.85</v>
      </c>
      <c r="AB111" s="182">
        <v>42.95</v>
      </c>
      <c r="AC111" s="183">
        <v>35.074999999999996</v>
      </c>
      <c r="AD111" s="171"/>
      <c r="AE111" s="171"/>
      <c r="AF111" s="171"/>
      <c r="AG111" s="171"/>
      <c r="AH111" s="171"/>
    </row>
    <row r="112" spans="1:34" ht="15" thickBot="1">
      <c r="A112" s="177">
        <v>98</v>
      </c>
      <c r="B112" s="181" t="s">
        <v>120</v>
      </c>
      <c r="C112" s="182">
        <v>15.5</v>
      </c>
      <c r="D112" s="182">
        <v>22.1</v>
      </c>
      <c r="E112" s="182">
        <v>21.5</v>
      </c>
      <c r="F112" s="182">
        <v>13.1</v>
      </c>
      <c r="G112" s="182">
        <v>29.2</v>
      </c>
      <c r="H112" s="182">
        <v>38.5</v>
      </c>
      <c r="I112" s="183">
        <v>23.316666666666666</v>
      </c>
      <c r="J112" s="177"/>
      <c r="K112" s="177"/>
      <c r="L112" s="181" t="s">
        <v>120</v>
      </c>
      <c r="M112" s="182">
        <v>11.1</v>
      </c>
      <c r="N112" s="182">
        <v>28.3</v>
      </c>
      <c r="O112" s="182">
        <v>31.1</v>
      </c>
      <c r="P112" s="182">
        <v>13</v>
      </c>
      <c r="Q112" s="182">
        <v>31.3</v>
      </c>
      <c r="R112" s="182">
        <v>36.700000000000003</v>
      </c>
      <c r="S112" s="183">
        <v>25.25</v>
      </c>
      <c r="T112" s="177"/>
      <c r="U112" s="177"/>
      <c r="V112" s="181" t="s">
        <v>120</v>
      </c>
      <c r="W112" s="182">
        <v>13.3</v>
      </c>
      <c r="X112" s="182">
        <v>25.200000000000003</v>
      </c>
      <c r="Y112" s="182">
        <v>26.3</v>
      </c>
      <c r="Z112" s="182">
        <v>13.05</v>
      </c>
      <c r="AA112" s="182">
        <v>30.25</v>
      </c>
      <c r="AB112" s="182">
        <v>37.6</v>
      </c>
      <c r="AC112" s="183">
        <v>24.283333333333331</v>
      </c>
      <c r="AD112" s="171"/>
      <c r="AE112" s="171"/>
      <c r="AF112" s="171"/>
      <c r="AG112" s="171"/>
      <c r="AH112" s="171"/>
    </row>
    <row r="113" spans="1:41" ht="15" thickBot="1">
      <c r="A113" s="177">
        <v>117</v>
      </c>
      <c r="B113" s="181" t="s">
        <v>121</v>
      </c>
      <c r="C113" s="182">
        <v>29.4</v>
      </c>
      <c r="D113" s="182">
        <v>27.9</v>
      </c>
      <c r="E113" s="182">
        <v>36.1</v>
      </c>
      <c r="F113" s="182">
        <v>30.9</v>
      </c>
      <c r="G113" s="182">
        <v>32.6</v>
      </c>
      <c r="H113" s="182">
        <v>57</v>
      </c>
      <c r="I113" s="183">
        <v>35.65</v>
      </c>
      <c r="J113" s="177"/>
      <c r="K113" s="177"/>
      <c r="L113" s="181" t="s">
        <v>121</v>
      </c>
      <c r="M113" s="182">
        <v>29.3</v>
      </c>
      <c r="N113" s="182">
        <v>27.9</v>
      </c>
      <c r="O113" s="182">
        <v>28</v>
      </c>
      <c r="P113" s="182">
        <v>30.8</v>
      </c>
      <c r="Q113" s="182">
        <v>33.200000000000003</v>
      </c>
      <c r="R113" s="182">
        <v>52.5</v>
      </c>
      <c r="S113" s="183">
        <v>33.616666666666667</v>
      </c>
      <c r="T113" s="177"/>
      <c r="U113" s="177"/>
      <c r="V113" s="181" t="s">
        <v>121</v>
      </c>
      <c r="W113" s="182">
        <v>29.35</v>
      </c>
      <c r="X113" s="182">
        <v>27.9</v>
      </c>
      <c r="Y113" s="182">
        <v>32.049999999999997</v>
      </c>
      <c r="Z113" s="182">
        <v>30.85</v>
      </c>
      <c r="AA113" s="182">
        <v>32.900000000000006</v>
      </c>
      <c r="AB113" s="182">
        <v>54.75</v>
      </c>
      <c r="AC113" s="183">
        <v>34.633333333333333</v>
      </c>
      <c r="AD113" s="171"/>
      <c r="AE113" s="171"/>
      <c r="AF113" s="171"/>
      <c r="AG113" s="171"/>
      <c r="AH113" s="171"/>
    </row>
    <row r="114" spans="1:41" ht="15" thickBot="1">
      <c r="A114" s="177">
        <v>133</v>
      </c>
      <c r="B114" s="181" t="s">
        <v>122</v>
      </c>
      <c r="C114" s="182">
        <v>17</v>
      </c>
      <c r="D114" s="182">
        <v>25</v>
      </c>
      <c r="E114" s="182">
        <v>28.7</v>
      </c>
      <c r="F114" s="182">
        <v>24.1</v>
      </c>
      <c r="G114" s="182">
        <v>47.4</v>
      </c>
      <c r="H114" s="182">
        <v>45.7</v>
      </c>
      <c r="I114" s="183">
        <v>31.316666666666674</v>
      </c>
      <c r="J114" s="177"/>
      <c r="K114" s="177"/>
      <c r="L114" s="181" t="s">
        <v>122</v>
      </c>
      <c r="M114" s="182">
        <v>17.100000000000001</v>
      </c>
      <c r="N114" s="182">
        <v>29.2</v>
      </c>
      <c r="O114" s="182">
        <v>18.8</v>
      </c>
      <c r="P114" s="182">
        <v>26.8</v>
      </c>
      <c r="Q114" s="182">
        <v>45.8</v>
      </c>
      <c r="R114" s="182">
        <v>44.8</v>
      </c>
      <c r="S114" s="183">
        <v>30.416666666666668</v>
      </c>
      <c r="T114" s="177"/>
      <c r="U114" s="177"/>
      <c r="V114" s="181" t="s">
        <v>122</v>
      </c>
      <c r="W114" s="182">
        <v>17.05</v>
      </c>
      <c r="X114" s="182">
        <v>27.1</v>
      </c>
      <c r="Y114" s="182">
        <v>23.75</v>
      </c>
      <c r="Z114" s="182">
        <v>25.450000000000003</v>
      </c>
      <c r="AA114" s="182">
        <v>46.599999999999994</v>
      </c>
      <c r="AB114" s="182">
        <v>45.25</v>
      </c>
      <c r="AC114" s="183">
        <v>30.866666666666664</v>
      </c>
      <c r="AD114" s="171"/>
      <c r="AE114" s="171"/>
      <c r="AF114" s="171"/>
      <c r="AG114" s="171"/>
      <c r="AH114" s="171"/>
    </row>
    <row r="115" spans="1:41" ht="15" thickBot="1">
      <c r="A115" s="177">
        <v>158</v>
      </c>
      <c r="B115" s="181" t="s">
        <v>123</v>
      </c>
      <c r="C115" s="182">
        <v>11.4</v>
      </c>
      <c r="D115" s="182">
        <v>15.8</v>
      </c>
      <c r="E115" s="182">
        <v>28.9</v>
      </c>
      <c r="F115" s="182">
        <v>1.3</v>
      </c>
      <c r="G115" s="182">
        <v>26</v>
      </c>
      <c r="H115" s="182">
        <v>24.2</v>
      </c>
      <c r="I115" s="183">
        <v>17.933333333333334</v>
      </c>
      <c r="J115" s="177"/>
      <c r="K115" s="177"/>
      <c r="L115" s="181" t="s">
        <v>123</v>
      </c>
      <c r="M115" s="182">
        <v>11.4</v>
      </c>
      <c r="N115" s="182">
        <v>11.7</v>
      </c>
      <c r="O115" s="182">
        <v>25.8</v>
      </c>
      <c r="P115" s="182">
        <v>1.3</v>
      </c>
      <c r="Q115" s="182">
        <v>21.9</v>
      </c>
      <c r="R115" s="182">
        <v>23.6</v>
      </c>
      <c r="S115" s="183">
        <v>15.949999999999998</v>
      </c>
      <c r="T115" s="177"/>
      <c r="U115" s="177"/>
      <c r="V115" s="181" t="s">
        <v>123</v>
      </c>
      <c r="W115" s="182">
        <v>11.4</v>
      </c>
      <c r="X115" s="182">
        <v>13.75</v>
      </c>
      <c r="Y115" s="182">
        <v>27.35</v>
      </c>
      <c r="Z115" s="182">
        <v>1.3</v>
      </c>
      <c r="AA115" s="182">
        <v>23.95</v>
      </c>
      <c r="AB115" s="182">
        <v>23.9</v>
      </c>
      <c r="AC115" s="183">
        <v>16.941666666666666</v>
      </c>
      <c r="AD115" s="171"/>
      <c r="AE115" s="171"/>
      <c r="AF115" s="171"/>
      <c r="AG115" s="171"/>
      <c r="AH115" s="171"/>
    </row>
    <row r="116" spans="1:41" ht="15" thickBot="1">
      <c r="A116" s="177">
        <v>167</v>
      </c>
      <c r="B116" s="181" t="s">
        <v>124</v>
      </c>
      <c r="C116" s="182">
        <v>22.6</v>
      </c>
      <c r="D116" s="182">
        <v>15.8</v>
      </c>
      <c r="E116" s="182">
        <v>50.6</v>
      </c>
      <c r="F116" s="182">
        <v>12.8</v>
      </c>
      <c r="G116" s="182">
        <v>41.7</v>
      </c>
      <c r="H116" s="182">
        <v>36.799999999999997</v>
      </c>
      <c r="I116" s="183">
        <v>30.05</v>
      </c>
      <c r="J116" s="177"/>
      <c r="K116" s="177"/>
      <c r="L116" s="181" t="s">
        <v>124</v>
      </c>
      <c r="M116" s="182">
        <v>22.5</v>
      </c>
      <c r="N116" s="182">
        <v>15.8</v>
      </c>
      <c r="O116" s="182">
        <v>42.9</v>
      </c>
      <c r="P116" s="182">
        <v>12.8</v>
      </c>
      <c r="Q116" s="182">
        <v>41.7</v>
      </c>
      <c r="R116" s="182">
        <v>34.1</v>
      </c>
      <c r="S116" s="183">
        <v>28.299999999999997</v>
      </c>
      <c r="T116" s="177"/>
      <c r="U116" s="177"/>
      <c r="V116" s="181" t="s">
        <v>124</v>
      </c>
      <c r="W116" s="182">
        <v>22.55</v>
      </c>
      <c r="X116" s="182">
        <v>15.8</v>
      </c>
      <c r="Y116" s="182">
        <v>46.75</v>
      </c>
      <c r="Z116" s="182">
        <v>12.8</v>
      </c>
      <c r="AA116" s="182">
        <v>41.7</v>
      </c>
      <c r="AB116" s="182">
        <v>35.450000000000003</v>
      </c>
      <c r="AC116" s="183">
        <v>29.175000000000001</v>
      </c>
      <c r="AD116" s="171"/>
      <c r="AE116" s="171"/>
      <c r="AF116" s="171"/>
      <c r="AG116" s="171"/>
      <c r="AH116" s="171"/>
    </row>
    <row r="117" spans="1:41" ht="15" thickBot="1">
      <c r="A117" s="177">
        <v>171</v>
      </c>
      <c r="B117" s="181" t="s">
        <v>125</v>
      </c>
      <c r="C117" s="182">
        <v>9.6999999999999993</v>
      </c>
      <c r="D117" s="182">
        <v>8.3000000000000007</v>
      </c>
      <c r="E117" s="182">
        <v>24.6</v>
      </c>
      <c r="F117" s="182">
        <v>13.4</v>
      </c>
      <c r="G117" s="182">
        <v>24</v>
      </c>
      <c r="H117" s="182">
        <v>32</v>
      </c>
      <c r="I117" s="183">
        <v>18.666666666666668</v>
      </c>
      <c r="J117" s="177"/>
      <c r="K117" s="177"/>
      <c r="L117" s="181" t="s">
        <v>125</v>
      </c>
      <c r="M117" s="182">
        <v>12.9</v>
      </c>
      <c r="N117" s="182">
        <v>4.2</v>
      </c>
      <c r="O117" s="182">
        <v>18</v>
      </c>
      <c r="P117" s="182">
        <v>13.4</v>
      </c>
      <c r="Q117" s="182">
        <v>24.5</v>
      </c>
      <c r="R117" s="182">
        <v>27.4</v>
      </c>
      <c r="S117" s="183">
        <v>16.733333333333334</v>
      </c>
      <c r="T117" s="177"/>
      <c r="U117" s="177"/>
      <c r="V117" s="181" t="s">
        <v>125</v>
      </c>
      <c r="W117" s="182">
        <v>11.3</v>
      </c>
      <c r="X117" s="182">
        <v>6.25</v>
      </c>
      <c r="Y117" s="182">
        <v>21.3</v>
      </c>
      <c r="Z117" s="182">
        <v>13.4</v>
      </c>
      <c r="AA117" s="182">
        <v>24.25</v>
      </c>
      <c r="AB117" s="182">
        <v>29.7</v>
      </c>
      <c r="AC117" s="183">
        <v>17.7</v>
      </c>
      <c r="AD117" s="171"/>
      <c r="AE117" s="171"/>
      <c r="AF117" s="171"/>
      <c r="AG117" s="171"/>
      <c r="AH117" s="171"/>
    </row>
    <row r="118" spans="1:41" ht="15" thickBot="1">
      <c r="A118" s="177">
        <v>179</v>
      </c>
      <c r="B118" s="181" t="s">
        <v>126</v>
      </c>
      <c r="C118" s="182">
        <v>25.3</v>
      </c>
      <c r="D118" s="182">
        <v>20.399999999999999</v>
      </c>
      <c r="E118" s="182">
        <v>48.9</v>
      </c>
      <c r="F118" s="182">
        <v>13.1</v>
      </c>
      <c r="G118" s="182">
        <v>29.2</v>
      </c>
      <c r="H118" s="182">
        <v>56</v>
      </c>
      <c r="I118" s="183">
        <v>32.15</v>
      </c>
      <c r="J118" s="177"/>
      <c r="K118" s="177"/>
      <c r="L118" s="181" t="s">
        <v>126</v>
      </c>
      <c r="M118" s="182">
        <v>21.9</v>
      </c>
      <c r="N118" s="182">
        <v>20.399999999999999</v>
      </c>
      <c r="O118" s="182">
        <v>41.9</v>
      </c>
      <c r="P118" s="182">
        <v>13</v>
      </c>
      <c r="Q118" s="182">
        <v>33.700000000000003</v>
      </c>
      <c r="R118" s="182">
        <v>57.7</v>
      </c>
      <c r="S118" s="183">
        <v>31.433333333333326</v>
      </c>
      <c r="T118" s="177"/>
      <c r="U118" s="177"/>
      <c r="V118" s="181" t="s">
        <v>126</v>
      </c>
      <c r="W118" s="182">
        <v>23.6</v>
      </c>
      <c r="X118" s="182">
        <v>20.399999999999999</v>
      </c>
      <c r="Y118" s="182">
        <v>45.4</v>
      </c>
      <c r="Z118" s="182">
        <v>13.05</v>
      </c>
      <c r="AA118" s="182">
        <v>31.450000000000003</v>
      </c>
      <c r="AB118" s="182">
        <v>56.85</v>
      </c>
      <c r="AC118" s="183">
        <v>31.791666666666668</v>
      </c>
      <c r="AD118" s="171"/>
      <c r="AE118" s="171"/>
      <c r="AF118" s="171"/>
      <c r="AG118" s="171"/>
      <c r="AH118" s="171"/>
    </row>
    <row r="119" spans="1:41" ht="15" thickBot="1">
      <c r="A119" s="177">
        <v>193</v>
      </c>
      <c r="B119" s="181" t="s">
        <v>127</v>
      </c>
      <c r="C119" s="182">
        <v>9.1999999999999993</v>
      </c>
      <c r="D119" s="182">
        <v>8.3000000000000007</v>
      </c>
      <c r="E119" s="182">
        <v>24.7</v>
      </c>
      <c r="F119" s="182">
        <v>12</v>
      </c>
      <c r="G119" s="182">
        <v>37.5</v>
      </c>
      <c r="H119" s="182">
        <v>27.8</v>
      </c>
      <c r="I119" s="183">
        <v>19.916666666666668</v>
      </c>
      <c r="J119" s="177"/>
      <c r="K119" s="177"/>
      <c r="L119" s="181" t="s">
        <v>127</v>
      </c>
      <c r="M119" s="182">
        <v>0.8</v>
      </c>
      <c r="N119" s="182">
        <v>4.2</v>
      </c>
      <c r="O119" s="182">
        <v>17.5</v>
      </c>
      <c r="P119" s="182">
        <v>12</v>
      </c>
      <c r="Q119" s="182">
        <v>37.5</v>
      </c>
      <c r="R119" s="182">
        <v>24.9</v>
      </c>
      <c r="S119" s="183">
        <v>16.150000000000002</v>
      </c>
      <c r="T119" s="177"/>
      <c r="U119" s="177"/>
      <c r="V119" s="181" t="s">
        <v>127</v>
      </c>
      <c r="W119" s="182">
        <v>5</v>
      </c>
      <c r="X119" s="182">
        <v>6.25</v>
      </c>
      <c r="Y119" s="182">
        <v>21.1</v>
      </c>
      <c r="Z119" s="182">
        <v>12</v>
      </c>
      <c r="AA119" s="182">
        <v>37.5</v>
      </c>
      <c r="AB119" s="182">
        <v>26.35</v>
      </c>
      <c r="AC119" s="183">
        <v>18.033333333333331</v>
      </c>
      <c r="AD119" s="171"/>
      <c r="AE119" s="171"/>
      <c r="AF119" s="171"/>
      <c r="AG119" s="171"/>
      <c r="AH119" s="171"/>
    </row>
    <row r="120" spans="1:41">
      <c r="A120" s="171"/>
      <c r="B120" s="171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</row>
    <row r="121" spans="1:41">
      <c r="A121" s="171"/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</row>
    <row r="122" spans="1:41" ht="15" thickBot="1">
      <c r="A122" s="171"/>
      <c r="B122" s="171" t="s">
        <v>275</v>
      </c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</row>
    <row r="123" spans="1:41" ht="15" thickBot="1">
      <c r="A123" s="171"/>
      <c r="B123" s="179" t="s">
        <v>25</v>
      </c>
      <c r="C123" s="180" t="s">
        <v>192</v>
      </c>
      <c r="D123" s="180" t="s">
        <v>193</v>
      </c>
      <c r="E123" s="180" t="s">
        <v>238</v>
      </c>
      <c r="F123" s="180" t="s">
        <v>239</v>
      </c>
      <c r="G123" s="180" t="s">
        <v>240</v>
      </c>
      <c r="H123" s="180" t="s">
        <v>241</v>
      </c>
      <c r="I123" s="180" t="s">
        <v>242</v>
      </c>
      <c r="J123" s="179" t="s">
        <v>243</v>
      </c>
      <c r="K123" s="180" t="s">
        <v>244</v>
      </c>
      <c r="L123" s="180" t="s">
        <v>245</v>
      </c>
      <c r="M123" s="180" t="s">
        <v>246</v>
      </c>
      <c r="N123" s="180" t="s">
        <v>247</v>
      </c>
      <c r="O123" s="180" t="s">
        <v>248</v>
      </c>
      <c r="P123" s="180" t="s">
        <v>249</v>
      </c>
      <c r="Q123" s="180" t="s">
        <v>250</v>
      </c>
      <c r="R123" s="179" t="s">
        <v>251</v>
      </c>
      <c r="S123" s="180" t="s">
        <v>252</v>
      </c>
      <c r="T123" s="180" t="s">
        <v>253</v>
      </c>
      <c r="U123" s="180" t="s">
        <v>254</v>
      </c>
      <c r="V123" s="180" t="s">
        <v>255</v>
      </c>
      <c r="W123" s="180" t="s">
        <v>256</v>
      </c>
      <c r="X123" s="180" t="s">
        <v>257</v>
      </c>
      <c r="Y123" s="180" t="s">
        <v>258</v>
      </c>
      <c r="Z123" s="179" t="s">
        <v>259</v>
      </c>
      <c r="AA123" s="180" t="s">
        <v>260</v>
      </c>
      <c r="AB123" s="180" t="s">
        <v>261</v>
      </c>
      <c r="AC123" s="180" t="s">
        <v>262</v>
      </c>
      <c r="AD123" s="180" t="s">
        <v>263</v>
      </c>
      <c r="AE123" s="180" t="s">
        <v>264</v>
      </c>
      <c r="AF123" s="180" t="s">
        <v>265</v>
      </c>
      <c r="AG123" s="180" t="s">
        <v>266</v>
      </c>
      <c r="AH123" s="179" t="s">
        <v>267</v>
      </c>
      <c r="AI123" s="180" t="s">
        <v>268</v>
      </c>
      <c r="AJ123" s="180" t="s">
        <v>269</v>
      </c>
      <c r="AK123" s="180" t="s">
        <v>270</v>
      </c>
      <c r="AL123" s="180" t="s">
        <v>271</v>
      </c>
      <c r="AM123" s="180" t="s">
        <v>272</v>
      </c>
      <c r="AN123" s="180" t="s">
        <v>273</v>
      </c>
      <c r="AO123" s="180" t="s">
        <v>274</v>
      </c>
    </row>
    <row r="124" spans="1:41" ht="15" thickBot="1">
      <c r="A124" s="171"/>
      <c r="B124" s="181" t="s">
        <v>52</v>
      </c>
      <c r="C124" s="182">
        <v>1</v>
      </c>
      <c r="D124" s="182">
        <v>1</v>
      </c>
      <c r="E124" s="182">
        <v>100</v>
      </c>
      <c r="F124" s="182">
        <v>52.2</v>
      </c>
      <c r="G124" s="182">
        <v>69.3</v>
      </c>
      <c r="H124" s="182">
        <v>50</v>
      </c>
      <c r="I124" s="183">
        <v>33.299999999999997</v>
      </c>
      <c r="J124" s="181">
        <v>75</v>
      </c>
      <c r="K124" s="182">
        <v>75</v>
      </c>
      <c r="L124" s="182">
        <v>50</v>
      </c>
      <c r="M124" s="182">
        <v>100</v>
      </c>
      <c r="N124" s="182">
        <v>100</v>
      </c>
      <c r="O124" s="182">
        <v>0</v>
      </c>
      <c r="P124" s="182">
        <v>50</v>
      </c>
      <c r="Q124" s="183">
        <v>50</v>
      </c>
      <c r="R124" s="181">
        <v>0</v>
      </c>
      <c r="S124" s="182">
        <v>66.7</v>
      </c>
      <c r="T124" s="182">
        <v>100</v>
      </c>
      <c r="U124" s="182">
        <v>75</v>
      </c>
      <c r="V124" s="182">
        <v>85.2</v>
      </c>
      <c r="W124" s="182">
        <v>100</v>
      </c>
      <c r="X124" s="182">
        <v>48.9</v>
      </c>
      <c r="Y124" s="183">
        <v>61.1</v>
      </c>
      <c r="Z124" s="181">
        <v>50</v>
      </c>
      <c r="AA124" s="182">
        <v>52.3</v>
      </c>
      <c r="AB124" s="182">
        <v>50</v>
      </c>
      <c r="AC124" s="182">
        <v>100</v>
      </c>
      <c r="AD124" s="182">
        <v>100</v>
      </c>
      <c r="AE124" s="182">
        <v>100</v>
      </c>
      <c r="AF124" s="182">
        <v>50</v>
      </c>
      <c r="AG124" s="183">
        <v>100</v>
      </c>
      <c r="AH124" s="181">
        <v>25</v>
      </c>
      <c r="AI124" s="182">
        <v>75</v>
      </c>
      <c r="AJ124" s="182">
        <v>100</v>
      </c>
      <c r="AK124" s="182">
        <v>76.8</v>
      </c>
      <c r="AL124" s="182">
        <v>85.6</v>
      </c>
      <c r="AM124" s="182">
        <v>66.7</v>
      </c>
      <c r="AN124" s="182">
        <v>62.7</v>
      </c>
      <c r="AO124" s="183">
        <v>83.2</v>
      </c>
    </row>
    <row r="125" spans="1:41" ht="15" thickBot="1">
      <c r="A125" s="171"/>
      <c r="B125" s="181" t="s">
        <v>29</v>
      </c>
      <c r="C125" s="182">
        <v>2</v>
      </c>
      <c r="D125" s="182">
        <v>1</v>
      </c>
      <c r="E125" s="182">
        <v>75</v>
      </c>
      <c r="F125" s="182">
        <v>32</v>
      </c>
      <c r="G125" s="182">
        <v>76</v>
      </c>
      <c r="H125" s="182">
        <v>100</v>
      </c>
      <c r="I125" s="183">
        <v>66.7</v>
      </c>
      <c r="J125" s="181">
        <v>100</v>
      </c>
      <c r="K125" s="182">
        <v>62.5</v>
      </c>
      <c r="L125" s="182">
        <v>50</v>
      </c>
      <c r="M125" s="182">
        <v>50</v>
      </c>
      <c r="N125" s="182">
        <v>70</v>
      </c>
      <c r="O125" s="182">
        <v>75</v>
      </c>
      <c r="P125" s="182">
        <v>100</v>
      </c>
      <c r="Q125" s="183">
        <v>41.7</v>
      </c>
      <c r="R125" s="181">
        <v>37.5</v>
      </c>
      <c r="S125" s="182">
        <v>66.7</v>
      </c>
      <c r="T125" s="182">
        <v>100</v>
      </c>
      <c r="U125" s="182">
        <v>83.3</v>
      </c>
      <c r="V125" s="182">
        <v>79.099999999999994</v>
      </c>
      <c r="W125" s="182">
        <v>100</v>
      </c>
      <c r="X125" s="182">
        <v>35.4</v>
      </c>
      <c r="Y125" s="183">
        <v>72.2</v>
      </c>
      <c r="Z125" s="181">
        <v>50</v>
      </c>
      <c r="AA125" s="182">
        <v>52.2</v>
      </c>
      <c r="AB125" s="182">
        <v>0</v>
      </c>
      <c r="AC125" s="182">
        <v>100</v>
      </c>
      <c r="AD125" s="182">
        <v>75</v>
      </c>
      <c r="AE125" s="182">
        <v>100</v>
      </c>
      <c r="AF125" s="182">
        <v>50</v>
      </c>
      <c r="AG125" s="183">
        <v>43.8</v>
      </c>
      <c r="AH125" s="181">
        <v>25</v>
      </c>
      <c r="AI125" s="182">
        <v>66.7</v>
      </c>
      <c r="AJ125" s="182">
        <v>66.7</v>
      </c>
      <c r="AK125" s="182">
        <v>47</v>
      </c>
      <c r="AL125" s="182">
        <v>73.599999999999994</v>
      </c>
      <c r="AM125" s="182">
        <v>33.299999999999997</v>
      </c>
      <c r="AN125" s="182">
        <v>44</v>
      </c>
      <c r="AO125" s="183">
        <v>53.5</v>
      </c>
    </row>
    <row r="126" spans="1:41" ht="15" thickBot="1">
      <c r="A126" s="171"/>
      <c r="B126" s="181" t="s">
        <v>43</v>
      </c>
      <c r="C126" s="182">
        <v>3</v>
      </c>
      <c r="D126" s="182">
        <v>1</v>
      </c>
      <c r="E126" s="182">
        <v>83.3</v>
      </c>
      <c r="F126" s="182">
        <v>45.2</v>
      </c>
      <c r="G126" s="182">
        <v>44</v>
      </c>
      <c r="H126" s="182">
        <v>50</v>
      </c>
      <c r="I126" s="183">
        <v>0</v>
      </c>
      <c r="J126" s="181">
        <v>75</v>
      </c>
      <c r="K126" s="182">
        <v>50</v>
      </c>
      <c r="L126" s="182">
        <v>50</v>
      </c>
      <c r="M126" s="182">
        <v>75</v>
      </c>
      <c r="N126" s="182">
        <v>90</v>
      </c>
      <c r="O126" s="182">
        <v>0</v>
      </c>
      <c r="P126" s="182">
        <v>50</v>
      </c>
      <c r="Q126" s="183">
        <v>66.7</v>
      </c>
      <c r="R126" s="181">
        <v>25</v>
      </c>
      <c r="S126" s="182">
        <v>33.299999999999997</v>
      </c>
      <c r="T126" s="182">
        <v>100</v>
      </c>
      <c r="U126" s="182">
        <v>66.7</v>
      </c>
      <c r="V126" s="182">
        <v>85.2</v>
      </c>
      <c r="W126" s="182">
        <v>100</v>
      </c>
      <c r="X126" s="182">
        <v>58.8</v>
      </c>
      <c r="Y126" s="183">
        <v>55.6</v>
      </c>
      <c r="Z126" s="181">
        <v>0</v>
      </c>
      <c r="AA126" s="182">
        <v>51.3</v>
      </c>
      <c r="AB126" s="182">
        <v>0</v>
      </c>
      <c r="AC126" s="182">
        <v>100</v>
      </c>
      <c r="AD126" s="182">
        <v>50</v>
      </c>
      <c r="AE126" s="182">
        <v>100</v>
      </c>
      <c r="AF126" s="182">
        <v>100</v>
      </c>
      <c r="AG126" s="183">
        <v>96.9</v>
      </c>
      <c r="AH126" s="181">
        <v>0</v>
      </c>
      <c r="AI126" s="182">
        <v>25</v>
      </c>
      <c r="AJ126" s="182">
        <v>66.7</v>
      </c>
      <c r="AK126" s="182">
        <v>95.1</v>
      </c>
      <c r="AL126" s="182">
        <v>98.5</v>
      </c>
      <c r="AM126" s="182">
        <v>91.7</v>
      </c>
      <c r="AN126" s="182">
        <v>62.2</v>
      </c>
      <c r="AO126" s="183">
        <v>93.5</v>
      </c>
    </row>
    <row r="127" spans="1:41" ht="15" thickBot="1">
      <c r="A127" s="171"/>
      <c r="B127" s="181" t="s">
        <v>47</v>
      </c>
      <c r="C127" s="182">
        <v>4</v>
      </c>
      <c r="D127" s="182">
        <v>2</v>
      </c>
      <c r="E127" s="182">
        <v>100</v>
      </c>
      <c r="F127" s="182">
        <v>52.2</v>
      </c>
      <c r="G127" s="182">
        <v>24</v>
      </c>
      <c r="H127" s="182">
        <v>50</v>
      </c>
      <c r="I127" s="183">
        <v>0</v>
      </c>
      <c r="J127" s="181">
        <v>75</v>
      </c>
      <c r="K127" s="182">
        <v>87.5</v>
      </c>
      <c r="L127" s="182">
        <v>50</v>
      </c>
      <c r="M127" s="182">
        <v>12.5</v>
      </c>
      <c r="N127" s="182">
        <v>80</v>
      </c>
      <c r="O127" s="182">
        <v>0</v>
      </c>
      <c r="P127" s="182">
        <v>0</v>
      </c>
      <c r="Q127" s="183">
        <v>100</v>
      </c>
      <c r="R127" s="181">
        <v>0</v>
      </c>
      <c r="S127" s="182">
        <v>33.299999999999997</v>
      </c>
      <c r="T127" s="182">
        <v>100</v>
      </c>
      <c r="U127" s="182">
        <v>83.3</v>
      </c>
      <c r="V127" s="182">
        <v>82.5</v>
      </c>
      <c r="W127" s="182">
        <v>100</v>
      </c>
      <c r="X127" s="182">
        <v>45.2</v>
      </c>
      <c r="Y127" s="183">
        <v>11.1</v>
      </c>
      <c r="Z127" s="181">
        <v>50</v>
      </c>
      <c r="AA127" s="182">
        <v>50</v>
      </c>
      <c r="AB127" s="182">
        <v>50</v>
      </c>
      <c r="AC127" s="182">
        <v>100</v>
      </c>
      <c r="AD127" s="182">
        <v>50</v>
      </c>
      <c r="AE127" s="182">
        <v>100</v>
      </c>
      <c r="AF127" s="182">
        <v>100</v>
      </c>
      <c r="AG127" s="183">
        <v>100</v>
      </c>
      <c r="AH127" s="181">
        <v>25</v>
      </c>
      <c r="AI127" s="182">
        <v>16.7</v>
      </c>
      <c r="AJ127" s="182">
        <v>66.7</v>
      </c>
      <c r="AK127" s="182">
        <v>85.6</v>
      </c>
      <c r="AL127" s="182">
        <v>96.5</v>
      </c>
      <c r="AM127" s="182">
        <v>91.7</v>
      </c>
      <c r="AN127" s="182">
        <v>66.8</v>
      </c>
      <c r="AO127" s="183">
        <v>78.8</v>
      </c>
    </row>
    <row r="128" spans="1:41" ht="15" thickBot="1">
      <c r="A128" s="171"/>
      <c r="B128" s="181" t="s">
        <v>33</v>
      </c>
      <c r="C128" s="182">
        <v>5</v>
      </c>
      <c r="D128" s="182">
        <v>2</v>
      </c>
      <c r="E128" s="182">
        <v>50</v>
      </c>
      <c r="F128" s="182">
        <v>37.799999999999997</v>
      </c>
      <c r="G128" s="182">
        <v>44</v>
      </c>
      <c r="H128" s="182">
        <v>100</v>
      </c>
      <c r="I128" s="183">
        <v>0</v>
      </c>
      <c r="J128" s="181">
        <v>75</v>
      </c>
      <c r="K128" s="182">
        <v>87.5</v>
      </c>
      <c r="L128" s="182">
        <v>0</v>
      </c>
      <c r="M128" s="182">
        <v>37.5</v>
      </c>
      <c r="N128" s="182">
        <v>46.7</v>
      </c>
      <c r="O128" s="182">
        <v>37.5</v>
      </c>
      <c r="P128" s="182">
        <v>100</v>
      </c>
      <c r="Q128" s="183">
        <v>50</v>
      </c>
      <c r="R128" s="181">
        <v>0</v>
      </c>
      <c r="S128" s="182">
        <v>33.299999999999997</v>
      </c>
      <c r="T128" s="182">
        <v>0</v>
      </c>
      <c r="U128" s="182">
        <v>54.2</v>
      </c>
      <c r="V128" s="182">
        <v>69.3</v>
      </c>
      <c r="W128" s="182">
        <v>100</v>
      </c>
      <c r="X128" s="182">
        <v>37.700000000000003</v>
      </c>
      <c r="Y128" s="183">
        <v>11.1</v>
      </c>
      <c r="Z128" s="181">
        <v>0</v>
      </c>
      <c r="AA128" s="182">
        <v>64.5</v>
      </c>
      <c r="AB128" s="182">
        <v>0</v>
      </c>
      <c r="AC128" s="182">
        <v>0</v>
      </c>
      <c r="AD128" s="182">
        <v>50</v>
      </c>
      <c r="AE128" s="182">
        <v>100</v>
      </c>
      <c r="AF128" s="182">
        <v>50</v>
      </c>
      <c r="AG128" s="183">
        <v>96.9</v>
      </c>
      <c r="AH128" s="181">
        <v>25</v>
      </c>
      <c r="AI128" s="182">
        <v>66.7</v>
      </c>
      <c r="AJ128" s="182">
        <v>66.7</v>
      </c>
      <c r="AK128" s="182">
        <v>41</v>
      </c>
      <c r="AL128" s="182">
        <v>64.3</v>
      </c>
      <c r="AM128" s="182">
        <v>50</v>
      </c>
      <c r="AN128" s="182">
        <v>46.7</v>
      </c>
      <c r="AO128" s="183">
        <v>58.1</v>
      </c>
    </row>
    <row r="129" spans="1:41" ht="15" thickBot="1">
      <c r="A129" s="171"/>
      <c r="B129" s="181" t="s">
        <v>49</v>
      </c>
      <c r="C129" s="182">
        <v>6</v>
      </c>
      <c r="D129" s="182">
        <v>2</v>
      </c>
      <c r="E129" s="182">
        <v>58.3</v>
      </c>
      <c r="F129" s="182">
        <v>44.7</v>
      </c>
      <c r="G129" s="182">
        <v>24</v>
      </c>
      <c r="H129" s="182">
        <v>100</v>
      </c>
      <c r="I129" s="183">
        <v>0</v>
      </c>
      <c r="J129" s="181">
        <v>75</v>
      </c>
      <c r="K129" s="182">
        <v>75</v>
      </c>
      <c r="L129" s="182">
        <v>0</v>
      </c>
      <c r="M129" s="182">
        <v>37.5</v>
      </c>
      <c r="N129" s="182">
        <v>23.3</v>
      </c>
      <c r="O129" s="182">
        <v>25</v>
      </c>
      <c r="P129" s="182">
        <v>50</v>
      </c>
      <c r="Q129" s="183">
        <v>58.3</v>
      </c>
      <c r="R129" s="181">
        <v>0</v>
      </c>
      <c r="S129" s="182">
        <v>33.299999999999997</v>
      </c>
      <c r="T129" s="182">
        <v>0</v>
      </c>
      <c r="U129" s="182">
        <v>66.7</v>
      </c>
      <c r="V129" s="182">
        <v>66.400000000000006</v>
      </c>
      <c r="W129" s="182">
        <v>100</v>
      </c>
      <c r="X129" s="182">
        <v>9</v>
      </c>
      <c r="Y129" s="183">
        <v>50</v>
      </c>
      <c r="Z129" s="181">
        <v>50</v>
      </c>
      <c r="AA129" s="182">
        <v>59.9</v>
      </c>
      <c r="AB129" s="182">
        <v>0</v>
      </c>
      <c r="AC129" s="182">
        <v>100</v>
      </c>
      <c r="AD129" s="182">
        <v>75</v>
      </c>
      <c r="AE129" s="182">
        <v>100</v>
      </c>
      <c r="AF129" s="182">
        <v>0</v>
      </c>
      <c r="AG129" s="183">
        <v>100</v>
      </c>
      <c r="AH129" s="181">
        <v>25</v>
      </c>
      <c r="AI129" s="182">
        <v>66.7</v>
      </c>
      <c r="AJ129" s="182">
        <v>66.7</v>
      </c>
      <c r="AK129" s="182">
        <v>43.5</v>
      </c>
      <c r="AL129" s="182">
        <v>64.599999999999994</v>
      </c>
      <c r="AM129" s="182">
        <v>66.7</v>
      </c>
      <c r="AN129" s="182">
        <v>50.4</v>
      </c>
      <c r="AO129" s="183">
        <v>63.8</v>
      </c>
    </row>
    <row r="130" spans="1:41" ht="15" thickBot="1">
      <c r="A130" s="171"/>
      <c r="B130" s="181" t="s">
        <v>35</v>
      </c>
      <c r="C130" s="182">
        <v>7</v>
      </c>
      <c r="D130" s="182">
        <v>2</v>
      </c>
      <c r="E130" s="182">
        <v>58.3</v>
      </c>
      <c r="F130" s="182">
        <v>34.200000000000003</v>
      </c>
      <c r="G130" s="182">
        <v>32</v>
      </c>
      <c r="H130" s="182">
        <v>25</v>
      </c>
      <c r="I130" s="183">
        <v>0</v>
      </c>
      <c r="J130" s="181">
        <v>100</v>
      </c>
      <c r="K130" s="182">
        <v>75</v>
      </c>
      <c r="L130" s="182">
        <v>50</v>
      </c>
      <c r="M130" s="182">
        <v>25</v>
      </c>
      <c r="N130" s="182">
        <v>60</v>
      </c>
      <c r="O130" s="182">
        <v>0</v>
      </c>
      <c r="P130" s="182">
        <v>50</v>
      </c>
      <c r="Q130" s="183">
        <v>0</v>
      </c>
      <c r="R130" s="181">
        <v>0</v>
      </c>
      <c r="S130" s="182">
        <v>0</v>
      </c>
      <c r="T130" s="182">
        <v>100</v>
      </c>
      <c r="U130" s="182">
        <v>83.3</v>
      </c>
      <c r="V130" s="182">
        <v>84.9</v>
      </c>
      <c r="W130" s="182">
        <v>100</v>
      </c>
      <c r="X130" s="182">
        <v>34.1</v>
      </c>
      <c r="Y130" s="183">
        <v>83.3</v>
      </c>
      <c r="Z130" s="181">
        <v>50</v>
      </c>
      <c r="AA130" s="182">
        <v>52.4</v>
      </c>
      <c r="AB130" s="182">
        <v>0</v>
      </c>
      <c r="AC130" s="182">
        <v>100</v>
      </c>
      <c r="AD130" s="182">
        <v>50</v>
      </c>
      <c r="AE130" s="182">
        <v>50</v>
      </c>
      <c r="AF130" s="182">
        <v>50</v>
      </c>
      <c r="AG130" s="183">
        <v>68.8</v>
      </c>
      <c r="AH130" s="181">
        <v>25</v>
      </c>
      <c r="AI130" s="182">
        <v>0</v>
      </c>
      <c r="AJ130" s="182">
        <v>66.7</v>
      </c>
      <c r="AK130" s="182">
        <v>61.3</v>
      </c>
      <c r="AL130" s="182">
        <v>82.4</v>
      </c>
      <c r="AM130" s="182">
        <v>75</v>
      </c>
      <c r="AN130" s="182">
        <v>56.8</v>
      </c>
      <c r="AO130" s="183">
        <v>76.400000000000006</v>
      </c>
    </row>
    <row r="131" spans="1:41" ht="15" thickBot="1">
      <c r="A131" s="171"/>
      <c r="B131" s="181" t="s">
        <v>44</v>
      </c>
      <c r="C131" s="182">
        <v>8</v>
      </c>
      <c r="D131" s="182">
        <v>2</v>
      </c>
      <c r="E131" s="182">
        <v>50</v>
      </c>
      <c r="F131" s="182">
        <v>15.3</v>
      </c>
      <c r="G131" s="182">
        <v>37.299999999999997</v>
      </c>
      <c r="H131" s="182">
        <v>50</v>
      </c>
      <c r="I131" s="183">
        <v>0</v>
      </c>
      <c r="J131" s="181">
        <v>100</v>
      </c>
      <c r="K131" s="182">
        <v>50</v>
      </c>
      <c r="L131" s="182">
        <v>0</v>
      </c>
      <c r="M131" s="182">
        <v>25</v>
      </c>
      <c r="N131" s="182">
        <v>36.700000000000003</v>
      </c>
      <c r="O131" s="182">
        <v>75</v>
      </c>
      <c r="P131" s="182">
        <v>25</v>
      </c>
      <c r="Q131" s="183">
        <v>50</v>
      </c>
      <c r="R131" s="181">
        <v>0</v>
      </c>
      <c r="S131" s="182">
        <v>0</v>
      </c>
      <c r="T131" s="182">
        <v>100</v>
      </c>
      <c r="U131" s="182">
        <v>50</v>
      </c>
      <c r="V131" s="182">
        <v>83.1</v>
      </c>
      <c r="W131" s="182">
        <v>100</v>
      </c>
      <c r="X131" s="182">
        <v>58.1</v>
      </c>
      <c r="Y131" s="183">
        <v>50</v>
      </c>
      <c r="Z131" s="181">
        <v>0</v>
      </c>
      <c r="AA131" s="182">
        <v>64.099999999999994</v>
      </c>
      <c r="AB131" s="182">
        <v>0</v>
      </c>
      <c r="AC131" s="182">
        <v>100</v>
      </c>
      <c r="AD131" s="182">
        <v>75</v>
      </c>
      <c r="AE131" s="182">
        <v>50</v>
      </c>
      <c r="AF131" s="182">
        <v>100</v>
      </c>
      <c r="AG131" s="183">
        <v>50</v>
      </c>
      <c r="AH131" s="181">
        <v>0</v>
      </c>
      <c r="AI131" s="182">
        <v>41.7</v>
      </c>
      <c r="AJ131" s="182">
        <v>66.7</v>
      </c>
      <c r="AK131" s="182">
        <v>29.3</v>
      </c>
      <c r="AL131" s="182">
        <v>64.7</v>
      </c>
      <c r="AM131" s="182">
        <v>58.3</v>
      </c>
      <c r="AN131" s="182">
        <v>48.5</v>
      </c>
      <c r="AO131" s="183">
        <v>47.4</v>
      </c>
    </row>
    <row r="132" spans="1:41" ht="15" thickBot="1">
      <c r="A132" s="171"/>
      <c r="B132" s="181" t="s">
        <v>27</v>
      </c>
      <c r="C132" s="182">
        <v>9</v>
      </c>
      <c r="D132" s="182">
        <v>2</v>
      </c>
      <c r="E132" s="182">
        <v>33.299999999999997</v>
      </c>
      <c r="F132" s="182">
        <v>24.5</v>
      </c>
      <c r="G132" s="182">
        <v>44</v>
      </c>
      <c r="H132" s="182">
        <v>50</v>
      </c>
      <c r="I132" s="183">
        <v>0</v>
      </c>
      <c r="J132" s="181">
        <v>100</v>
      </c>
      <c r="K132" s="182">
        <v>50</v>
      </c>
      <c r="L132" s="182">
        <v>0</v>
      </c>
      <c r="M132" s="182">
        <v>12.5</v>
      </c>
      <c r="N132" s="182">
        <v>60</v>
      </c>
      <c r="O132" s="182">
        <v>50</v>
      </c>
      <c r="P132" s="182">
        <v>100</v>
      </c>
      <c r="Q132" s="183">
        <v>0</v>
      </c>
      <c r="R132" s="181">
        <v>0</v>
      </c>
      <c r="S132" s="182">
        <v>33.299999999999997</v>
      </c>
      <c r="T132" s="182">
        <v>0</v>
      </c>
      <c r="U132" s="182">
        <v>100</v>
      </c>
      <c r="V132" s="182">
        <v>71.3</v>
      </c>
      <c r="W132" s="182">
        <v>100</v>
      </c>
      <c r="X132" s="182">
        <v>8.8000000000000007</v>
      </c>
      <c r="Y132" s="183">
        <v>44.4</v>
      </c>
      <c r="Z132" s="181">
        <v>50</v>
      </c>
      <c r="AA132" s="182">
        <v>61.7</v>
      </c>
      <c r="AB132" s="182">
        <v>50</v>
      </c>
      <c r="AC132" s="182">
        <v>0</v>
      </c>
      <c r="AD132" s="182">
        <v>50</v>
      </c>
      <c r="AE132" s="182">
        <v>50</v>
      </c>
      <c r="AF132" s="182">
        <v>100</v>
      </c>
      <c r="AG132" s="183">
        <v>46.9</v>
      </c>
      <c r="AH132" s="181">
        <v>25</v>
      </c>
      <c r="AI132" s="182">
        <v>41.7</v>
      </c>
      <c r="AJ132" s="182">
        <v>66.7</v>
      </c>
      <c r="AK132" s="182">
        <v>63</v>
      </c>
      <c r="AL132" s="182">
        <v>70.599999999999994</v>
      </c>
      <c r="AM132" s="182">
        <v>33.299999999999997</v>
      </c>
      <c r="AN132" s="182">
        <v>54.8</v>
      </c>
      <c r="AO132" s="183">
        <v>46.9</v>
      </c>
    </row>
    <row r="133" spans="1:41" ht="15" thickBot="1">
      <c r="A133" s="171"/>
      <c r="B133" s="181" t="s">
        <v>34</v>
      </c>
      <c r="C133" s="182">
        <v>10</v>
      </c>
      <c r="D133" s="182">
        <v>2</v>
      </c>
      <c r="E133" s="182">
        <v>58.3</v>
      </c>
      <c r="F133" s="182">
        <v>40.9</v>
      </c>
      <c r="G133" s="182">
        <v>0</v>
      </c>
      <c r="H133" s="182">
        <v>0</v>
      </c>
      <c r="I133" s="183">
        <v>0</v>
      </c>
      <c r="J133" s="181">
        <v>100</v>
      </c>
      <c r="K133" s="182">
        <v>50</v>
      </c>
      <c r="L133" s="182">
        <v>0</v>
      </c>
      <c r="M133" s="182">
        <v>0</v>
      </c>
      <c r="N133" s="182">
        <v>43.3</v>
      </c>
      <c r="O133" s="182">
        <v>50</v>
      </c>
      <c r="P133" s="182">
        <v>50</v>
      </c>
      <c r="Q133" s="183">
        <v>8.3000000000000007</v>
      </c>
      <c r="R133" s="181">
        <v>0</v>
      </c>
      <c r="S133" s="182">
        <v>33.299999999999997</v>
      </c>
      <c r="T133" s="182">
        <v>0</v>
      </c>
      <c r="U133" s="182">
        <v>83.3</v>
      </c>
      <c r="V133" s="182">
        <v>88.5</v>
      </c>
      <c r="W133" s="182">
        <v>100</v>
      </c>
      <c r="X133" s="182">
        <v>41.9</v>
      </c>
      <c r="Y133" s="183">
        <v>38.9</v>
      </c>
      <c r="Z133" s="181">
        <v>0</v>
      </c>
      <c r="AA133" s="182">
        <v>51.8</v>
      </c>
      <c r="AB133" s="182">
        <v>50</v>
      </c>
      <c r="AC133" s="182">
        <v>100</v>
      </c>
      <c r="AD133" s="182">
        <v>50</v>
      </c>
      <c r="AE133" s="182">
        <v>50</v>
      </c>
      <c r="AF133" s="182">
        <v>50</v>
      </c>
      <c r="AG133" s="183">
        <v>81.3</v>
      </c>
      <c r="AH133" s="181">
        <v>25</v>
      </c>
      <c r="AI133" s="182">
        <v>8.3000000000000007</v>
      </c>
      <c r="AJ133" s="182">
        <v>66.7</v>
      </c>
      <c r="AK133" s="182">
        <v>92.7</v>
      </c>
      <c r="AL133" s="182">
        <v>90.7</v>
      </c>
      <c r="AM133" s="182">
        <v>83.3</v>
      </c>
      <c r="AN133" s="182">
        <v>57.6</v>
      </c>
      <c r="AO133" s="183">
        <v>79.099999999999994</v>
      </c>
    </row>
    <row r="134" spans="1:41" ht="15" thickBot="1">
      <c r="A134" s="171"/>
      <c r="B134" s="181" t="s">
        <v>46</v>
      </c>
      <c r="C134" s="182">
        <v>11</v>
      </c>
      <c r="D134" s="182">
        <v>3</v>
      </c>
      <c r="E134" s="182">
        <v>66.7</v>
      </c>
      <c r="F134" s="182">
        <v>28.2</v>
      </c>
      <c r="G134" s="182">
        <v>44</v>
      </c>
      <c r="H134" s="182">
        <v>50</v>
      </c>
      <c r="I134" s="183">
        <v>0</v>
      </c>
      <c r="J134" s="181">
        <v>75</v>
      </c>
      <c r="K134" s="182">
        <v>50</v>
      </c>
      <c r="L134" s="182">
        <v>0</v>
      </c>
      <c r="M134" s="182">
        <v>0</v>
      </c>
      <c r="N134" s="182">
        <v>46.7</v>
      </c>
      <c r="O134" s="182">
        <v>25</v>
      </c>
      <c r="P134" s="182">
        <v>50</v>
      </c>
      <c r="Q134" s="183">
        <v>16.7</v>
      </c>
      <c r="R134" s="181">
        <v>37.5</v>
      </c>
      <c r="S134" s="182">
        <v>33.299999999999997</v>
      </c>
      <c r="T134" s="182">
        <v>0</v>
      </c>
      <c r="U134" s="182">
        <v>58.3</v>
      </c>
      <c r="V134" s="182">
        <v>67.3</v>
      </c>
      <c r="W134" s="182">
        <v>75</v>
      </c>
      <c r="X134" s="182">
        <v>17.899999999999999</v>
      </c>
      <c r="Y134" s="183">
        <v>44.4</v>
      </c>
      <c r="Z134" s="181">
        <v>0</v>
      </c>
      <c r="AA134" s="182">
        <v>61.1</v>
      </c>
      <c r="AB134" s="182">
        <v>0</v>
      </c>
      <c r="AC134" s="182">
        <v>100</v>
      </c>
      <c r="AD134" s="182">
        <v>100</v>
      </c>
      <c r="AE134" s="182">
        <v>50</v>
      </c>
      <c r="AF134" s="182">
        <v>100</v>
      </c>
      <c r="AG134" s="183">
        <v>46.9</v>
      </c>
      <c r="AH134" s="181">
        <v>25</v>
      </c>
      <c r="AI134" s="182">
        <v>16.7</v>
      </c>
      <c r="AJ134" s="182">
        <v>66.7</v>
      </c>
      <c r="AK134" s="182">
        <v>45.7</v>
      </c>
      <c r="AL134" s="182">
        <v>74.8</v>
      </c>
      <c r="AM134" s="182">
        <v>66.7</v>
      </c>
      <c r="AN134" s="182">
        <v>49.3</v>
      </c>
      <c r="AO134" s="183">
        <v>57.9</v>
      </c>
    </row>
    <row r="135" spans="1:41" ht="15" thickBot="1">
      <c r="A135" s="171"/>
      <c r="B135" s="181" t="s">
        <v>36</v>
      </c>
      <c r="C135" s="182">
        <v>12</v>
      </c>
      <c r="D135" s="182">
        <v>3</v>
      </c>
      <c r="E135" s="182">
        <v>50</v>
      </c>
      <c r="F135" s="182">
        <v>55.8</v>
      </c>
      <c r="G135" s="182">
        <v>24</v>
      </c>
      <c r="H135" s="182">
        <v>100</v>
      </c>
      <c r="I135" s="183">
        <v>0</v>
      </c>
      <c r="J135" s="181">
        <v>100</v>
      </c>
      <c r="K135" s="182">
        <v>0</v>
      </c>
      <c r="L135" s="182">
        <v>0</v>
      </c>
      <c r="M135" s="182">
        <v>62.5</v>
      </c>
      <c r="N135" s="182">
        <v>46.7</v>
      </c>
      <c r="O135" s="182">
        <v>0</v>
      </c>
      <c r="P135" s="182">
        <v>25</v>
      </c>
      <c r="Q135" s="183">
        <v>16.7</v>
      </c>
      <c r="R135" s="181">
        <v>0</v>
      </c>
      <c r="S135" s="182">
        <v>33.299999999999997</v>
      </c>
      <c r="T135" s="182">
        <v>0</v>
      </c>
      <c r="U135" s="182">
        <v>41.7</v>
      </c>
      <c r="V135" s="182">
        <v>86.2</v>
      </c>
      <c r="W135" s="182">
        <v>100</v>
      </c>
      <c r="X135" s="182">
        <v>38.5</v>
      </c>
      <c r="Y135" s="183">
        <v>22.2</v>
      </c>
      <c r="Z135" s="181">
        <v>0</v>
      </c>
      <c r="AA135" s="182">
        <v>65.099999999999994</v>
      </c>
      <c r="AB135" s="182">
        <v>0</v>
      </c>
      <c r="AC135" s="182">
        <v>0</v>
      </c>
      <c r="AD135" s="182">
        <v>100</v>
      </c>
      <c r="AE135" s="182">
        <v>100</v>
      </c>
      <c r="AF135" s="182">
        <v>50</v>
      </c>
      <c r="AG135" s="183">
        <v>93.8</v>
      </c>
      <c r="AH135" s="181">
        <v>0</v>
      </c>
      <c r="AI135" s="182">
        <v>41.7</v>
      </c>
      <c r="AJ135" s="182">
        <v>66.7</v>
      </c>
      <c r="AK135" s="182">
        <v>51.8</v>
      </c>
      <c r="AL135" s="182">
        <v>65.7</v>
      </c>
      <c r="AM135" s="182">
        <v>66.7</v>
      </c>
      <c r="AN135" s="182">
        <v>63.2</v>
      </c>
      <c r="AO135" s="183">
        <v>54.9</v>
      </c>
    </row>
    <row r="136" spans="1:41" ht="15" thickBot="1">
      <c r="B136" s="181" t="s">
        <v>31</v>
      </c>
      <c r="C136" s="182">
        <v>13</v>
      </c>
      <c r="D136" s="182">
        <v>3</v>
      </c>
      <c r="E136" s="182">
        <v>8.3000000000000007</v>
      </c>
      <c r="F136" s="182">
        <v>35</v>
      </c>
      <c r="G136" s="182">
        <v>44</v>
      </c>
      <c r="H136" s="182">
        <v>50</v>
      </c>
      <c r="I136" s="183">
        <v>0</v>
      </c>
      <c r="J136" s="181">
        <v>50</v>
      </c>
      <c r="K136" s="182">
        <v>50</v>
      </c>
      <c r="L136" s="182">
        <v>50</v>
      </c>
      <c r="M136" s="182">
        <v>0</v>
      </c>
      <c r="N136" s="182">
        <v>56.7</v>
      </c>
      <c r="O136" s="182">
        <v>0</v>
      </c>
      <c r="P136" s="182">
        <v>0</v>
      </c>
      <c r="Q136" s="183">
        <v>50</v>
      </c>
      <c r="R136" s="181">
        <v>0</v>
      </c>
      <c r="S136" s="182">
        <v>33.299999999999997</v>
      </c>
      <c r="T136" s="182">
        <v>0</v>
      </c>
      <c r="U136" s="182">
        <v>83.3</v>
      </c>
      <c r="V136" s="182">
        <v>79.099999999999994</v>
      </c>
      <c r="W136" s="182">
        <v>100</v>
      </c>
      <c r="X136" s="182">
        <v>49.3</v>
      </c>
      <c r="Y136" s="183">
        <v>38.9</v>
      </c>
      <c r="Z136" s="181">
        <v>0</v>
      </c>
      <c r="AA136" s="182">
        <v>65.3</v>
      </c>
      <c r="AB136" s="182">
        <v>0</v>
      </c>
      <c r="AC136" s="182">
        <v>100</v>
      </c>
      <c r="AD136" s="182">
        <v>50</v>
      </c>
      <c r="AE136" s="182">
        <v>50</v>
      </c>
      <c r="AF136" s="182">
        <v>100</v>
      </c>
      <c r="AG136" s="183">
        <v>46.9</v>
      </c>
      <c r="AH136" s="181">
        <v>0</v>
      </c>
      <c r="AI136" s="182">
        <v>16.7</v>
      </c>
      <c r="AJ136" s="182">
        <v>66.7</v>
      </c>
      <c r="AK136" s="182">
        <v>50.2</v>
      </c>
      <c r="AL136" s="182">
        <v>73</v>
      </c>
      <c r="AM136" s="182">
        <v>33.299999999999997</v>
      </c>
      <c r="AN136" s="182">
        <v>57.2</v>
      </c>
      <c r="AO136" s="183">
        <v>55.2</v>
      </c>
    </row>
    <row r="137" spans="1:41" ht="15" thickBot="1">
      <c r="B137" s="181" t="s">
        <v>39</v>
      </c>
      <c r="C137" s="182">
        <v>14</v>
      </c>
      <c r="D137" s="182">
        <v>3</v>
      </c>
      <c r="E137" s="182">
        <v>58.3</v>
      </c>
      <c r="F137" s="182">
        <v>46.4</v>
      </c>
      <c r="G137" s="182">
        <v>44</v>
      </c>
      <c r="H137" s="182">
        <v>0</v>
      </c>
      <c r="I137" s="183">
        <v>0</v>
      </c>
      <c r="J137" s="181">
        <v>75</v>
      </c>
      <c r="K137" s="182">
        <v>87.5</v>
      </c>
      <c r="L137" s="182">
        <v>0</v>
      </c>
      <c r="M137" s="182">
        <v>12.5</v>
      </c>
      <c r="N137" s="182">
        <v>30</v>
      </c>
      <c r="O137" s="182">
        <v>50</v>
      </c>
      <c r="P137" s="182">
        <v>25</v>
      </c>
      <c r="Q137" s="183">
        <v>20.8</v>
      </c>
      <c r="R137" s="181">
        <v>0</v>
      </c>
      <c r="S137" s="182">
        <v>33.299999999999997</v>
      </c>
      <c r="T137" s="182">
        <v>0</v>
      </c>
      <c r="U137" s="182">
        <v>50</v>
      </c>
      <c r="V137" s="182">
        <v>75.599999999999994</v>
      </c>
      <c r="W137" s="182">
        <v>100</v>
      </c>
      <c r="X137" s="182">
        <v>34</v>
      </c>
      <c r="Y137" s="183">
        <v>33.299999999999997</v>
      </c>
      <c r="Z137" s="181">
        <v>50</v>
      </c>
      <c r="AA137" s="182">
        <v>60</v>
      </c>
      <c r="AB137" s="182">
        <v>0</v>
      </c>
      <c r="AC137" s="182">
        <v>100</v>
      </c>
      <c r="AD137" s="182">
        <v>50</v>
      </c>
      <c r="AE137" s="182">
        <v>50</v>
      </c>
      <c r="AF137" s="182">
        <v>0</v>
      </c>
      <c r="AG137" s="183">
        <v>50</v>
      </c>
      <c r="AH137" s="181">
        <v>25</v>
      </c>
      <c r="AI137" s="182">
        <v>41.7</v>
      </c>
      <c r="AJ137" s="182">
        <v>66.7</v>
      </c>
      <c r="AK137" s="182">
        <v>37.6</v>
      </c>
      <c r="AL137" s="182">
        <v>70.5</v>
      </c>
      <c r="AM137" s="182">
        <v>25</v>
      </c>
      <c r="AN137" s="182">
        <v>61.7</v>
      </c>
      <c r="AO137" s="183">
        <v>42.5</v>
      </c>
    </row>
    <row r="138" spans="1:41" ht="15" thickBot="1">
      <c r="B138" s="181" t="s">
        <v>42</v>
      </c>
      <c r="C138" s="182">
        <v>15</v>
      </c>
      <c r="D138" s="182">
        <v>3</v>
      </c>
      <c r="E138" s="182">
        <v>75</v>
      </c>
      <c r="F138" s="182">
        <v>24.4</v>
      </c>
      <c r="G138" s="182">
        <v>40</v>
      </c>
      <c r="H138" s="182">
        <v>0</v>
      </c>
      <c r="I138" s="183">
        <v>0</v>
      </c>
      <c r="J138" s="181">
        <v>100</v>
      </c>
      <c r="K138" s="182">
        <v>50</v>
      </c>
      <c r="L138" s="182">
        <v>0</v>
      </c>
      <c r="M138" s="182">
        <v>25</v>
      </c>
      <c r="N138" s="182">
        <v>60</v>
      </c>
      <c r="O138" s="182">
        <v>25</v>
      </c>
      <c r="P138" s="182">
        <v>25</v>
      </c>
      <c r="Q138" s="183">
        <v>33.299999999999997</v>
      </c>
      <c r="R138" s="181">
        <v>0</v>
      </c>
      <c r="S138" s="182">
        <v>33.299999999999997</v>
      </c>
      <c r="T138" s="182">
        <v>0</v>
      </c>
      <c r="U138" s="182">
        <v>41.7</v>
      </c>
      <c r="V138" s="182">
        <v>72.8</v>
      </c>
      <c r="W138" s="182">
        <v>100</v>
      </c>
      <c r="X138" s="182">
        <v>30.7</v>
      </c>
      <c r="Y138" s="183">
        <v>33.299999999999997</v>
      </c>
      <c r="Z138" s="181">
        <v>0</v>
      </c>
      <c r="AA138" s="182">
        <v>62.3</v>
      </c>
      <c r="AB138" s="182">
        <v>0</v>
      </c>
      <c r="AC138" s="182">
        <v>0</v>
      </c>
      <c r="AD138" s="182">
        <v>75</v>
      </c>
      <c r="AE138" s="182">
        <v>100</v>
      </c>
      <c r="AF138" s="182">
        <v>50</v>
      </c>
      <c r="AG138" s="183">
        <v>34.4</v>
      </c>
      <c r="AH138" s="181">
        <v>0</v>
      </c>
      <c r="AI138" s="182">
        <v>8.3000000000000007</v>
      </c>
      <c r="AJ138" s="182">
        <v>66.7</v>
      </c>
      <c r="AK138" s="182">
        <v>55.3</v>
      </c>
      <c r="AL138" s="182">
        <v>85.1</v>
      </c>
      <c r="AM138" s="182">
        <v>41.7</v>
      </c>
      <c r="AN138" s="182">
        <v>58.4</v>
      </c>
      <c r="AO138" s="183">
        <v>47.5</v>
      </c>
    </row>
    <row r="139" spans="1:41" ht="15" thickBot="1">
      <c r="B139" s="181" t="s">
        <v>38</v>
      </c>
      <c r="C139" s="182">
        <v>16</v>
      </c>
      <c r="D139" s="182">
        <v>3</v>
      </c>
      <c r="E139" s="182">
        <v>50</v>
      </c>
      <c r="F139" s="182">
        <v>51.8</v>
      </c>
      <c r="G139" s="182">
        <v>20</v>
      </c>
      <c r="H139" s="182">
        <v>25</v>
      </c>
      <c r="I139" s="183">
        <v>0</v>
      </c>
      <c r="J139" s="181">
        <v>50</v>
      </c>
      <c r="K139" s="182">
        <v>0</v>
      </c>
      <c r="L139" s="182">
        <v>0</v>
      </c>
      <c r="M139" s="182">
        <v>12.5</v>
      </c>
      <c r="N139" s="182">
        <v>40</v>
      </c>
      <c r="O139" s="182">
        <v>0</v>
      </c>
      <c r="P139" s="182">
        <v>50</v>
      </c>
      <c r="Q139" s="183">
        <v>91.7</v>
      </c>
      <c r="R139" s="181">
        <v>0</v>
      </c>
      <c r="S139" s="182">
        <v>0</v>
      </c>
      <c r="T139" s="182">
        <v>0</v>
      </c>
      <c r="U139" s="182">
        <v>25</v>
      </c>
      <c r="V139" s="182">
        <v>83.4</v>
      </c>
      <c r="W139" s="182">
        <v>100</v>
      </c>
      <c r="X139" s="182">
        <v>38.6</v>
      </c>
      <c r="Y139" s="183">
        <v>11.1</v>
      </c>
      <c r="Z139" s="181">
        <v>50</v>
      </c>
      <c r="AA139" s="182">
        <v>60.2</v>
      </c>
      <c r="AB139" s="182">
        <v>0</v>
      </c>
      <c r="AC139" s="182">
        <v>100</v>
      </c>
      <c r="AD139" s="182">
        <v>50</v>
      </c>
      <c r="AE139" s="182">
        <v>50</v>
      </c>
      <c r="AF139" s="182">
        <v>100</v>
      </c>
      <c r="AG139" s="183">
        <v>50</v>
      </c>
      <c r="AH139" s="181">
        <v>25</v>
      </c>
      <c r="AI139" s="182">
        <v>8.3000000000000007</v>
      </c>
      <c r="AJ139" s="182">
        <v>66.7</v>
      </c>
      <c r="AK139" s="182">
        <v>89.3</v>
      </c>
      <c r="AL139" s="182">
        <v>72.599999999999994</v>
      </c>
      <c r="AM139" s="182">
        <v>100</v>
      </c>
      <c r="AN139" s="182">
        <v>87.8</v>
      </c>
      <c r="AO139" s="183">
        <v>66</v>
      </c>
    </row>
    <row r="140" spans="1:41" ht="15" thickBot="1">
      <c r="B140" s="181" t="s">
        <v>41</v>
      </c>
      <c r="C140" s="182">
        <v>17</v>
      </c>
      <c r="D140" s="182">
        <v>3</v>
      </c>
      <c r="E140" s="182">
        <v>75</v>
      </c>
      <c r="F140" s="182">
        <v>41.1</v>
      </c>
      <c r="G140" s="182">
        <v>26.7</v>
      </c>
      <c r="H140" s="182">
        <v>0</v>
      </c>
      <c r="I140" s="183">
        <v>0</v>
      </c>
      <c r="J140" s="181">
        <v>75</v>
      </c>
      <c r="K140" s="182">
        <v>0</v>
      </c>
      <c r="L140" s="182">
        <v>0</v>
      </c>
      <c r="M140" s="182">
        <v>0</v>
      </c>
      <c r="N140" s="182">
        <v>30</v>
      </c>
      <c r="O140" s="182">
        <v>25</v>
      </c>
      <c r="P140" s="182">
        <v>50</v>
      </c>
      <c r="Q140" s="183">
        <v>41.7</v>
      </c>
      <c r="R140" s="181">
        <v>0</v>
      </c>
      <c r="S140" s="182">
        <v>33.299999999999997</v>
      </c>
      <c r="T140" s="182">
        <v>0</v>
      </c>
      <c r="U140" s="182">
        <v>37.5</v>
      </c>
      <c r="V140" s="182">
        <v>83.7</v>
      </c>
      <c r="W140" s="182">
        <v>100</v>
      </c>
      <c r="X140" s="182">
        <v>14.5</v>
      </c>
      <c r="Y140" s="183">
        <v>33.299999999999997</v>
      </c>
      <c r="Z140" s="181">
        <v>0</v>
      </c>
      <c r="AA140" s="182">
        <v>61.4</v>
      </c>
      <c r="AB140" s="182">
        <v>0</v>
      </c>
      <c r="AC140" s="182">
        <v>100</v>
      </c>
      <c r="AD140" s="182">
        <v>50</v>
      </c>
      <c r="AE140" s="182">
        <v>100</v>
      </c>
      <c r="AF140" s="182">
        <v>100</v>
      </c>
      <c r="AG140" s="183">
        <v>40.6</v>
      </c>
      <c r="AH140" s="181">
        <v>0</v>
      </c>
      <c r="AI140" s="182">
        <v>16.7</v>
      </c>
      <c r="AJ140" s="182">
        <v>66.7</v>
      </c>
      <c r="AK140" s="182">
        <v>61.1</v>
      </c>
      <c r="AL140" s="182">
        <v>72.2</v>
      </c>
      <c r="AM140" s="182">
        <v>50</v>
      </c>
      <c r="AN140" s="182">
        <v>54.5</v>
      </c>
      <c r="AO140" s="183">
        <v>50.1</v>
      </c>
    </row>
    <row r="141" spans="1:41" ht="15" thickBot="1">
      <c r="B141" s="181" t="s">
        <v>37</v>
      </c>
      <c r="C141" s="182">
        <v>18</v>
      </c>
      <c r="D141" s="182">
        <v>3</v>
      </c>
      <c r="E141" s="182">
        <v>33.299999999999997</v>
      </c>
      <c r="F141" s="182">
        <v>11.9</v>
      </c>
      <c r="G141" s="182">
        <v>20</v>
      </c>
      <c r="H141" s="182">
        <v>0</v>
      </c>
      <c r="I141" s="183">
        <v>0</v>
      </c>
      <c r="J141" s="181">
        <v>100</v>
      </c>
      <c r="K141" s="182">
        <v>62.5</v>
      </c>
      <c r="L141" s="182">
        <v>0</v>
      </c>
      <c r="M141" s="182">
        <v>62.5</v>
      </c>
      <c r="N141" s="182">
        <v>10</v>
      </c>
      <c r="O141" s="182">
        <v>0</v>
      </c>
      <c r="P141" s="182">
        <v>25</v>
      </c>
      <c r="Q141" s="183">
        <v>50</v>
      </c>
      <c r="R141" s="181">
        <v>0</v>
      </c>
      <c r="S141" s="182">
        <v>0</v>
      </c>
      <c r="T141" s="182">
        <v>0</v>
      </c>
      <c r="U141" s="182">
        <v>66.7</v>
      </c>
      <c r="V141" s="182">
        <v>63.8</v>
      </c>
      <c r="W141" s="182">
        <v>75</v>
      </c>
      <c r="X141" s="182">
        <v>14.6</v>
      </c>
      <c r="Y141" s="183">
        <v>83.3</v>
      </c>
      <c r="Z141" s="181">
        <v>0</v>
      </c>
      <c r="AA141" s="182">
        <v>60.3</v>
      </c>
      <c r="AB141" s="182">
        <v>0</v>
      </c>
      <c r="AC141" s="182">
        <v>100</v>
      </c>
      <c r="AD141" s="182">
        <v>25</v>
      </c>
      <c r="AE141" s="182">
        <v>100</v>
      </c>
      <c r="AF141" s="182">
        <v>50</v>
      </c>
      <c r="AG141" s="183">
        <v>43.8</v>
      </c>
      <c r="AH141" s="181">
        <v>75</v>
      </c>
      <c r="AI141" s="182">
        <v>66.7</v>
      </c>
      <c r="AJ141" s="182">
        <v>66.7</v>
      </c>
      <c r="AK141" s="182">
        <v>56.7</v>
      </c>
      <c r="AL141" s="182">
        <v>66.2</v>
      </c>
      <c r="AM141" s="182">
        <v>41.7</v>
      </c>
      <c r="AN141" s="182">
        <v>71.599999999999994</v>
      </c>
      <c r="AO141" s="183">
        <v>64.099999999999994</v>
      </c>
    </row>
    <row r="142" spans="1:41" ht="15" thickBot="1">
      <c r="B142" s="181" t="s">
        <v>53</v>
      </c>
      <c r="C142" s="182">
        <v>19</v>
      </c>
      <c r="D142" s="182">
        <v>4</v>
      </c>
      <c r="E142" s="182">
        <v>66.7</v>
      </c>
      <c r="F142" s="182">
        <v>10.7</v>
      </c>
      <c r="G142" s="182">
        <v>40</v>
      </c>
      <c r="H142" s="182">
        <v>0</v>
      </c>
      <c r="I142" s="183">
        <v>0</v>
      </c>
      <c r="J142" s="181">
        <v>100</v>
      </c>
      <c r="K142" s="182">
        <v>25</v>
      </c>
      <c r="L142" s="182">
        <v>0</v>
      </c>
      <c r="M142" s="182">
        <v>50</v>
      </c>
      <c r="N142" s="182">
        <v>20</v>
      </c>
      <c r="O142" s="182">
        <v>0</v>
      </c>
      <c r="P142" s="182">
        <v>25</v>
      </c>
      <c r="Q142" s="183">
        <v>0</v>
      </c>
      <c r="R142" s="181">
        <v>25</v>
      </c>
      <c r="S142" s="182">
        <v>33.299999999999997</v>
      </c>
      <c r="T142" s="182">
        <v>0</v>
      </c>
      <c r="U142" s="182">
        <v>66.7</v>
      </c>
      <c r="V142" s="182">
        <v>49.9</v>
      </c>
      <c r="W142" s="182">
        <v>75</v>
      </c>
      <c r="X142" s="182">
        <v>18.7</v>
      </c>
      <c r="Y142" s="183">
        <v>38.9</v>
      </c>
      <c r="Z142" s="181">
        <v>0</v>
      </c>
      <c r="AA142" s="182">
        <v>62.9</v>
      </c>
      <c r="AB142" s="182">
        <v>0</v>
      </c>
      <c r="AC142" s="182">
        <v>0</v>
      </c>
      <c r="AD142" s="182">
        <v>50</v>
      </c>
      <c r="AE142" s="182">
        <v>100</v>
      </c>
      <c r="AF142" s="182">
        <v>100</v>
      </c>
      <c r="AG142" s="183">
        <v>43.8</v>
      </c>
      <c r="AH142" s="181">
        <v>0</v>
      </c>
      <c r="AI142" s="182">
        <v>33.299999999999997</v>
      </c>
      <c r="AJ142" s="182">
        <v>66.7</v>
      </c>
      <c r="AK142" s="182">
        <v>48.3</v>
      </c>
      <c r="AL142" s="182">
        <v>63.5</v>
      </c>
      <c r="AM142" s="182">
        <v>16.7</v>
      </c>
      <c r="AN142" s="182">
        <v>66.8</v>
      </c>
      <c r="AO142" s="183">
        <v>68.2</v>
      </c>
    </row>
    <row r="143" spans="1:41" ht="15" thickBot="1">
      <c r="B143" s="181" t="s">
        <v>51</v>
      </c>
      <c r="C143" s="182">
        <v>20</v>
      </c>
      <c r="D143" s="182">
        <v>4</v>
      </c>
      <c r="E143" s="182">
        <v>0</v>
      </c>
      <c r="F143" s="182">
        <v>39.5</v>
      </c>
      <c r="G143" s="182">
        <v>32</v>
      </c>
      <c r="H143" s="182">
        <v>50</v>
      </c>
      <c r="I143" s="183">
        <v>0</v>
      </c>
      <c r="J143" s="181">
        <v>75</v>
      </c>
      <c r="K143" s="182">
        <v>50</v>
      </c>
      <c r="L143" s="182">
        <v>0</v>
      </c>
      <c r="M143" s="182">
        <v>0</v>
      </c>
      <c r="N143" s="182">
        <v>40</v>
      </c>
      <c r="O143" s="182">
        <v>0</v>
      </c>
      <c r="P143" s="182">
        <v>50</v>
      </c>
      <c r="Q143" s="183">
        <v>37.5</v>
      </c>
      <c r="R143" s="181">
        <v>0</v>
      </c>
      <c r="S143" s="182">
        <v>0</v>
      </c>
      <c r="T143" s="182">
        <v>0</v>
      </c>
      <c r="U143" s="182">
        <v>50</v>
      </c>
      <c r="V143" s="182">
        <v>76.3</v>
      </c>
      <c r="W143" s="182">
        <v>100</v>
      </c>
      <c r="X143" s="182">
        <v>22</v>
      </c>
      <c r="Y143" s="183">
        <v>33.299999999999997</v>
      </c>
      <c r="Z143" s="181">
        <v>0</v>
      </c>
      <c r="AA143" s="182">
        <v>98.6</v>
      </c>
      <c r="AB143" s="182">
        <v>0</v>
      </c>
      <c r="AC143" s="182">
        <v>0</v>
      </c>
      <c r="AD143" s="182">
        <v>75</v>
      </c>
      <c r="AE143" s="182">
        <v>50</v>
      </c>
      <c r="AF143" s="182">
        <v>0</v>
      </c>
      <c r="AG143" s="183">
        <v>96.9</v>
      </c>
      <c r="AH143" s="181">
        <v>25</v>
      </c>
      <c r="AI143" s="182">
        <v>66.7</v>
      </c>
      <c r="AJ143" s="182">
        <v>66.7</v>
      </c>
      <c r="AK143" s="182">
        <v>13.1</v>
      </c>
      <c r="AL143" s="182">
        <v>69</v>
      </c>
      <c r="AM143" s="182">
        <v>41.7</v>
      </c>
      <c r="AN143" s="182">
        <v>50.6</v>
      </c>
      <c r="AO143" s="183">
        <v>45.4</v>
      </c>
    </row>
    <row r="144" spans="1:41" ht="15" thickBot="1">
      <c r="B144" s="181" t="s">
        <v>32</v>
      </c>
      <c r="C144" s="182">
        <v>21</v>
      </c>
      <c r="D144" s="182">
        <v>4</v>
      </c>
      <c r="E144" s="182">
        <v>58.3</v>
      </c>
      <c r="F144" s="182">
        <v>24.2</v>
      </c>
      <c r="G144" s="182">
        <v>0</v>
      </c>
      <c r="H144" s="182">
        <v>50</v>
      </c>
      <c r="I144" s="183">
        <v>0</v>
      </c>
      <c r="J144" s="181">
        <v>75</v>
      </c>
      <c r="K144" s="182">
        <v>50</v>
      </c>
      <c r="L144" s="182">
        <v>0</v>
      </c>
      <c r="M144" s="182">
        <v>0</v>
      </c>
      <c r="N144" s="182">
        <v>30</v>
      </c>
      <c r="O144" s="182">
        <v>0</v>
      </c>
      <c r="P144" s="182">
        <v>0</v>
      </c>
      <c r="Q144" s="183">
        <v>4.2</v>
      </c>
      <c r="R144" s="181">
        <v>0</v>
      </c>
      <c r="S144" s="182">
        <v>33.299999999999997</v>
      </c>
      <c r="T144" s="182">
        <v>0</v>
      </c>
      <c r="U144" s="182">
        <v>37.5</v>
      </c>
      <c r="V144" s="182">
        <v>77.099999999999994</v>
      </c>
      <c r="W144" s="182">
        <v>100</v>
      </c>
      <c r="X144" s="182">
        <v>13.1</v>
      </c>
      <c r="Y144" s="183">
        <v>33.299999999999997</v>
      </c>
      <c r="Z144" s="181">
        <v>0</v>
      </c>
      <c r="AA144" s="182">
        <v>54</v>
      </c>
      <c r="AB144" s="182">
        <v>0</v>
      </c>
      <c r="AC144" s="182">
        <v>100</v>
      </c>
      <c r="AD144" s="182">
        <v>75</v>
      </c>
      <c r="AE144" s="182">
        <v>50</v>
      </c>
      <c r="AF144" s="182">
        <v>100</v>
      </c>
      <c r="AG144" s="183">
        <v>46.9</v>
      </c>
      <c r="AH144" s="181">
        <v>0</v>
      </c>
      <c r="AI144" s="182">
        <v>8.3000000000000007</v>
      </c>
      <c r="AJ144" s="182">
        <v>66.7</v>
      </c>
      <c r="AK144" s="182">
        <v>42.6</v>
      </c>
      <c r="AL144" s="182">
        <v>63.6</v>
      </c>
      <c r="AM144" s="182">
        <v>41.7</v>
      </c>
      <c r="AN144" s="182">
        <v>52.6</v>
      </c>
      <c r="AO144" s="183">
        <v>48.9</v>
      </c>
    </row>
    <row r="145" spans="2:41" ht="15" thickBot="1">
      <c r="B145" s="179" t="s">
        <v>30</v>
      </c>
      <c r="C145" s="180">
        <v>22</v>
      </c>
      <c r="D145" s="180">
        <v>4</v>
      </c>
      <c r="E145" s="180">
        <v>8.3000000000000007</v>
      </c>
      <c r="F145" s="180">
        <v>38.4</v>
      </c>
      <c r="G145" s="180">
        <v>24</v>
      </c>
      <c r="H145" s="180">
        <v>25</v>
      </c>
      <c r="I145" s="180">
        <v>0</v>
      </c>
      <c r="J145" s="179">
        <v>100</v>
      </c>
      <c r="K145" s="180">
        <v>0</v>
      </c>
      <c r="L145" s="180">
        <v>0</v>
      </c>
      <c r="M145" s="180">
        <v>50</v>
      </c>
      <c r="N145" s="180">
        <v>30</v>
      </c>
      <c r="O145" s="180">
        <v>0</v>
      </c>
      <c r="P145" s="180">
        <v>50</v>
      </c>
      <c r="Q145" s="180">
        <v>20.8</v>
      </c>
      <c r="R145" s="179">
        <v>0</v>
      </c>
      <c r="S145" s="180">
        <v>33.299999999999997</v>
      </c>
      <c r="T145" s="180">
        <v>0</v>
      </c>
      <c r="U145" s="180">
        <v>41.7</v>
      </c>
      <c r="V145" s="180">
        <v>63.2</v>
      </c>
      <c r="W145" s="180">
        <v>75</v>
      </c>
      <c r="X145" s="180">
        <v>17.7</v>
      </c>
      <c r="Y145" s="180">
        <v>0</v>
      </c>
      <c r="Z145" s="179">
        <v>0</v>
      </c>
      <c r="AA145" s="180">
        <v>59.4</v>
      </c>
      <c r="AB145" s="180">
        <v>0</v>
      </c>
      <c r="AC145" s="180">
        <v>0</v>
      </c>
      <c r="AD145" s="180">
        <v>75</v>
      </c>
      <c r="AE145" s="180">
        <v>50</v>
      </c>
      <c r="AF145" s="180">
        <v>0</v>
      </c>
      <c r="AG145" s="180">
        <v>93.8</v>
      </c>
      <c r="AH145" s="179">
        <v>0</v>
      </c>
      <c r="AI145" s="180">
        <v>16.7</v>
      </c>
      <c r="AJ145" s="180">
        <v>66.7</v>
      </c>
      <c r="AK145" s="180">
        <v>30.4</v>
      </c>
      <c r="AL145" s="180">
        <v>62.7</v>
      </c>
      <c r="AM145" s="180">
        <v>66.7</v>
      </c>
      <c r="AN145" s="180">
        <v>65.5</v>
      </c>
      <c r="AO145" s="180">
        <v>63.9</v>
      </c>
    </row>
    <row r="146" spans="2:41" ht="15" thickBot="1">
      <c r="B146" s="181" t="s">
        <v>50</v>
      </c>
      <c r="C146" s="182">
        <v>23</v>
      </c>
      <c r="D146" s="182">
        <v>4</v>
      </c>
      <c r="E146" s="182">
        <v>25</v>
      </c>
      <c r="F146" s="182">
        <v>6.8</v>
      </c>
      <c r="G146" s="182">
        <v>0</v>
      </c>
      <c r="H146" s="182">
        <v>0</v>
      </c>
      <c r="I146" s="183">
        <v>0</v>
      </c>
      <c r="J146" s="181">
        <v>100</v>
      </c>
      <c r="K146" s="182">
        <v>37.5</v>
      </c>
      <c r="L146" s="182">
        <v>50</v>
      </c>
      <c r="M146" s="182">
        <v>0</v>
      </c>
      <c r="N146" s="182">
        <v>0</v>
      </c>
      <c r="O146" s="182">
        <v>0</v>
      </c>
      <c r="P146" s="182">
        <v>75</v>
      </c>
      <c r="Q146" s="183">
        <v>0</v>
      </c>
      <c r="R146" s="181">
        <v>0</v>
      </c>
      <c r="S146" s="182">
        <v>33.299999999999997</v>
      </c>
      <c r="T146" s="182">
        <v>0</v>
      </c>
      <c r="U146" s="182">
        <v>25</v>
      </c>
      <c r="V146" s="182">
        <v>70.7</v>
      </c>
      <c r="W146" s="182">
        <v>100</v>
      </c>
      <c r="X146" s="182">
        <v>16.899999999999999</v>
      </c>
      <c r="Y146" s="183">
        <v>38.9</v>
      </c>
      <c r="Z146" s="181">
        <v>0</v>
      </c>
      <c r="AA146" s="182">
        <v>62.6</v>
      </c>
      <c r="AB146" s="182">
        <v>0</v>
      </c>
      <c r="AC146" s="182">
        <v>100</v>
      </c>
      <c r="AD146" s="182">
        <v>0</v>
      </c>
      <c r="AE146" s="182">
        <v>50</v>
      </c>
      <c r="AF146" s="182">
        <v>50</v>
      </c>
      <c r="AG146" s="183">
        <v>28.1</v>
      </c>
      <c r="AH146" s="181">
        <v>25</v>
      </c>
      <c r="AI146" s="182">
        <v>8.3000000000000007</v>
      </c>
      <c r="AJ146" s="182">
        <v>66.7</v>
      </c>
      <c r="AK146" s="182">
        <v>44.5</v>
      </c>
      <c r="AL146" s="182">
        <v>51.2</v>
      </c>
      <c r="AM146" s="182">
        <v>33.299999999999997</v>
      </c>
      <c r="AN146" s="182">
        <v>48.7</v>
      </c>
      <c r="AO146" s="183">
        <v>66.400000000000006</v>
      </c>
    </row>
    <row r="147" spans="2:41" ht="15" thickBot="1">
      <c r="B147" s="181" t="s">
        <v>40</v>
      </c>
      <c r="C147" s="182">
        <v>24</v>
      </c>
      <c r="D147" s="182">
        <v>5</v>
      </c>
      <c r="E147" s="182">
        <v>25</v>
      </c>
      <c r="F147" s="182">
        <v>0</v>
      </c>
      <c r="G147" s="182">
        <v>20</v>
      </c>
      <c r="H147" s="182">
        <v>0</v>
      </c>
      <c r="I147" s="183">
        <v>0</v>
      </c>
      <c r="J147" s="181">
        <v>0</v>
      </c>
      <c r="K147" s="182">
        <v>0</v>
      </c>
      <c r="L147" s="182">
        <v>50</v>
      </c>
      <c r="M147" s="182">
        <v>0</v>
      </c>
      <c r="N147" s="182">
        <v>23.3</v>
      </c>
      <c r="O147" s="182">
        <v>0</v>
      </c>
      <c r="P147" s="182">
        <v>50</v>
      </c>
      <c r="Q147" s="183">
        <v>0</v>
      </c>
      <c r="R147" s="181">
        <v>0</v>
      </c>
      <c r="S147" s="182">
        <v>0</v>
      </c>
      <c r="T147" s="182">
        <v>0</v>
      </c>
      <c r="U147" s="182">
        <v>37.5</v>
      </c>
      <c r="V147" s="182">
        <v>78.400000000000006</v>
      </c>
      <c r="W147" s="182">
        <v>100</v>
      </c>
      <c r="X147" s="182">
        <v>48.2</v>
      </c>
      <c r="Y147" s="183">
        <v>33.299999999999997</v>
      </c>
      <c r="Z147" s="181">
        <v>0</v>
      </c>
      <c r="AA147" s="182">
        <v>54.4</v>
      </c>
      <c r="AB147" s="182">
        <v>0</v>
      </c>
      <c r="AC147" s="182">
        <v>100</v>
      </c>
      <c r="AD147" s="182">
        <v>50</v>
      </c>
      <c r="AE147" s="182">
        <v>50</v>
      </c>
      <c r="AF147" s="182">
        <v>0</v>
      </c>
      <c r="AG147" s="183">
        <v>28.1</v>
      </c>
      <c r="AH147" s="181">
        <v>0</v>
      </c>
      <c r="AI147" s="182">
        <v>16.7</v>
      </c>
      <c r="AJ147" s="182">
        <v>66.7</v>
      </c>
      <c r="AK147" s="182">
        <v>92.2</v>
      </c>
      <c r="AL147" s="182">
        <v>72.5</v>
      </c>
      <c r="AM147" s="182">
        <v>100</v>
      </c>
      <c r="AN147" s="182">
        <v>55.1</v>
      </c>
      <c r="AO147" s="183">
        <v>60.2</v>
      </c>
    </row>
    <row r="148" spans="2:41" ht="15" thickBot="1">
      <c r="B148" s="181" t="s">
        <v>45</v>
      </c>
      <c r="C148" s="182">
        <v>25</v>
      </c>
      <c r="D148" s="182">
        <v>5</v>
      </c>
      <c r="E148" s="182">
        <v>25</v>
      </c>
      <c r="F148" s="182">
        <v>9.5</v>
      </c>
      <c r="G148" s="182">
        <v>20</v>
      </c>
      <c r="H148" s="182">
        <v>0</v>
      </c>
      <c r="I148" s="183">
        <v>0</v>
      </c>
      <c r="J148" s="181">
        <v>50</v>
      </c>
      <c r="K148" s="182">
        <v>0</v>
      </c>
      <c r="L148" s="182">
        <v>50</v>
      </c>
      <c r="M148" s="182">
        <v>0</v>
      </c>
      <c r="N148" s="182">
        <v>53.3</v>
      </c>
      <c r="O148" s="182">
        <v>0</v>
      </c>
      <c r="P148" s="182">
        <v>0</v>
      </c>
      <c r="Q148" s="183">
        <v>4.2</v>
      </c>
      <c r="R148" s="181">
        <v>0</v>
      </c>
      <c r="S148" s="182">
        <v>0</v>
      </c>
      <c r="T148" s="182">
        <v>0</v>
      </c>
      <c r="U148" s="182">
        <v>25</v>
      </c>
      <c r="V148" s="182">
        <v>72.7</v>
      </c>
      <c r="W148" s="182">
        <v>100</v>
      </c>
      <c r="X148" s="182">
        <v>23.3</v>
      </c>
      <c r="Y148" s="183">
        <v>0</v>
      </c>
      <c r="Z148" s="181">
        <v>0</v>
      </c>
      <c r="AA148" s="182">
        <v>51.9</v>
      </c>
      <c r="AB148" s="182">
        <v>0</v>
      </c>
      <c r="AC148" s="182">
        <v>100</v>
      </c>
      <c r="AD148" s="182">
        <v>25</v>
      </c>
      <c r="AE148" s="182">
        <v>50</v>
      </c>
      <c r="AF148" s="182">
        <v>0</v>
      </c>
      <c r="AG148" s="183">
        <v>34.4</v>
      </c>
      <c r="AH148" s="181">
        <v>0</v>
      </c>
      <c r="AI148" s="182">
        <v>8.3000000000000007</v>
      </c>
      <c r="AJ148" s="182">
        <v>66.7</v>
      </c>
      <c r="AK148" s="182">
        <v>95.8</v>
      </c>
      <c r="AL148" s="182">
        <v>64.099999999999994</v>
      </c>
      <c r="AM148" s="182">
        <v>91.7</v>
      </c>
      <c r="AN148" s="182">
        <v>56.2</v>
      </c>
      <c r="AO148" s="183">
        <v>64.900000000000006</v>
      </c>
    </row>
    <row r="149" spans="2:41" ht="15" thickBot="1">
      <c r="B149" s="181" t="s">
        <v>48</v>
      </c>
      <c r="C149" s="182">
        <v>26</v>
      </c>
      <c r="D149" s="182">
        <v>5</v>
      </c>
      <c r="E149" s="182">
        <v>41.7</v>
      </c>
      <c r="F149" s="182">
        <v>19.2</v>
      </c>
      <c r="G149" s="182">
        <v>24</v>
      </c>
      <c r="H149" s="182">
        <v>0</v>
      </c>
      <c r="I149" s="183">
        <v>0</v>
      </c>
      <c r="J149" s="181">
        <v>100</v>
      </c>
      <c r="K149" s="182">
        <v>0</v>
      </c>
      <c r="L149" s="182">
        <v>0</v>
      </c>
      <c r="M149" s="182">
        <v>25</v>
      </c>
      <c r="N149" s="182">
        <v>10</v>
      </c>
      <c r="O149" s="182">
        <v>0</v>
      </c>
      <c r="P149" s="182">
        <v>0</v>
      </c>
      <c r="Q149" s="183">
        <v>33.299999999999997</v>
      </c>
      <c r="R149" s="181">
        <v>0</v>
      </c>
      <c r="S149" s="182">
        <v>33.299999999999997</v>
      </c>
      <c r="T149" s="182">
        <v>0</v>
      </c>
      <c r="U149" s="182">
        <v>25</v>
      </c>
      <c r="V149" s="182">
        <v>49.9</v>
      </c>
      <c r="W149" s="182">
        <v>100</v>
      </c>
      <c r="X149" s="182">
        <v>13.7</v>
      </c>
      <c r="Y149" s="183">
        <v>44.4</v>
      </c>
      <c r="Z149" s="181">
        <v>0</v>
      </c>
      <c r="AA149" s="182">
        <v>65.8</v>
      </c>
      <c r="AB149" s="182">
        <v>0</v>
      </c>
      <c r="AC149" s="182">
        <v>0</v>
      </c>
      <c r="AD149" s="182">
        <v>50</v>
      </c>
      <c r="AE149" s="182">
        <v>50</v>
      </c>
      <c r="AF149" s="182">
        <v>50</v>
      </c>
      <c r="AG149" s="183">
        <v>28.1</v>
      </c>
      <c r="AH149" s="181">
        <v>0</v>
      </c>
      <c r="AI149" s="182">
        <v>41.7</v>
      </c>
      <c r="AJ149" s="182">
        <v>66.7</v>
      </c>
      <c r="AK149" s="182">
        <v>37.9</v>
      </c>
      <c r="AL149" s="182">
        <v>52.1</v>
      </c>
      <c r="AM149" s="182">
        <v>16.7</v>
      </c>
      <c r="AN149" s="182">
        <v>49.8</v>
      </c>
      <c r="AO149" s="183">
        <v>60.9</v>
      </c>
    </row>
    <row r="150" spans="2:41" ht="15" thickBot="1">
      <c r="B150" s="181" t="s">
        <v>28</v>
      </c>
      <c r="C150" s="182">
        <v>27</v>
      </c>
      <c r="D150" s="182">
        <v>5</v>
      </c>
      <c r="E150" s="182">
        <v>0</v>
      </c>
      <c r="F150" s="182">
        <v>18.8</v>
      </c>
      <c r="G150" s="182">
        <v>20</v>
      </c>
      <c r="H150" s="182">
        <v>0</v>
      </c>
      <c r="I150" s="183">
        <v>0</v>
      </c>
      <c r="J150" s="181">
        <v>75</v>
      </c>
      <c r="K150" s="182">
        <v>0</v>
      </c>
      <c r="L150" s="182">
        <v>0</v>
      </c>
      <c r="M150" s="182">
        <v>0</v>
      </c>
      <c r="N150" s="182">
        <v>13.3</v>
      </c>
      <c r="O150" s="182">
        <v>0</v>
      </c>
      <c r="P150" s="182">
        <v>0</v>
      </c>
      <c r="Q150" s="183">
        <v>4.2</v>
      </c>
      <c r="R150" s="181">
        <v>0</v>
      </c>
      <c r="S150" s="182">
        <v>0</v>
      </c>
      <c r="T150" s="182">
        <v>0</v>
      </c>
      <c r="U150" s="182">
        <v>50</v>
      </c>
      <c r="V150" s="182">
        <v>79.400000000000006</v>
      </c>
      <c r="W150" s="182">
        <v>100</v>
      </c>
      <c r="X150" s="182">
        <v>29.4</v>
      </c>
      <c r="Y150" s="183">
        <v>33.299999999999997</v>
      </c>
      <c r="Z150" s="181">
        <v>0</v>
      </c>
      <c r="AA150" s="182">
        <v>45.5</v>
      </c>
      <c r="AB150" s="182">
        <v>0</v>
      </c>
      <c r="AC150" s="182">
        <v>0</v>
      </c>
      <c r="AD150" s="182">
        <v>0</v>
      </c>
      <c r="AE150" s="182">
        <v>50</v>
      </c>
      <c r="AF150" s="182">
        <v>50</v>
      </c>
      <c r="AG150" s="183">
        <v>31.3</v>
      </c>
      <c r="AH150" s="181">
        <v>0</v>
      </c>
      <c r="AI150" s="182">
        <v>0</v>
      </c>
      <c r="AJ150" s="182">
        <v>66.7</v>
      </c>
      <c r="AK150" s="182">
        <v>92.2</v>
      </c>
      <c r="AL150" s="182">
        <v>84.9</v>
      </c>
      <c r="AM150" s="182">
        <v>100</v>
      </c>
      <c r="AN150" s="182">
        <v>59.6</v>
      </c>
      <c r="AO150" s="183">
        <v>63</v>
      </c>
    </row>
  </sheetData>
  <sheetProtection algorithmName="SHA-512" hashValue="Mnzc/LmUdNBJjA9saTiljs+DNGvq2+qMA426KxRDUhs3TKmecVX2AKXisPoCeybGiDLewMoLEeN4DT4WERGuFQ==" saltValue="B/MV0UxaCX8FG4ti7VkSaw==" spinCount="100000" sheet="1" objects="1" scenarios="1" formatCells="0" formatColumns="0" formatRows="0" insertColumns="0" insertRows="0" insertHyperlinks="0" deleteColumns="0" deleteRows="0" sort="0" autoFilter="0" pivotTables="0"/>
  <mergeCells count="10">
    <mergeCell ref="A2:O2"/>
    <mergeCell ref="A3:H3"/>
    <mergeCell ref="D9:I9"/>
    <mergeCell ref="D10:I10"/>
    <mergeCell ref="D11:I11"/>
    <mergeCell ref="B4:I4"/>
    <mergeCell ref="D5:I5"/>
    <mergeCell ref="D6:I6"/>
    <mergeCell ref="D7:I7"/>
    <mergeCell ref="D8:I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51"/>
  <sheetViews>
    <sheetView workbookViewId="0">
      <selection sqref="A1:AC1"/>
    </sheetView>
  </sheetViews>
  <sheetFormatPr defaultRowHeight="14.25"/>
  <cols>
    <col min="3" max="3" width="24" customWidth="1"/>
  </cols>
  <sheetData>
    <row r="1" spans="1:29" ht="49.5" customHeight="1">
      <c r="A1" s="306" t="str">
        <f>Main!B17</f>
        <v>Step 2: Assessing Cross-Regional Variations in Health Security Determinants: Entropy-Driven Estimation of Criterion Weights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</row>
    <row r="2" spans="1:29" ht="18">
      <c r="A2" s="305" t="str">
        <f>Main!C17</f>
        <v>2.1.a. Non-EU countries based on 2019 data</v>
      </c>
      <c r="B2" s="305"/>
      <c r="C2" s="305"/>
      <c r="D2" s="305"/>
      <c r="E2" s="305"/>
      <c r="F2" s="305"/>
      <c r="G2" s="305"/>
      <c r="H2" s="305"/>
      <c r="I2" s="187"/>
      <c r="J2" s="187"/>
      <c r="K2" s="305" t="str">
        <f>Main!C18</f>
        <v>2.1.b. Non-EU countries based on 2021 data</v>
      </c>
      <c r="L2" s="305"/>
      <c r="M2" s="305"/>
      <c r="N2" s="305"/>
      <c r="O2" s="305"/>
      <c r="P2" s="305"/>
      <c r="Q2" s="305"/>
      <c r="R2" s="305"/>
      <c r="S2" s="187"/>
      <c r="T2" s="187"/>
      <c r="U2" s="305" t="str">
        <f>Main!C19</f>
        <v>2.1.c. Non-EU countries based on 2017-2021 data</v>
      </c>
      <c r="V2" s="305"/>
      <c r="W2" s="305"/>
      <c r="X2" s="305"/>
      <c r="Y2" s="305"/>
      <c r="Z2" s="305"/>
      <c r="AA2" s="305"/>
      <c r="AB2" s="305"/>
      <c r="AC2" s="187"/>
    </row>
    <row r="3" spans="1:29" ht="18.75" thickBot="1">
      <c r="A3" s="289" t="s">
        <v>128</v>
      </c>
      <c r="B3" s="289"/>
      <c r="C3" s="289"/>
      <c r="D3" s="289"/>
      <c r="E3" s="289"/>
      <c r="F3" s="289"/>
      <c r="G3" s="289"/>
      <c r="H3" s="289"/>
      <c r="I3" s="289"/>
      <c r="J3" s="187"/>
      <c r="K3" s="289" t="s">
        <v>128</v>
      </c>
      <c r="L3" s="289"/>
      <c r="M3" s="289"/>
      <c r="N3" s="289"/>
      <c r="O3" s="289"/>
      <c r="P3" s="289"/>
      <c r="Q3" s="289"/>
      <c r="R3" s="289"/>
      <c r="S3" s="289"/>
      <c r="T3" s="187"/>
      <c r="U3" s="289" t="s">
        <v>128</v>
      </c>
      <c r="V3" s="289"/>
      <c r="W3" s="289"/>
      <c r="X3" s="289"/>
      <c r="Y3" s="289"/>
      <c r="Z3" s="289"/>
      <c r="AA3" s="289"/>
      <c r="AB3" s="289"/>
      <c r="AC3" s="289"/>
    </row>
    <row r="4" spans="1:29" ht="18">
      <c r="A4" s="290" t="s">
        <v>129</v>
      </c>
      <c r="B4" s="291"/>
      <c r="C4" s="292"/>
      <c r="D4" s="293"/>
      <c r="E4" s="293"/>
      <c r="F4" s="293"/>
      <c r="G4" s="293"/>
      <c r="H4" s="293"/>
      <c r="I4" s="293"/>
      <c r="J4" s="187"/>
      <c r="K4" s="290" t="s">
        <v>129</v>
      </c>
      <c r="L4" s="291"/>
      <c r="M4" s="292"/>
      <c r="N4" s="293"/>
      <c r="O4" s="293"/>
      <c r="P4" s="293"/>
      <c r="Q4" s="293"/>
      <c r="R4" s="293"/>
      <c r="S4" s="293"/>
      <c r="T4" s="187"/>
      <c r="U4" s="290" t="s">
        <v>129</v>
      </c>
      <c r="V4" s="291"/>
      <c r="W4" s="292"/>
      <c r="X4" s="293"/>
      <c r="Y4" s="293"/>
      <c r="Z4" s="293"/>
      <c r="AA4" s="293"/>
      <c r="AB4" s="293"/>
      <c r="AC4" s="293"/>
    </row>
    <row r="5" spans="1:29">
      <c r="A5" s="298" t="s">
        <v>130</v>
      </c>
      <c r="B5" s="299"/>
      <c r="C5" s="188">
        <v>27</v>
      </c>
      <c r="D5" s="189">
        <v>1</v>
      </c>
      <c r="E5" s="189">
        <v>2</v>
      </c>
      <c r="F5" s="189">
        <v>3</v>
      </c>
      <c r="G5" s="189">
        <v>4</v>
      </c>
      <c r="H5" s="189">
        <v>5</v>
      </c>
      <c r="I5" s="189">
        <v>6</v>
      </c>
      <c r="J5" s="187"/>
      <c r="K5" s="298" t="s">
        <v>130</v>
      </c>
      <c r="L5" s="299"/>
      <c r="M5" s="188">
        <v>27</v>
      </c>
      <c r="N5" s="189">
        <v>1</v>
      </c>
      <c r="O5" s="189">
        <v>2</v>
      </c>
      <c r="P5" s="189">
        <v>3</v>
      </c>
      <c r="Q5" s="189">
        <v>4</v>
      </c>
      <c r="R5" s="189">
        <v>5</v>
      </c>
      <c r="S5" s="189">
        <v>6</v>
      </c>
      <c r="T5" s="187"/>
      <c r="U5" s="298" t="s">
        <v>130</v>
      </c>
      <c r="V5" s="299"/>
      <c r="W5" s="188">
        <v>27</v>
      </c>
      <c r="X5" s="189">
        <v>1</v>
      </c>
      <c r="Y5" s="189">
        <v>2</v>
      </c>
      <c r="Z5" s="189">
        <v>3</v>
      </c>
      <c r="AA5" s="189">
        <v>4</v>
      </c>
      <c r="AB5" s="189">
        <v>5</v>
      </c>
      <c r="AC5" s="189">
        <v>6</v>
      </c>
    </row>
    <row r="6" spans="1:29" ht="15" thickBot="1">
      <c r="A6" s="300" t="s">
        <v>131</v>
      </c>
      <c r="B6" s="301"/>
      <c r="C6" s="190">
        <v>6</v>
      </c>
      <c r="D6" s="191"/>
      <c r="E6" s="191"/>
      <c r="F6" s="191"/>
      <c r="G6" s="191"/>
      <c r="H6" s="191"/>
      <c r="I6" s="191"/>
      <c r="J6" s="187"/>
      <c r="K6" s="300" t="s">
        <v>131</v>
      </c>
      <c r="L6" s="301"/>
      <c r="M6" s="190">
        <v>6</v>
      </c>
      <c r="N6" s="191"/>
      <c r="O6" s="191"/>
      <c r="P6" s="191"/>
      <c r="Q6" s="191"/>
      <c r="R6" s="191"/>
      <c r="S6" s="191"/>
      <c r="T6" s="187"/>
      <c r="U6" s="300" t="s">
        <v>131</v>
      </c>
      <c r="V6" s="301"/>
      <c r="W6" s="190">
        <v>6</v>
      </c>
      <c r="X6" s="191"/>
      <c r="Y6" s="191"/>
      <c r="Z6" s="191"/>
      <c r="AA6" s="191"/>
      <c r="AB6" s="191"/>
      <c r="AC6" s="191"/>
    </row>
    <row r="7" spans="1:29" ht="15.75" thickTop="1">
      <c r="A7" s="192"/>
      <c r="B7" s="193"/>
      <c r="C7" s="193" t="s">
        <v>132</v>
      </c>
      <c r="D7" s="194">
        <v>1</v>
      </c>
      <c r="E7" s="194">
        <v>1</v>
      </c>
      <c r="F7" s="194">
        <v>1</v>
      </c>
      <c r="G7" s="194">
        <v>1</v>
      </c>
      <c r="H7" s="194">
        <v>1</v>
      </c>
      <c r="I7" s="194">
        <v>1</v>
      </c>
      <c r="J7" s="187"/>
      <c r="K7" s="192"/>
      <c r="L7" s="193"/>
      <c r="M7" s="193" t="s">
        <v>132</v>
      </c>
      <c r="N7" s="194">
        <v>1</v>
      </c>
      <c r="O7" s="194">
        <v>1</v>
      </c>
      <c r="P7" s="194">
        <v>1</v>
      </c>
      <c r="Q7" s="194">
        <v>1</v>
      </c>
      <c r="R7" s="194">
        <v>1</v>
      </c>
      <c r="S7" s="194">
        <v>1</v>
      </c>
      <c r="T7" s="187"/>
      <c r="U7" s="192"/>
      <c r="V7" s="193"/>
      <c r="W7" s="193" t="s">
        <v>132</v>
      </c>
      <c r="X7" s="194">
        <v>1</v>
      </c>
      <c r="Y7" s="194">
        <v>1</v>
      </c>
      <c r="Z7" s="194">
        <v>1</v>
      </c>
      <c r="AA7" s="194">
        <v>1</v>
      </c>
      <c r="AB7" s="194">
        <v>1</v>
      </c>
      <c r="AC7" s="194">
        <v>1</v>
      </c>
    </row>
    <row r="8" spans="1:29" ht="15.75" thickBot="1">
      <c r="A8" s="192"/>
      <c r="B8" s="294" t="s">
        <v>133</v>
      </c>
      <c r="C8" s="294"/>
      <c r="D8" s="294"/>
      <c r="E8" s="294"/>
      <c r="F8" s="294"/>
      <c r="G8" s="294"/>
      <c r="H8" s="294"/>
      <c r="I8" s="294"/>
      <c r="J8" s="187"/>
      <c r="K8" s="192"/>
      <c r="L8" s="294" t="s">
        <v>133</v>
      </c>
      <c r="M8" s="294"/>
      <c r="N8" s="294"/>
      <c r="O8" s="294"/>
      <c r="P8" s="294"/>
      <c r="Q8" s="294"/>
      <c r="R8" s="294"/>
      <c r="S8" s="294"/>
      <c r="T8" s="187"/>
      <c r="U8" s="192"/>
      <c r="V8" s="294" t="s">
        <v>133</v>
      </c>
      <c r="W8" s="294"/>
      <c r="X8" s="294"/>
      <c r="Y8" s="294"/>
      <c r="Z8" s="294"/>
      <c r="AA8" s="294"/>
      <c r="AB8" s="294"/>
      <c r="AC8" s="294"/>
    </row>
    <row r="9" spans="1:29" ht="12.75" customHeight="1">
      <c r="A9" s="295" t="s">
        <v>134</v>
      </c>
      <c r="B9" s="195"/>
      <c r="C9" s="196" t="s">
        <v>25</v>
      </c>
      <c r="D9" s="196" t="s">
        <v>135</v>
      </c>
      <c r="E9" s="196" t="s">
        <v>136</v>
      </c>
      <c r="F9" s="196" t="s">
        <v>137</v>
      </c>
      <c r="G9" s="196" t="s">
        <v>138</v>
      </c>
      <c r="H9" s="196" t="s">
        <v>139</v>
      </c>
      <c r="I9" s="196" t="s">
        <v>140</v>
      </c>
      <c r="J9" s="187"/>
      <c r="K9" s="295" t="s">
        <v>134</v>
      </c>
      <c r="L9" s="195"/>
      <c r="M9" s="196" t="s">
        <v>25</v>
      </c>
      <c r="N9" s="196" t="s">
        <v>135</v>
      </c>
      <c r="O9" s="196" t="s">
        <v>136</v>
      </c>
      <c r="P9" s="196" t="s">
        <v>137</v>
      </c>
      <c r="Q9" s="196" t="s">
        <v>138</v>
      </c>
      <c r="R9" s="196" t="s">
        <v>139</v>
      </c>
      <c r="S9" s="196" t="s">
        <v>140</v>
      </c>
      <c r="T9" s="187"/>
      <c r="U9" s="295" t="s">
        <v>134</v>
      </c>
      <c r="V9" s="195"/>
      <c r="W9" s="196" t="s">
        <v>25</v>
      </c>
      <c r="X9" s="196" t="s">
        <v>135</v>
      </c>
      <c r="Y9" s="196" t="s">
        <v>136</v>
      </c>
      <c r="Z9" s="196" t="s">
        <v>137</v>
      </c>
      <c r="AA9" s="196" t="s">
        <v>138</v>
      </c>
      <c r="AB9" s="196" t="s">
        <v>139</v>
      </c>
      <c r="AC9" s="196" t="s">
        <v>140</v>
      </c>
    </row>
    <row r="10" spans="1:29" ht="12.75" customHeight="1">
      <c r="A10" s="296"/>
      <c r="B10" s="197">
        <v>1</v>
      </c>
      <c r="C10" s="198" t="s">
        <v>27</v>
      </c>
      <c r="D10" s="198">
        <v>42</v>
      </c>
      <c r="E10" s="198">
        <v>45.4</v>
      </c>
      <c r="F10" s="198">
        <v>43.5</v>
      </c>
      <c r="G10" s="198">
        <v>37.799999999999997</v>
      </c>
      <c r="H10" s="198">
        <v>55</v>
      </c>
      <c r="I10" s="198">
        <v>53.7</v>
      </c>
      <c r="J10" s="187"/>
      <c r="K10" s="296"/>
      <c r="L10" s="197">
        <v>1</v>
      </c>
      <c r="M10" s="198" t="s">
        <v>27</v>
      </c>
      <c r="N10" s="198">
        <v>42</v>
      </c>
      <c r="O10" s="198">
        <v>40</v>
      </c>
      <c r="P10" s="198">
        <v>38.1</v>
      </c>
      <c r="Q10" s="198">
        <v>47.4</v>
      </c>
      <c r="R10" s="198">
        <v>52.1</v>
      </c>
      <c r="S10" s="198">
        <v>50.6</v>
      </c>
      <c r="T10" s="187"/>
      <c r="U10" s="296"/>
      <c r="V10" s="197">
        <v>1</v>
      </c>
      <c r="W10" s="198" t="s">
        <v>27</v>
      </c>
      <c r="X10" s="198">
        <v>42</v>
      </c>
      <c r="Y10" s="198">
        <v>42.7</v>
      </c>
      <c r="Z10" s="198">
        <v>40.799999999999997</v>
      </c>
      <c r="AA10" s="198">
        <v>42.599999999999994</v>
      </c>
      <c r="AB10" s="198">
        <v>53.55</v>
      </c>
      <c r="AC10" s="198">
        <v>52.150000000000006</v>
      </c>
    </row>
    <row r="11" spans="1:29" ht="12.75" customHeight="1">
      <c r="A11" s="296"/>
      <c r="B11" s="197">
        <v>2</v>
      </c>
      <c r="C11" s="198" t="s">
        <v>28</v>
      </c>
      <c r="D11" s="198">
        <v>19</v>
      </c>
      <c r="E11" s="198">
        <v>2.2000000000000002</v>
      </c>
      <c r="F11" s="198">
        <v>33.4</v>
      </c>
      <c r="G11" s="198">
        <v>15.5</v>
      </c>
      <c r="H11" s="198">
        <v>33</v>
      </c>
      <c r="I11" s="198">
        <v>79.900000000000006</v>
      </c>
      <c r="J11" s="187"/>
      <c r="K11" s="296"/>
      <c r="L11" s="197">
        <v>2</v>
      </c>
      <c r="M11" s="198" t="s">
        <v>28</v>
      </c>
      <c r="N11" s="198">
        <v>27.1</v>
      </c>
      <c r="O11" s="198">
        <v>2.2000000000000002</v>
      </c>
      <c r="P11" s="198">
        <v>39.5</v>
      </c>
      <c r="Q11" s="198">
        <v>15.4</v>
      </c>
      <c r="R11" s="198">
        <v>43.2</v>
      </c>
      <c r="S11" s="198">
        <v>80.5</v>
      </c>
      <c r="T11" s="187"/>
      <c r="U11" s="296"/>
      <c r="V11" s="197">
        <v>2</v>
      </c>
      <c r="W11" s="198" t="s">
        <v>28</v>
      </c>
      <c r="X11" s="198">
        <v>23.05</v>
      </c>
      <c r="Y11" s="198">
        <v>2.2000000000000002</v>
      </c>
      <c r="Z11" s="198">
        <v>36.450000000000003</v>
      </c>
      <c r="AA11" s="198">
        <v>15.45</v>
      </c>
      <c r="AB11" s="198">
        <v>38.1</v>
      </c>
      <c r="AC11" s="198">
        <v>80.2</v>
      </c>
    </row>
    <row r="12" spans="1:29" ht="12.75" customHeight="1" thickBot="1">
      <c r="A12" s="297"/>
      <c r="B12" s="197">
        <v>3</v>
      </c>
      <c r="C12" s="198" t="s">
        <v>29</v>
      </c>
      <c r="D12" s="198">
        <v>75</v>
      </c>
      <c r="E12" s="198">
        <v>67.900000000000006</v>
      </c>
      <c r="F12" s="198">
        <v>72.599999999999994</v>
      </c>
      <c r="G12" s="198">
        <v>55</v>
      </c>
      <c r="H12" s="198">
        <v>58.7</v>
      </c>
      <c r="I12" s="198">
        <v>50.3</v>
      </c>
      <c r="J12" s="187"/>
      <c r="K12" s="297"/>
      <c r="L12" s="197">
        <v>3</v>
      </c>
      <c r="M12" s="198" t="s">
        <v>29</v>
      </c>
      <c r="N12" s="198">
        <v>79.3</v>
      </c>
      <c r="O12" s="198">
        <v>69.599999999999994</v>
      </c>
      <c r="P12" s="198">
        <v>56.3</v>
      </c>
      <c r="Q12" s="198">
        <v>58.8</v>
      </c>
      <c r="R12" s="198">
        <v>59.2</v>
      </c>
      <c r="S12" s="198">
        <v>47.6</v>
      </c>
      <c r="T12" s="187"/>
      <c r="U12" s="297"/>
      <c r="V12" s="197">
        <v>3</v>
      </c>
      <c r="W12" s="198" t="s">
        <v>29</v>
      </c>
      <c r="X12" s="198">
        <v>77.150000000000006</v>
      </c>
      <c r="Y12" s="198">
        <v>68.75</v>
      </c>
      <c r="Z12" s="198">
        <v>64.449999999999989</v>
      </c>
      <c r="AA12" s="198">
        <v>56.9</v>
      </c>
      <c r="AB12" s="198">
        <v>58.95</v>
      </c>
      <c r="AC12" s="198">
        <v>48.95</v>
      </c>
    </row>
    <row r="13" spans="1:29" ht="12.75" customHeight="1">
      <c r="A13" s="199"/>
      <c r="B13" s="197">
        <v>4</v>
      </c>
      <c r="C13" s="198" t="s">
        <v>30</v>
      </c>
      <c r="D13" s="198">
        <v>32.6</v>
      </c>
      <c r="E13" s="198">
        <v>21.7</v>
      </c>
      <c r="F13" s="198">
        <v>33.4</v>
      </c>
      <c r="G13" s="198">
        <v>21.7</v>
      </c>
      <c r="H13" s="198">
        <v>37.799999999999997</v>
      </c>
      <c r="I13" s="198">
        <v>57.8</v>
      </c>
      <c r="J13" s="187"/>
      <c r="K13" s="199"/>
      <c r="L13" s="197">
        <v>4</v>
      </c>
      <c r="M13" s="198" t="s">
        <v>30</v>
      </c>
      <c r="N13" s="198">
        <v>32.6</v>
      </c>
      <c r="O13" s="198">
        <v>21.7</v>
      </c>
      <c r="P13" s="198">
        <v>32.4</v>
      </c>
      <c r="Q13" s="198">
        <v>24.1</v>
      </c>
      <c r="R13" s="198">
        <v>38.4</v>
      </c>
      <c r="S13" s="198">
        <v>59.3</v>
      </c>
      <c r="T13" s="187"/>
      <c r="U13" s="199"/>
      <c r="V13" s="197">
        <v>4</v>
      </c>
      <c r="W13" s="198" t="s">
        <v>30</v>
      </c>
      <c r="X13" s="198">
        <v>32.6</v>
      </c>
      <c r="Y13" s="198">
        <v>21.7</v>
      </c>
      <c r="Z13" s="198">
        <v>32.9</v>
      </c>
      <c r="AA13" s="198">
        <v>22.9</v>
      </c>
      <c r="AB13" s="198">
        <v>38.099999999999994</v>
      </c>
      <c r="AC13" s="198">
        <v>58.55</v>
      </c>
    </row>
    <row r="14" spans="1:29" ht="12.75" customHeight="1">
      <c r="A14" s="199"/>
      <c r="B14" s="197">
        <v>5</v>
      </c>
      <c r="C14" s="198" t="s">
        <v>31</v>
      </c>
      <c r="D14" s="198">
        <v>31.2</v>
      </c>
      <c r="E14" s="198">
        <v>26.1</v>
      </c>
      <c r="F14" s="198">
        <v>49.4</v>
      </c>
      <c r="G14" s="198">
        <v>43.3</v>
      </c>
      <c r="H14" s="198">
        <v>46.7</v>
      </c>
      <c r="I14" s="198">
        <v>53.8</v>
      </c>
      <c r="J14" s="187"/>
      <c r="K14" s="199"/>
      <c r="L14" s="197">
        <v>5</v>
      </c>
      <c r="M14" s="198" t="s">
        <v>31</v>
      </c>
      <c r="N14" s="198">
        <v>34</v>
      </c>
      <c r="O14" s="198">
        <v>34.4</v>
      </c>
      <c r="P14" s="198">
        <v>42.2</v>
      </c>
      <c r="Q14" s="198">
        <v>45.7</v>
      </c>
      <c r="R14" s="198">
        <v>55.6</v>
      </c>
      <c r="S14" s="198">
        <v>51.6</v>
      </c>
      <c r="T14" s="187"/>
      <c r="U14" s="199"/>
      <c r="V14" s="197">
        <v>5</v>
      </c>
      <c r="W14" s="198" t="s">
        <v>31</v>
      </c>
      <c r="X14" s="198">
        <v>32.6</v>
      </c>
      <c r="Y14" s="198">
        <v>30.25</v>
      </c>
      <c r="Z14" s="198">
        <v>45.8</v>
      </c>
      <c r="AA14" s="198">
        <v>44.5</v>
      </c>
      <c r="AB14" s="198">
        <v>51.150000000000006</v>
      </c>
      <c r="AC14" s="198">
        <v>52.7</v>
      </c>
    </row>
    <row r="15" spans="1:29" ht="12.75" customHeight="1">
      <c r="A15" s="199"/>
      <c r="B15" s="197">
        <v>6</v>
      </c>
      <c r="C15" s="198" t="s">
        <v>32</v>
      </c>
      <c r="D15" s="198">
        <v>34.6</v>
      </c>
      <c r="E15" s="198">
        <v>13.3</v>
      </c>
      <c r="F15" s="198">
        <v>36</v>
      </c>
      <c r="G15" s="198">
        <v>39.299999999999997</v>
      </c>
      <c r="H15" s="198">
        <v>45.3</v>
      </c>
      <c r="I15" s="198">
        <v>49.9</v>
      </c>
      <c r="J15" s="187"/>
      <c r="K15" s="199"/>
      <c r="L15" s="197">
        <v>6</v>
      </c>
      <c r="M15" s="198" t="s">
        <v>32</v>
      </c>
      <c r="N15" s="198">
        <v>30.4</v>
      </c>
      <c r="O15" s="198">
        <v>13.9</v>
      </c>
      <c r="P15" s="198">
        <v>36.700000000000003</v>
      </c>
      <c r="Q15" s="198">
        <v>41.7</v>
      </c>
      <c r="R15" s="198">
        <v>38.9</v>
      </c>
      <c r="S15" s="198">
        <v>50.7</v>
      </c>
      <c r="T15" s="187"/>
      <c r="U15" s="199"/>
      <c r="V15" s="197">
        <v>6</v>
      </c>
      <c r="W15" s="198" t="s">
        <v>32</v>
      </c>
      <c r="X15" s="198">
        <v>32.5</v>
      </c>
      <c r="Y15" s="198">
        <v>13.600000000000001</v>
      </c>
      <c r="Z15" s="198">
        <v>36.35</v>
      </c>
      <c r="AA15" s="198">
        <v>40.5</v>
      </c>
      <c r="AB15" s="198">
        <v>42.099999999999994</v>
      </c>
      <c r="AC15" s="198">
        <v>50.3</v>
      </c>
    </row>
    <row r="16" spans="1:29" ht="12.75" customHeight="1">
      <c r="A16" s="199"/>
      <c r="B16" s="197">
        <v>7</v>
      </c>
      <c r="C16" s="198" t="s">
        <v>33</v>
      </c>
      <c r="D16" s="198">
        <v>51.1</v>
      </c>
      <c r="E16" s="198">
        <v>51.5</v>
      </c>
      <c r="F16" s="198">
        <v>43.8</v>
      </c>
      <c r="G16" s="198">
        <v>23.3</v>
      </c>
      <c r="H16" s="198">
        <v>67.5</v>
      </c>
      <c r="I16" s="198">
        <v>52</v>
      </c>
      <c r="J16" s="187"/>
      <c r="K16" s="199"/>
      <c r="L16" s="197">
        <v>7</v>
      </c>
      <c r="M16" s="198" t="s">
        <v>33</v>
      </c>
      <c r="N16" s="198">
        <v>55.2</v>
      </c>
      <c r="O16" s="198">
        <v>65.099999999999994</v>
      </c>
      <c r="P16" s="198">
        <v>46.1</v>
      </c>
      <c r="Q16" s="198">
        <v>33.700000000000003</v>
      </c>
      <c r="R16" s="198">
        <v>63.9</v>
      </c>
      <c r="S16" s="198">
        <v>51.6</v>
      </c>
      <c r="T16" s="187"/>
      <c r="U16" s="199"/>
      <c r="V16" s="197">
        <v>7</v>
      </c>
      <c r="W16" s="198" t="s">
        <v>33</v>
      </c>
      <c r="X16" s="198">
        <v>53.150000000000006</v>
      </c>
      <c r="Y16" s="198">
        <v>58.3</v>
      </c>
      <c r="Z16" s="198">
        <v>44.95</v>
      </c>
      <c r="AA16" s="198">
        <v>28.5</v>
      </c>
      <c r="AB16" s="198">
        <v>65.7</v>
      </c>
      <c r="AC16" s="198">
        <v>51.8</v>
      </c>
    </row>
    <row r="17" spans="1:29" ht="12.75" customHeight="1">
      <c r="A17" s="199"/>
      <c r="B17" s="197">
        <v>8</v>
      </c>
      <c r="C17" s="198" t="s">
        <v>34</v>
      </c>
      <c r="D17" s="198">
        <v>33.200000000000003</v>
      </c>
      <c r="E17" s="198">
        <v>32.200000000000003</v>
      </c>
      <c r="F17" s="198">
        <v>44.8</v>
      </c>
      <c r="G17" s="198">
        <v>47.5</v>
      </c>
      <c r="H17" s="198">
        <v>46.9</v>
      </c>
      <c r="I17" s="198">
        <v>80.7</v>
      </c>
      <c r="J17" s="187"/>
      <c r="K17" s="199"/>
      <c r="L17" s="197">
        <v>8</v>
      </c>
      <c r="M17" s="198" t="s">
        <v>34</v>
      </c>
      <c r="N17" s="198">
        <v>40</v>
      </c>
      <c r="O17" s="198">
        <v>36.4</v>
      </c>
      <c r="P17" s="198">
        <v>47.9</v>
      </c>
      <c r="Q17" s="198">
        <v>52.2</v>
      </c>
      <c r="R17" s="198">
        <v>34.4</v>
      </c>
      <c r="S17" s="198">
        <v>79.900000000000006</v>
      </c>
      <c r="T17" s="187"/>
      <c r="U17" s="199"/>
      <c r="V17" s="197">
        <v>8</v>
      </c>
      <c r="W17" s="198" t="s">
        <v>34</v>
      </c>
      <c r="X17" s="198">
        <v>36.6</v>
      </c>
      <c r="Y17" s="198">
        <v>34.299999999999997</v>
      </c>
      <c r="Z17" s="198">
        <v>46.349999999999994</v>
      </c>
      <c r="AA17" s="198">
        <v>49.85</v>
      </c>
      <c r="AB17" s="198">
        <v>40.65</v>
      </c>
      <c r="AC17" s="198">
        <v>80.300000000000011</v>
      </c>
    </row>
    <row r="18" spans="1:29" ht="12.75" customHeight="1">
      <c r="A18" s="199"/>
      <c r="B18" s="197">
        <v>9</v>
      </c>
      <c r="C18" s="198" t="s">
        <v>35</v>
      </c>
      <c r="D18" s="198">
        <v>41.6</v>
      </c>
      <c r="E18" s="198">
        <v>43.3</v>
      </c>
      <c r="F18" s="198">
        <v>52.6</v>
      </c>
      <c r="G18" s="198">
        <v>52.8</v>
      </c>
      <c r="H18" s="198">
        <v>43.4</v>
      </c>
      <c r="I18" s="198">
        <v>70.400000000000006</v>
      </c>
      <c r="J18" s="187"/>
      <c r="K18" s="199"/>
      <c r="L18" s="197">
        <v>9</v>
      </c>
      <c r="M18" s="198" t="s">
        <v>35</v>
      </c>
      <c r="N18" s="198">
        <v>41.6</v>
      </c>
      <c r="O18" s="198">
        <v>46.7</v>
      </c>
      <c r="P18" s="198">
        <v>44.4</v>
      </c>
      <c r="Q18" s="198">
        <v>55.2</v>
      </c>
      <c r="R18" s="198">
        <v>30.9</v>
      </c>
      <c r="S18" s="198">
        <v>64.2</v>
      </c>
      <c r="T18" s="187"/>
      <c r="U18" s="199"/>
      <c r="V18" s="197">
        <v>9</v>
      </c>
      <c r="W18" s="198" t="s">
        <v>35</v>
      </c>
      <c r="X18" s="198">
        <v>41.6</v>
      </c>
      <c r="Y18" s="198">
        <v>45</v>
      </c>
      <c r="Z18" s="198">
        <v>48.5</v>
      </c>
      <c r="AA18" s="198">
        <v>54</v>
      </c>
      <c r="AB18" s="198">
        <v>37.15</v>
      </c>
      <c r="AC18" s="198">
        <v>67.300000000000011</v>
      </c>
    </row>
    <row r="19" spans="1:29" ht="12.75" customHeight="1">
      <c r="A19" s="199"/>
      <c r="B19" s="197">
        <v>10</v>
      </c>
      <c r="C19" s="198" t="s">
        <v>36</v>
      </c>
      <c r="D19" s="198">
        <v>55</v>
      </c>
      <c r="E19" s="198">
        <v>22.4</v>
      </c>
      <c r="F19" s="198">
        <v>39.700000000000003</v>
      </c>
      <c r="G19" s="198">
        <v>32.299999999999997</v>
      </c>
      <c r="H19" s="198">
        <v>58.7</v>
      </c>
      <c r="I19" s="198">
        <v>60.5</v>
      </c>
      <c r="J19" s="187"/>
      <c r="K19" s="199"/>
      <c r="L19" s="197">
        <v>10</v>
      </c>
      <c r="M19" s="198" t="s">
        <v>36</v>
      </c>
      <c r="N19" s="198">
        <v>54.9</v>
      </c>
      <c r="O19" s="198">
        <v>29.2</v>
      </c>
      <c r="P19" s="198">
        <v>36.5</v>
      </c>
      <c r="Q19" s="198">
        <v>34.6</v>
      </c>
      <c r="R19" s="198">
        <v>58.7</v>
      </c>
      <c r="S19" s="198">
        <v>62.9</v>
      </c>
      <c r="T19" s="187"/>
      <c r="U19" s="199"/>
      <c r="V19" s="197">
        <v>10</v>
      </c>
      <c r="W19" s="198" t="s">
        <v>36</v>
      </c>
      <c r="X19" s="198">
        <v>54.95</v>
      </c>
      <c r="Y19" s="198">
        <v>25.799999999999997</v>
      </c>
      <c r="Z19" s="198">
        <v>38.1</v>
      </c>
      <c r="AA19" s="198">
        <v>33.450000000000003</v>
      </c>
      <c r="AB19" s="198">
        <v>58.7</v>
      </c>
      <c r="AC19" s="198">
        <v>61.7</v>
      </c>
    </row>
    <row r="20" spans="1:29" ht="12.75" customHeight="1">
      <c r="A20" s="199"/>
      <c r="B20" s="197">
        <v>11</v>
      </c>
      <c r="C20" s="198" t="s">
        <v>37</v>
      </c>
      <c r="D20" s="198">
        <v>27.5</v>
      </c>
      <c r="E20" s="198">
        <v>26.7</v>
      </c>
      <c r="F20" s="198">
        <v>36.5</v>
      </c>
      <c r="G20" s="198">
        <v>40.5</v>
      </c>
      <c r="H20" s="198">
        <v>67</v>
      </c>
      <c r="I20" s="198">
        <v>60.1</v>
      </c>
      <c r="J20" s="187"/>
      <c r="K20" s="199"/>
      <c r="L20" s="197">
        <v>11</v>
      </c>
      <c r="M20" s="198" t="s">
        <v>37</v>
      </c>
      <c r="N20" s="198">
        <v>27.8</v>
      </c>
      <c r="O20" s="198">
        <v>26.7</v>
      </c>
      <c r="P20" s="198">
        <v>32.799999999999997</v>
      </c>
      <c r="Q20" s="198">
        <v>40.4</v>
      </c>
      <c r="R20" s="198">
        <v>66.099999999999994</v>
      </c>
      <c r="S20" s="198">
        <v>60.4</v>
      </c>
      <c r="T20" s="187"/>
      <c r="U20" s="199"/>
      <c r="V20" s="197">
        <v>11</v>
      </c>
      <c r="W20" s="198" t="s">
        <v>37</v>
      </c>
      <c r="X20" s="198">
        <v>27.65</v>
      </c>
      <c r="Y20" s="198">
        <v>26.7</v>
      </c>
      <c r="Z20" s="198">
        <v>34.65</v>
      </c>
      <c r="AA20" s="198">
        <v>40.450000000000003</v>
      </c>
      <c r="AB20" s="198">
        <v>66.55</v>
      </c>
      <c r="AC20" s="198">
        <v>60.25</v>
      </c>
    </row>
    <row r="21" spans="1:29" ht="12.75" customHeight="1">
      <c r="A21" s="199"/>
      <c r="B21" s="197">
        <v>12</v>
      </c>
      <c r="C21" s="198" t="s">
        <v>38</v>
      </c>
      <c r="D21" s="198">
        <v>32.799999999999997</v>
      </c>
      <c r="E21" s="198">
        <v>17.100000000000001</v>
      </c>
      <c r="F21" s="198">
        <v>42.9</v>
      </c>
      <c r="G21" s="198">
        <v>44.3</v>
      </c>
      <c r="H21" s="198">
        <v>50</v>
      </c>
      <c r="I21" s="198">
        <v>83.1</v>
      </c>
      <c r="J21" s="187"/>
      <c r="K21" s="199"/>
      <c r="L21" s="197">
        <v>12</v>
      </c>
      <c r="M21" s="198" t="s">
        <v>38</v>
      </c>
      <c r="N21" s="198">
        <v>41.2</v>
      </c>
      <c r="O21" s="198">
        <v>17.100000000000001</v>
      </c>
      <c r="P21" s="198">
        <v>37.700000000000003</v>
      </c>
      <c r="Q21" s="198">
        <v>46.6</v>
      </c>
      <c r="R21" s="198">
        <v>51.4</v>
      </c>
      <c r="S21" s="198">
        <v>84.4</v>
      </c>
      <c r="T21" s="187"/>
      <c r="U21" s="199"/>
      <c r="V21" s="197">
        <v>12</v>
      </c>
      <c r="W21" s="198" t="s">
        <v>38</v>
      </c>
      <c r="X21" s="198">
        <v>37</v>
      </c>
      <c r="Y21" s="198">
        <v>17.100000000000001</v>
      </c>
      <c r="Z21" s="198">
        <v>40.299999999999997</v>
      </c>
      <c r="AA21" s="198">
        <v>45.45</v>
      </c>
      <c r="AB21" s="198">
        <v>50.7</v>
      </c>
      <c r="AC21" s="198">
        <v>83.75</v>
      </c>
    </row>
    <row r="22" spans="1:29" ht="12.75" customHeight="1">
      <c r="A22" s="199"/>
      <c r="B22" s="197">
        <v>13</v>
      </c>
      <c r="C22" s="198" t="s">
        <v>39</v>
      </c>
      <c r="D22" s="198">
        <v>37.299999999999997</v>
      </c>
      <c r="E22" s="198">
        <v>34.200000000000003</v>
      </c>
      <c r="F22" s="198">
        <v>40</v>
      </c>
      <c r="G22" s="198">
        <v>46.8</v>
      </c>
      <c r="H22" s="198">
        <v>38.9</v>
      </c>
      <c r="I22" s="198">
        <v>47.5</v>
      </c>
      <c r="J22" s="187"/>
      <c r="K22" s="199"/>
      <c r="L22" s="197">
        <v>13</v>
      </c>
      <c r="M22" s="198" t="s">
        <v>39</v>
      </c>
      <c r="N22" s="198">
        <v>41.6</v>
      </c>
      <c r="O22" s="198">
        <v>34.200000000000003</v>
      </c>
      <c r="P22" s="198">
        <v>35.700000000000003</v>
      </c>
      <c r="Q22" s="198">
        <v>48.3</v>
      </c>
      <c r="R22" s="198">
        <v>38.9</v>
      </c>
      <c r="S22" s="198">
        <v>47.5</v>
      </c>
      <c r="T22" s="187"/>
      <c r="U22" s="199"/>
      <c r="V22" s="197">
        <v>13</v>
      </c>
      <c r="W22" s="198" t="s">
        <v>39</v>
      </c>
      <c r="X22" s="198">
        <v>39.450000000000003</v>
      </c>
      <c r="Y22" s="198">
        <v>34.200000000000003</v>
      </c>
      <c r="Z22" s="198">
        <v>37.85</v>
      </c>
      <c r="AA22" s="198">
        <v>47.55</v>
      </c>
      <c r="AB22" s="198">
        <v>38.9</v>
      </c>
      <c r="AC22" s="198">
        <v>47.5</v>
      </c>
    </row>
    <row r="23" spans="1:29" ht="12.75" customHeight="1">
      <c r="A23" s="199"/>
      <c r="B23" s="197">
        <v>14</v>
      </c>
      <c r="C23" s="198" t="s">
        <v>40</v>
      </c>
      <c r="D23" s="198">
        <v>7.5</v>
      </c>
      <c r="E23" s="198">
        <v>20.6</v>
      </c>
      <c r="F23" s="198">
        <v>30.8</v>
      </c>
      <c r="G23" s="198">
        <v>40.9</v>
      </c>
      <c r="H23" s="198">
        <v>26.9</v>
      </c>
      <c r="I23" s="198">
        <v>76</v>
      </c>
      <c r="J23" s="187"/>
      <c r="K23" s="199"/>
      <c r="L23" s="197">
        <v>14</v>
      </c>
      <c r="M23" s="198" t="s">
        <v>40</v>
      </c>
      <c r="N23" s="198">
        <v>7.5</v>
      </c>
      <c r="O23" s="198">
        <v>20.6</v>
      </c>
      <c r="P23" s="198">
        <v>35.6</v>
      </c>
      <c r="Q23" s="198">
        <v>40.9</v>
      </c>
      <c r="R23" s="198">
        <v>19.100000000000001</v>
      </c>
      <c r="S23" s="198">
        <v>76</v>
      </c>
      <c r="T23" s="187"/>
      <c r="U23" s="199"/>
      <c r="V23" s="197">
        <v>14</v>
      </c>
      <c r="W23" s="198" t="s">
        <v>40</v>
      </c>
      <c r="X23" s="198">
        <v>7.5</v>
      </c>
      <c r="Y23" s="198">
        <v>20.6</v>
      </c>
      <c r="Z23" s="198">
        <v>33.200000000000003</v>
      </c>
      <c r="AA23" s="198">
        <v>40.9</v>
      </c>
      <c r="AB23" s="198">
        <v>23</v>
      </c>
      <c r="AC23" s="198">
        <v>76</v>
      </c>
    </row>
    <row r="24" spans="1:29" ht="12.75" customHeight="1">
      <c r="A24" s="199"/>
      <c r="B24" s="197">
        <v>15</v>
      </c>
      <c r="C24" s="198" t="s">
        <v>41</v>
      </c>
      <c r="D24" s="198">
        <v>36.299999999999997</v>
      </c>
      <c r="E24" s="198">
        <v>17.5</v>
      </c>
      <c r="F24" s="198">
        <v>42.3</v>
      </c>
      <c r="G24" s="198">
        <v>37</v>
      </c>
      <c r="H24" s="198">
        <v>54</v>
      </c>
      <c r="I24" s="198">
        <v>57.6</v>
      </c>
      <c r="J24" s="187"/>
      <c r="K24" s="199"/>
      <c r="L24" s="197">
        <v>15</v>
      </c>
      <c r="M24" s="198" t="s">
        <v>41</v>
      </c>
      <c r="N24" s="198">
        <v>33.799999999999997</v>
      </c>
      <c r="O24" s="198">
        <v>32.1</v>
      </c>
      <c r="P24" s="198">
        <v>39.700000000000003</v>
      </c>
      <c r="Q24" s="198">
        <v>41.7</v>
      </c>
      <c r="R24" s="198">
        <v>59.2</v>
      </c>
      <c r="S24" s="198">
        <v>57.9</v>
      </c>
      <c r="T24" s="187"/>
      <c r="U24" s="199"/>
      <c r="V24" s="197">
        <v>15</v>
      </c>
      <c r="W24" s="198" t="s">
        <v>41</v>
      </c>
      <c r="X24" s="198">
        <v>35.049999999999997</v>
      </c>
      <c r="Y24" s="198">
        <v>24.8</v>
      </c>
      <c r="Z24" s="198">
        <v>41</v>
      </c>
      <c r="AA24" s="198">
        <v>39.35</v>
      </c>
      <c r="AB24" s="198">
        <v>56.6</v>
      </c>
      <c r="AC24" s="198">
        <v>57.75</v>
      </c>
    </row>
    <row r="25" spans="1:29" ht="12.75" customHeight="1">
      <c r="A25" s="199"/>
      <c r="B25" s="197">
        <v>16</v>
      </c>
      <c r="C25" s="198" t="s">
        <v>42</v>
      </c>
      <c r="D25" s="198">
        <v>39.9</v>
      </c>
      <c r="E25" s="198">
        <v>30.8</v>
      </c>
      <c r="F25" s="198">
        <v>40.200000000000003</v>
      </c>
      <c r="G25" s="198">
        <v>28.8</v>
      </c>
      <c r="H25" s="198">
        <v>43.2</v>
      </c>
      <c r="I25" s="198">
        <v>57.6</v>
      </c>
      <c r="J25" s="187"/>
      <c r="K25" s="199"/>
      <c r="L25" s="197">
        <v>16</v>
      </c>
      <c r="M25" s="198" t="s">
        <v>42</v>
      </c>
      <c r="N25" s="198">
        <v>35.700000000000003</v>
      </c>
      <c r="O25" s="198">
        <v>37.1</v>
      </c>
      <c r="P25" s="198">
        <v>35.200000000000003</v>
      </c>
      <c r="Q25" s="198">
        <v>38.299999999999997</v>
      </c>
      <c r="R25" s="198">
        <v>47.4</v>
      </c>
      <c r="S25" s="198">
        <v>59.7</v>
      </c>
      <c r="T25" s="187"/>
      <c r="U25" s="199"/>
      <c r="V25" s="197">
        <v>16</v>
      </c>
      <c r="W25" s="198" t="s">
        <v>42</v>
      </c>
      <c r="X25" s="198">
        <v>37.799999999999997</v>
      </c>
      <c r="Y25" s="198">
        <v>33.950000000000003</v>
      </c>
      <c r="Z25" s="198">
        <v>37.700000000000003</v>
      </c>
      <c r="AA25" s="198">
        <v>33.549999999999997</v>
      </c>
      <c r="AB25" s="198">
        <v>45.3</v>
      </c>
      <c r="AC25" s="198">
        <v>58.650000000000006</v>
      </c>
    </row>
    <row r="26" spans="1:29" ht="12.75" customHeight="1">
      <c r="A26" s="199"/>
      <c r="B26" s="197">
        <v>17</v>
      </c>
      <c r="C26" s="198" t="s">
        <v>43</v>
      </c>
      <c r="D26" s="198">
        <v>49.6</v>
      </c>
      <c r="E26" s="198">
        <v>52.5</v>
      </c>
      <c r="F26" s="198">
        <v>68.099999999999994</v>
      </c>
      <c r="G26" s="198">
        <v>45.1</v>
      </c>
      <c r="H26" s="198">
        <v>64.8</v>
      </c>
      <c r="I26" s="198">
        <v>88.2</v>
      </c>
      <c r="J26" s="187"/>
      <c r="K26" s="199"/>
      <c r="L26" s="197">
        <v>17</v>
      </c>
      <c r="M26" s="198" t="s">
        <v>43</v>
      </c>
      <c r="N26" s="198">
        <v>53.8</v>
      </c>
      <c r="O26" s="198">
        <v>46.3</v>
      </c>
      <c r="P26" s="198">
        <v>57.5</v>
      </c>
      <c r="Q26" s="198">
        <v>45</v>
      </c>
      <c r="R26" s="198">
        <v>69.400000000000006</v>
      </c>
      <c r="S26" s="198">
        <v>89</v>
      </c>
      <c r="T26" s="187"/>
      <c r="U26" s="199"/>
      <c r="V26" s="197">
        <v>17</v>
      </c>
      <c r="W26" s="198" t="s">
        <v>43</v>
      </c>
      <c r="X26" s="198">
        <v>51.7</v>
      </c>
      <c r="Y26" s="198">
        <v>49.4</v>
      </c>
      <c r="Z26" s="198">
        <v>62.8</v>
      </c>
      <c r="AA26" s="198">
        <v>45.05</v>
      </c>
      <c r="AB26" s="198">
        <v>67.099999999999994</v>
      </c>
      <c r="AC26" s="198">
        <v>88.6</v>
      </c>
    </row>
    <row r="27" spans="1:29" ht="12.75" customHeight="1">
      <c r="A27" s="199"/>
      <c r="B27" s="197">
        <v>18</v>
      </c>
      <c r="C27" s="198" t="s">
        <v>44</v>
      </c>
      <c r="D27" s="198">
        <v>42.1</v>
      </c>
      <c r="E27" s="198">
        <v>35.299999999999997</v>
      </c>
      <c r="F27" s="198">
        <v>54.7</v>
      </c>
      <c r="G27" s="198">
        <v>49.6</v>
      </c>
      <c r="H27" s="198">
        <v>51.4</v>
      </c>
      <c r="I27" s="198">
        <v>49.6</v>
      </c>
      <c r="J27" s="187"/>
      <c r="K27" s="199"/>
      <c r="L27" s="197">
        <v>18</v>
      </c>
      <c r="M27" s="198" t="s">
        <v>44</v>
      </c>
      <c r="N27" s="198">
        <v>45.5</v>
      </c>
      <c r="O27" s="198">
        <v>43.6</v>
      </c>
      <c r="P27" s="198">
        <v>44.7</v>
      </c>
      <c r="Q27" s="198">
        <v>58.9</v>
      </c>
      <c r="R27" s="198">
        <v>51.4</v>
      </c>
      <c r="S27" s="198">
        <v>50.5</v>
      </c>
      <c r="T27" s="187"/>
      <c r="U27" s="199"/>
      <c r="V27" s="197">
        <v>18</v>
      </c>
      <c r="W27" s="198" t="s">
        <v>44</v>
      </c>
      <c r="X27" s="198">
        <v>43.8</v>
      </c>
      <c r="Y27" s="198">
        <v>39.450000000000003</v>
      </c>
      <c r="Z27" s="198">
        <v>49.7</v>
      </c>
      <c r="AA27" s="198">
        <v>54.25</v>
      </c>
      <c r="AB27" s="198">
        <v>51.4</v>
      </c>
      <c r="AC27" s="198">
        <v>50.05</v>
      </c>
    </row>
    <row r="28" spans="1:29" ht="12.75" customHeight="1">
      <c r="A28" s="199"/>
      <c r="B28" s="197">
        <v>19</v>
      </c>
      <c r="C28" s="198" t="s">
        <v>45</v>
      </c>
      <c r="D28" s="198">
        <v>17.399999999999999</v>
      </c>
      <c r="E28" s="198">
        <v>17.2</v>
      </c>
      <c r="F28" s="198">
        <v>28.8</v>
      </c>
      <c r="G28" s="198">
        <v>28.6</v>
      </c>
      <c r="H28" s="198">
        <v>26.6</v>
      </c>
      <c r="I28" s="198">
        <v>74.5</v>
      </c>
      <c r="J28" s="187"/>
      <c r="K28" s="199"/>
      <c r="L28" s="197">
        <v>19</v>
      </c>
      <c r="M28" s="198" t="s">
        <v>45</v>
      </c>
      <c r="N28" s="198">
        <v>17.399999999999999</v>
      </c>
      <c r="O28" s="198">
        <v>21.4</v>
      </c>
      <c r="P28" s="198">
        <v>36.6</v>
      </c>
      <c r="Q28" s="198">
        <v>28.6</v>
      </c>
      <c r="R28" s="198">
        <v>18.8</v>
      </c>
      <c r="S28" s="198">
        <v>74.7</v>
      </c>
      <c r="T28" s="187"/>
      <c r="U28" s="199"/>
      <c r="V28" s="197">
        <v>19</v>
      </c>
      <c r="W28" s="198" t="s">
        <v>45</v>
      </c>
      <c r="X28" s="198">
        <v>17.399999999999999</v>
      </c>
      <c r="Y28" s="198">
        <v>19.299999999999997</v>
      </c>
      <c r="Z28" s="198">
        <v>32.700000000000003</v>
      </c>
      <c r="AA28" s="198">
        <v>28.6</v>
      </c>
      <c r="AB28" s="198">
        <v>22.700000000000003</v>
      </c>
      <c r="AC28" s="198">
        <v>74.599999999999994</v>
      </c>
    </row>
    <row r="29" spans="1:29" ht="12.75" customHeight="1">
      <c r="A29" s="199"/>
      <c r="B29" s="197">
        <v>20</v>
      </c>
      <c r="C29" s="198" t="s">
        <v>46</v>
      </c>
      <c r="D29" s="198">
        <v>44</v>
      </c>
      <c r="E29" s="198">
        <v>28.6</v>
      </c>
      <c r="F29" s="198">
        <v>41.2</v>
      </c>
      <c r="G29" s="198">
        <v>46.2</v>
      </c>
      <c r="H29" s="198">
        <v>50.9</v>
      </c>
      <c r="I29" s="198">
        <v>58.9</v>
      </c>
      <c r="J29" s="187"/>
      <c r="K29" s="199"/>
      <c r="L29" s="197">
        <v>20</v>
      </c>
      <c r="M29" s="198" t="s">
        <v>46</v>
      </c>
      <c r="N29" s="198">
        <v>44</v>
      </c>
      <c r="O29" s="198">
        <v>28.6</v>
      </c>
      <c r="P29" s="198">
        <v>36.299999999999997</v>
      </c>
      <c r="Q29" s="198">
        <v>50.9</v>
      </c>
      <c r="R29" s="198">
        <v>51.4</v>
      </c>
      <c r="S29" s="198">
        <v>58.5</v>
      </c>
      <c r="T29" s="187"/>
      <c r="U29" s="199"/>
      <c r="V29" s="197">
        <v>20</v>
      </c>
      <c r="W29" s="198" t="s">
        <v>46</v>
      </c>
      <c r="X29" s="198">
        <v>44</v>
      </c>
      <c r="Y29" s="198">
        <v>28.6</v>
      </c>
      <c r="Z29" s="198">
        <v>38.75</v>
      </c>
      <c r="AA29" s="198">
        <v>48.55</v>
      </c>
      <c r="AB29" s="198">
        <v>51.15</v>
      </c>
      <c r="AC29" s="198">
        <v>58.7</v>
      </c>
    </row>
    <row r="30" spans="1:29" ht="12.75" customHeight="1">
      <c r="A30" s="199"/>
      <c r="B30" s="197">
        <v>21</v>
      </c>
      <c r="C30" s="198" t="s">
        <v>47</v>
      </c>
      <c r="D30" s="198">
        <v>50.2</v>
      </c>
      <c r="E30" s="198">
        <v>38.299999999999997</v>
      </c>
      <c r="F30" s="198">
        <v>71.3</v>
      </c>
      <c r="G30" s="198">
        <v>50.9</v>
      </c>
      <c r="H30" s="198">
        <v>68.099999999999994</v>
      </c>
      <c r="I30" s="198">
        <v>83.9</v>
      </c>
      <c r="J30" s="187"/>
      <c r="K30" s="199"/>
      <c r="L30" s="197">
        <v>21</v>
      </c>
      <c r="M30" s="198" t="s">
        <v>47</v>
      </c>
      <c r="N30" s="198">
        <v>50.2</v>
      </c>
      <c r="O30" s="198">
        <v>42.5</v>
      </c>
      <c r="P30" s="198">
        <v>64.900000000000006</v>
      </c>
      <c r="Q30" s="198">
        <v>50.9</v>
      </c>
      <c r="R30" s="198">
        <v>59.7</v>
      </c>
      <c r="S30" s="198">
        <v>84.6</v>
      </c>
      <c r="T30" s="187"/>
      <c r="U30" s="199"/>
      <c r="V30" s="197">
        <v>21</v>
      </c>
      <c r="W30" s="198" t="s">
        <v>47</v>
      </c>
      <c r="X30" s="198">
        <v>50.2</v>
      </c>
      <c r="Y30" s="198">
        <v>40.4</v>
      </c>
      <c r="Z30" s="198">
        <v>68.099999999999994</v>
      </c>
      <c r="AA30" s="198">
        <v>50.9</v>
      </c>
      <c r="AB30" s="198">
        <v>63.9</v>
      </c>
      <c r="AC30" s="198">
        <v>84.25</v>
      </c>
    </row>
    <row r="31" spans="1:29" ht="12.75" customHeight="1">
      <c r="A31" s="199"/>
      <c r="B31" s="197">
        <v>22</v>
      </c>
      <c r="C31" s="198" t="s">
        <v>48</v>
      </c>
      <c r="D31" s="198">
        <v>30.8</v>
      </c>
      <c r="E31" s="198">
        <v>5.8</v>
      </c>
      <c r="F31" s="198">
        <v>34.5</v>
      </c>
      <c r="G31" s="198">
        <v>24.9</v>
      </c>
      <c r="H31" s="198">
        <v>39.4</v>
      </c>
      <c r="I31" s="198">
        <v>43.5</v>
      </c>
      <c r="J31" s="187"/>
      <c r="K31" s="199"/>
      <c r="L31" s="197">
        <v>22</v>
      </c>
      <c r="M31" s="198" t="s">
        <v>48</v>
      </c>
      <c r="N31" s="198">
        <v>22.1</v>
      </c>
      <c r="O31" s="198">
        <v>10.6</v>
      </c>
      <c r="P31" s="198">
        <v>29.3</v>
      </c>
      <c r="Q31" s="198">
        <v>24.8</v>
      </c>
      <c r="R31" s="198">
        <v>41.1</v>
      </c>
      <c r="S31" s="198">
        <v>48</v>
      </c>
      <c r="T31" s="187"/>
      <c r="U31" s="199"/>
      <c r="V31" s="197">
        <v>22</v>
      </c>
      <c r="W31" s="198" t="s">
        <v>48</v>
      </c>
      <c r="X31" s="198">
        <v>26.450000000000003</v>
      </c>
      <c r="Y31" s="198">
        <v>8.1999999999999993</v>
      </c>
      <c r="Z31" s="198">
        <v>31.9</v>
      </c>
      <c r="AA31" s="198">
        <v>24.85</v>
      </c>
      <c r="AB31" s="198">
        <v>40.25</v>
      </c>
      <c r="AC31" s="198">
        <v>45.75</v>
      </c>
    </row>
    <row r="32" spans="1:29" ht="12.75" customHeight="1">
      <c r="A32" s="199"/>
      <c r="B32" s="197">
        <v>23</v>
      </c>
      <c r="C32" s="198" t="s">
        <v>49</v>
      </c>
      <c r="D32" s="198">
        <v>50.3</v>
      </c>
      <c r="E32" s="198">
        <v>35.1</v>
      </c>
      <c r="F32" s="198">
        <v>46.4</v>
      </c>
      <c r="G32" s="198">
        <v>49.1</v>
      </c>
      <c r="H32" s="198">
        <v>59.7</v>
      </c>
      <c r="I32" s="198">
        <v>57.8</v>
      </c>
      <c r="J32" s="187"/>
      <c r="K32" s="199"/>
      <c r="L32" s="197">
        <v>23</v>
      </c>
      <c r="M32" s="198" t="s">
        <v>49</v>
      </c>
      <c r="N32" s="198">
        <v>51.1</v>
      </c>
      <c r="O32" s="198">
        <v>41.4</v>
      </c>
      <c r="P32" s="198">
        <v>36.6</v>
      </c>
      <c r="Q32" s="198">
        <v>53.9</v>
      </c>
      <c r="R32" s="198">
        <v>59.7</v>
      </c>
      <c r="S32" s="198">
        <v>57.2</v>
      </c>
      <c r="T32" s="187"/>
      <c r="U32" s="199"/>
      <c r="V32" s="197">
        <v>23</v>
      </c>
      <c r="W32" s="198" t="s">
        <v>49</v>
      </c>
      <c r="X32" s="198">
        <v>50.7</v>
      </c>
      <c r="Y32" s="198">
        <v>38.25</v>
      </c>
      <c r="Z32" s="198">
        <v>41.5</v>
      </c>
      <c r="AA32" s="198">
        <v>51.5</v>
      </c>
      <c r="AB32" s="198">
        <v>59.7</v>
      </c>
      <c r="AC32" s="198">
        <v>57.5</v>
      </c>
    </row>
    <row r="33" spans="1:29" ht="12.75" customHeight="1">
      <c r="A33" s="199"/>
      <c r="B33" s="197">
        <v>24</v>
      </c>
      <c r="C33" s="198" t="s">
        <v>50</v>
      </c>
      <c r="D33" s="198">
        <v>22</v>
      </c>
      <c r="E33" s="198">
        <v>27.1</v>
      </c>
      <c r="F33" s="198">
        <v>32.700000000000003</v>
      </c>
      <c r="G33" s="198">
        <v>31.2</v>
      </c>
      <c r="H33" s="198">
        <v>38</v>
      </c>
      <c r="I33" s="198">
        <v>48.8</v>
      </c>
      <c r="J33" s="187"/>
      <c r="K33" s="199"/>
      <c r="L33" s="197">
        <v>24</v>
      </c>
      <c r="M33" s="198" t="s">
        <v>50</v>
      </c>
      <c r="N33" s="198">
        <v>22.1</v>
      </c>
      <c r="O33" s="198">
        <v>27.6</v>
      </c>
      <c r="P33" s="198">
        <v>21.8</v>
      </c>
      <c r="Q33" s="198">
        <v>30.6</v>
      </c>
      <c r="R33" s="198">
        <v>38</v>
      </c>
      <c r="S33" s="198">
        <v>51.1</v>
      </c>
      <c r="T33" s="187"/>
      <c r="U33" s="199"/>
      <c r="V33" s="197">
        <v>24</v>
      </c>
      <c r="W33" s="198" t="s">
        <v>50</v>
      </c>
      <c r="X33" s="198">
        <v>22.05</v>
      </c>
      <c r="Y33" s="198">
        <v>27.35</v>
      </c>
      <c r="Z33" s="198">
        <v>27.25</v>
      </c>
      <c r="AA33" s="198">
        <v>30.9</v>
      </c>
      <c r="AB33" s="198">
        <v>38</v>
      </c>
      <c r="AC33" s="198">
        <v>49.95</v>
      </c>
    </row>
    <row r="34" spans="1:29" ht="12.75" customHeight="1">
      <c r="A34" s="199"/>
      <c r="B34" s="197">
        <v>25</v>
      </c>
      <c r="C34" s="198" t="s">
        <v>51</v>
      </c>
      <c r="D34" s="198">
        <v>32.799999999999997</v>
      </c>
      <c r="E34" s="198">
        <v>23.3</v>
      </c>
      <c r="F34" s="198">
        <v>37.700000000000003</v>
      </c>
      <c r="G34" s="198">
        <v>32.700000000000003</v>
      </c>
      <c r="H34" s="198">
        <v>50.9</v>
      </c>
      <c r="I34" s="198">
        <v>44</v>
      </c>
      <c r="J34" s="187"/>
      <c r="K34" s="199"/>
      <c r="L34" s="197">
        <v>25</v>
      </c>
      <c r="M34" s="198" t="s">
        <v>51</v>
      </c>
      <c r="N34" s="198">
        <v>31.4</v>
      </c>
      <c r="O34" s="198">
        <v>32.799999999999997</v>
      </c>
      <c r="P34" s="198">
        <v>26.1</v>
      </c>
      <c r="Q34" s="198">
        <v>49.1</v>
      </c>
      <c r="R34" s="198">
        <v>47.2</v>
      </c>
      <c r="S34" s="198">
        <v>46.7</v>
      </c>
      <c r="T34" s="187"/>
      <c r="U34" s="199"/>
      <c r="V34" s="197">
        <v>25</v>
      </c>
      <c r="W34" s="198" t="s">
        <v>51</v>
      </c>
      <c r="X34" s="198">
        <v>32.099999999999994</v>
      </c>
      <c r="Y34" s="198">
        <v>28.049999999999997</v>
      </c>
      <c r="Z34" s="198">
        <v>31.900000000000002</v>
      </c>
      <c r="AA34" s="198">
        <v>40.900000000000006</v>
      </c>
      <c r="AB34" s="198">
        <v>49.05</v>
      </c>
      <c r="AC34" s="198">
        <v>45.35</v>
      </c>
    </row>
    <row r="35" spans="1:29" ht="12.75" customHeight="1">
      <c r="A35" s="199"/>
      <c r="B35" s="197">
        <v>26</v>
      </c>
      <c r="C35" s="198" t="s">
        <v>52</v>
      </c>
      <c r="D35" s="198">
        <v>63.3</v>
      </c>
      <c r="E35" s="198">
        <v>62.5</v>
      </c>
      <c r="F35" s="198">
        <v>68.099999999999994</v>
      </c>
      <c r="G35" s="198">
        <v>66</v>
      </c>
      <c r="H35" s="198">
        <v>75</v>
      </c>
      <c r="I35" s="198">
        <v>75</v>
      </c>
      <c r="J35" s="187"/>
      <c r="K35" s="199"/>
      <c r="L35" s="197">
        <v>26</v>
      </c>
      <c r="M35" s="198" t="s">
        <v>52</v>
      </c>
      <c r="N35" s="198">
        <v>63.5</v>
      </c>
      <c r="O35" s="198">
        <v>70.8</v>
      </c>
      <c r="P35" s="198">
        <v>64.8</v>
      </c>
      <c r="Q35" s="198">
        <v>68.3</v>
      </c>
      <c r="R35" s="198">
        <v>62.5</v>
      </c>
      <c r="S35" s="198">
        <v>73</v>
      </c>
      <c r="T35" s="187"/>
      <c r="U35" s="199"/>
      <c r="V35" s="197">
        <v>26</v>
      </c>
      <c r="W35" s="198" t="s">
        <v>52</v>
      </c>
      <c r="X35" s="198">
        <v>63.4</v>
      </c>
      <c r="Y35" s="198">
        <v>66.650000000000006</v>
      </c>
      <c r="Z35" s="198">
        <v>66.449999999999989</v>
      </c>
      <c r="AA35" s="198">
        <v>67.150000000000006</v>
      </c>
      <c r="AB35" s="198">
        <v>68.75</v>
      </c>
      <c r="AC35" s="198">
        <v>74</v>
      </c>
    </row>
    <row r="36" spans="1:29" ht="12.75" customHeight="1">
      <c r="A36" s="199"/>
      <c r="B36" s="197">
        <v>27</v>
      </c>
      <c r="C36" s="198" t="s">
        <v>53</v>
      </c>
      <c r="D36" s="198">
        <v>36.200000000000003</v>
      </c>
      <c r="E36" s="198">
        <v>20</v>
      </c>
      <c r="F36" s="198">
        <v>35.700000000000003</v>
      </c>
      <c r="G36" s="198">
        <v>24.4</v>
      </c>
      <c r="H36" s="198">
        <v>57.3</v>
      </c>
      <c r="I36" s="198">
        <v>52.7</v>
      </c>
      <c r="J36" s="187"/>
      <c r="K36" s="199"/>
      <c r="L36" s="197">
        <v>27</v>
      </c>
      <c r="M36" s="198" t="s">
        <v>53</v>
      </c>
      <c r="N36" s="198">
        <v>40.6</v>
      </c>
      <c r="O36" s="198">
        <v>18.5</v>
      </c>
      <c r="P36" s="198">
        <v>28.6</v>
      </c>
      <c r="Q36" s="198">
        <v>30.3</v>
      </c>
      <c r="R36" s="198">
        <v>62.8</v>
      </c>
      <c r="S36" s="198">
        <v>53.3</v>
      </c>
      <c r="T36" s="187"/>
      <c r="U36" s="199"/>
      <c r="V36" s="197">
        <v>27</v>
      </c>
      <c r="W36" s="198" t="s">
        <v>53</v>
      </c>
      <c r="X36" s="198">
        <v>38.400000000000006</v>
      </c>
      <c r="Y36" s="198">
        <v>19.25</v>
      </c>
      <c r="Z36" s="198">
        <v>32.150000000000006</v>
      </c>
      <c r="AA36" s="198">
        <v>27.35</v>
      </c>
      <c r="AB36" s="198">
        <v>60.05</v>
      </c>
      <c r="AC36" s="198">
        <v>53</v>
      </c>
    </row>
    <row r="37" spans="1:29" ht="12.75" hidden="1" customHeight="1">
      <c r="A37" s="199"/>
      <c r="B37" s="197" t="s">
        <v>141</v>
      </c>
      <c r="C37" s="198"/>
      <c r="D37" s="198"/>
      <c r="E37" s="198"/>
      <c r="F37" s="198"/>
      <c r="G37" s="198"/>
      <c r="H37" s="198"/>
      <c r="I37" s="198"/>
      <c r="J37" s="187"/>
      <c r="K37" s="199"/>
      <c r="L37" s="197" t="s">
        <v>141</v>
      </c>
      <c r="M37" s="198"/>
      <c r="N37" s="198"/>
      <c r="O37" s="198"/>
      <c r="P37" s="198"/>
      <c r="Q37" s="198"/>
      <c r="R37" s="198"/>
      <c r="S37" s="198"/>
      <c r="T37" s="187"/>
      <c r="U37" s="199"/>
      <c r="V37" s="197" t="s">
        <v>141</v>
      </c>
      <c r="W37" s="198"/>
      <c r="X37" s="198"/>
      <c r="Y37" s="198"/>
      <c r="Z37" s="198"/>
      <c r="AA37" s="198"/>
      <c r="AB37" s="198"/>
      <c r="AC37" s="198"/>
    </row>
    <row r="38" spans="1:29" ht="12.75" hidden="1" customHeight="1">
      <c r="A38" s="199"/>
      <c r="B38" s="197" t="s">
        <v>142</v>
      </c>
      <c r="C38" s="198"/>
      <c r="D38" s="198"/>
      <c r="E38" s="198"/>
      <c r="F38" s="198"/>
      <c r="G38" s="198"/>
      <c r="H38" s="198"/>
      <c r="I38" s="198"/>
      <c r="J38" s="187"/>
      <c r="K38" s="199"/>
      <c r="L38" s="197" t="s">
        <v>142</v>
      </c>
      <c r="M38" s="198"/>
      <c r="N38" s="198"/>
      <c r="O38" s="198"/>
      <c r="P38" s="198"/>
      <c r="Q38" s="198"/>
      <c r="R38" s="198"/>
      <c r="S38" s="198"/>
      <c r="T38" s="187"/>
      <c r="U38" s="199"/>
      <c r="V38" s="197" t="s">
        <v>142</v>
      </c>
      <c r="W38" s="198"/>
      <c r="X38" s="198"/>
      <c r="Y38" s="198"/>
      <c r="Z38" s="198"/>
      <c r="AA38" s="198"/>
      <c r="AB38" s="198"/>
      <c r="AC38" s="198"/>
    </row>
    <row r="39" spans="1:29" ht="12.75" hidden="1" customHeight="1">
      <c r="A39" s="199"/>
      <c r="B39" s="197" t="s">
        <v>142</v>
      </c>
      <c r="C39" s="198"/>
      <c r="D39" s="198"/>
      <c r="E39" s="198"/>
      <c r="F39" s="198"/>
      <c r="G39" s="198"/>
      <c r="H39" s="198"/>
      <c r="I39" s="198"/>
      <c r="J39" s="187"/>
      <c r="K39" s="199"/>
      <c r="L39" s="197" t="s">
        <v>142</v>
      </c>
      <c r="M39" s="198"/>
      <c r="N39" s="198"/>
      <c r="O39" s="198"/>
      <c r="P39" s="198"/>
      <c r="Q39" s="198"/>
      <c r="R39" s="198"/>
      <c r="S39" s="198"/>
      <c r="T39" s="187"/>
      <c r="U39" s="199"/>
      <c r="V39" s="197" t="s">
        <v>142</v>
      </c>
      <c r="W39" s="198"/>
      <c r="X39" s="198"/>
      <c r="Y39" s="198"/>
      <c r="Z39" s="198"/>
      <c r="AA39" s="198"/>
      <c r="AB39" s="198"/>
      <c r="AC39" s="198"/>
    </row>
    <row r="40" spans="1:29" ht="12.75" hidden="1" customHeight="1">
      <c r="A40" s="199"/>
      <c r="B40" s="197" t="s">
        <v>142</v>
      </c>
      <c r="C40" s="198"/>
      <c r="D40" s="198"/>
      <c r="E40" s="198"/>
      <c r="F40" s="198"/>
      <c r="G40" s="198"/>
      <c r="H40" s="198"/>
      <c r="I40" s="198"/>
      <c r="J40" s="187"/>
      <c r="K40" s="199"/>
      <c r="L40" s="197" t="s">
        <v>142</v>
      </c>
      <c r="M40" s="198"/>
      <c r="N40" s="198"/>
      <c r="O40" s="198"/>
      <c r="P40" s="198"/>
      <c r="Q40" s="198"/>
      <c r="R40" s="198"/>
      <c r="S40" s="198"/>
      <c r="T40" s="187"/>
      <c r="U40" s="199"/>
      <c r="V40" s="197" t="s">
        <v>142</v>
      </c>
      <c r="W40" s="198"/>
      <c r="X40" s="198"/>
      <c r="Y40" s="198"/>
      <c r="Z40" s="198"/>
      <c r="AA40" s="198"/>
      <c r="AB40" s="198"/>
      <c r="AC40" s="198"/>
    </row>
    <row r="41" spans="1:29" ht="12.75" hidden="1" customHeight="1">
      <c r="A41" s="199"/>
      <c r="B41" s="197" t="s">
        <v>142</v>
      </c>
      <c r="C41" s="198"/>
      <c r="D41" s="198"/>
      <c r="E41" s="198"/>
      <c r="F41" s="198"/>
      <c r="G41" s="198"/>
      <c r="H41" s="198"/>
      <c r="I41" s="198"/>
      <c r="J41" s="187"/>
      <c r="K41" s="199"/>
      <c r="L41" s="197" t="s">
        <v>142</v>
      </c>
      <c r="M41" s="198"/>
      <c r="N41" s="198"/>
      <c r="O41" s="198"/>
      <c r="P41" s="198"/>
      <c r="Q41" s="198"/>
      <c r="R41" s="198"/>
      <c r="S41" s="198"/>
      <c r="T41" s="187"/>
      <c r="U41" s="199"/>
      <c r="V41" s="197" t="s">
        <v>142</v>
      </c>
      <c r="W41" s="198"/>
      <c r="X41" s="198"/>
      <c r="Y41" s="198"/>
      <c r="Z41" s="198"/>
      <c r="AA41" s="198"/>
      <c r="AB41" s="198"/>
      <c r="AC41" s="198"/>
    </row>
    <row r="42" spans="1:29" ht="12.75" hidden="1" customHeight="1">
      <c r="A42" s="199"/>
      <c r="B42" s="197" t="s">
        <v>142</v>
      </c>
      <c r="C42" s="198"/>
      <c r="D42" s="198"/>
      <c r="E42" s="198"/>
      <c r="F42" s="198"/>
      <c r="G42" s="198"/>
      <c r="H42" s="198"/>
      <c r="I42" s="198"/>
      <c r="J42" s="187"/>
      <c r="K42" s="199"/>
      <c r="L42" s="197" t="s">
        <v>142</v>
      </c>
      <c r="M42" s="198"/>
      <c r="N42" s="198"/>
      <c r="O42" s="198"/>
      <c r="P42" s="198"/>
      <c r="Q42" s="198"/>
      <c r="R42" s="198"/>
      <c r="S42" s="198"/>
      <c r="T42" s="187"/>
      <c r="U42" s="199"/>
      <c r="V42" s="197" t="s">
        <v>142</v>
      </c>
      <c r="W42" s="198"/>
      <c r="X42" s="198"/>
      <c r="Y42" s="198"/>
      <c r="Z42" s="198"/>
      <c r="AA42" s="198"/>
      <c r="AB42" s="198"/>
      <c r="AC42" s="198"/>
    </row>
    <row r="43" spans="1:29" ht="12.75" hidden="1" customHeight="1">
      <c r="A43" s="199"/>
      <c r="B43" s="197" t="s">
        <v>142</v>
      </c>
      <c r="C43" s="198"/>
      <c r="D43" s="198"/>
      <c r="E43" s="198"/>
      <c r="F43" s="198"/>
      <c r="G43" s="198"/>
      <c r="H43" s="198"/>
      <c r="I43" s="198"/>
      <c r="J43" s="187"/>
      <c r="K43" s="199"/>
      <c r="L43" s="197" t="s">
        <v>142</v>
      </c>
      <c r="M43" s="198"/>
      <c r="N43" s="198"/>
      <c r="O43" s="198"/>
      <c r="P43" s="198"/>
      <c r="Q43" s="198"/>
      <c r="R43" s="198"/>
      <c r="S43" s="198"/>
      <c r="T43" s="187"/>
      <c r="U43" s="199"/>
      <c r="V43" s="197" t="s">
        <v>142</v>
      </c>
      <c r="W43" s="198"/>
      <c r="X43" s="198"/>
      <c r="Y43" s="198"/>
      <c r="Z43" s="198"/>
      <c r="AA43" s="198"/>
      <c r="AB43" s="198"/>
      <c r="AC43" s="198"/>
    </row>
    <row r="44" spans="1:29" ht="12.75" hidden="1" customHeight="1">
      <c r="A44" s="199"/>
      <c r="B44" s="197" t="s">
        <v>142</v>
      </c>
      <c r="C44" s="198"/>
      <c r="D44" s="198"/>
      <c r="E44" s="198"/>
      <c r="F44" s="198"/>
      <c r="G44" s="198"/>
      <c r="H44" s="198"/>
      <c r="I44" s="198"/>
      <c r="J44" s="187"/>
      <c r="K44" s="199"/>
      <c r="L44" s="197" t="s">
        <v>142</v>
      </c>
      <c r="M44" s="198"/>
      <c r="N44" s="198"/>
      <c r="O44" s="198"/>
      <c r="P44" s="198"/>
      <c r="Q44" s="198"/>
      <c r="R44" s="198"/>
      <c r="S44" s="198"/>
      <c r="T44" s="187"/>
      <c r="U44" s="199"/>
      <c r="V44" s="197" t="s">
        <v>142</v>
      </c>
      <c r="W44" s="198"/>
      <c r="X44" s="198"/>
      <c r="Y44" s="198"/>
      <c r="Z44" s="198"/>
      <c r="AA44" s="198"/>
      <c r="AB44" s="198"/>
      <c r="AC44" s="198"/>
    </row>
    <row r="45" spans="1:29" ht="12.75" hidden="1" customHeight="1">
      <c r="A45" s="199"/>
      <c r="B45" s="197" t="s">
        <v>142</v>
      </c>
      <c r="C45" s="198"/>
      <c r="D45" s="198"/>
      <c r="E45" s="198"/>
      <c r="F45" s="198"/>
      <c r="G45" s="198"/>
      <c r="H45" s="198"/>
      <c r="I45" s="198"/>
      <c r="J45" s="187"/>
      <c r="K45" s="199"/>
      <c r="L45" s="197" t="s">
        <v>142</v>
      </c>
      <c r="M45" s="198"/>
      <c r="N45" s="198"/>
      <c r="O45" s="198"/>
      <c r="P45" s="198"/>
      <c r="Q45" s="198"/>
      <c r="R45" s="198"/>
      <c r="S45" s="198"/>
      <c r="T45" s="187"/>
      <c r="U45" s="199"/>
      <c r="V45" s="197" t="s">
        <v>142</v>
      </c>
      <c r="W45" s="198"/>
      <c r="X45" s="198"/>
      <c r="Y45" s="198"/>
      <c r="Z45" s="198"/>
      <c r="AA45" s="198"/>
      <c r="AB45" s="198"/>
      <c r="AC45" s="198"/>
    </row>
    <row r="46" spans="1:29" ht="12.75" hidden="1" customHeight="1">
      <c r="A46" s="199"/>
      <c r="B46" s="197" t="s">
        <v>142</v>
      </c>
      <c r="C46" s="198"/>
      <c r="D46" s="198"/>
      <c r="E46" s="198"/>
      <c r="F46" s="198"/>
      <c r="G46" s="198"/>
      <c r="H46" s="198"/>
      <c r="I46" s="198"/>
      <c r="J46" s="187"/>
      <c r="K46" s="199"/>
      <c r="L46" s="197" t="s">
        <v>142</v>
      </c>
      <c r="M46" s="198"/>
      <c r="N46" s="198"/>
      <c r="O46" s="198"/>
      <c r="P46" s="198"/>
      <c r="Q46" s="198"/>
      <c r="R46" s="198"/>
      <c r="S46" s="198"/>
      <c r="T46" s="187"/>
      <c r="U46" s="199"/>
      <c r="V46" s="197" t="s">
        <v>142</v>
      </c>
      <c r="W46" s="198"/>
      <c r="X46" s="198"/>
      <c r="Y46" s="198"/>
      <c r="Z46" s="198"/>
      <c r="AA46" s="198"/>
      <c r="AB46" s="198"/>
      <c r="AC46" s="198"/>
    </row>
    <row r="47" spans="1:29" ht="12.75" hidden="1" customHeight="1">
      <c r="A47" s="199"/>
      <c r="B47" s="197" t="s">
        <v>142</v>
      </c>
      <c r="C47" s="198"/>
      <c r="D47" s="198"/>
      <c r="E47" s="198"/>
      <c r="F47" s="198"/>
      <c r="G47" s="198"/>
      <c r="H47" s="198"/>
      <c r="I47" s="198"/>
      <c r="J47" s="187"/>
      <c r="K47" s="199"/>
      <c r="L47" s="197" t="s">
        <v>142</v>
      </c>
      <c r="M47" s="198"/>
      <c r="N47" s="198"/>
      <c r="O47" s="198"/>
      <c r="P47" s="198"/>
      <c r="Q47" s="198"/>
      <c r="R47" s="198"/>
      <c r="S47" s="198"/>
      <c r="T47" s="187"/>
      <c r="U47" s="199"/>
      <c r="V47" s="197" t="s">
        <v>142</v>
      </c>
      <c r="W47" s="198"/>
      <c r="X47" s="198"/>
      <c r="Y47" s="198"/>
      <c r="Z47" s="198"/>
      <c r="AA47" s="198"/>
      <c r="AB47" s="198"/>
      <c r="AC47" s="198"/>
    </row>
    <row r="48" spans="1:29" ht="12.75" hidden="1" customHeight="1">
      <c r="A48" s="199"/>
      <c r="B48" s="197" t="s">
        <v>142</v>
      </c>
      <c r="C48" s="198"/>
      <c r="D48" s="198"/>
      <c r="E48" s="198"/>
      <c r="F48" s="198"/>
      <c r="G48" s="198"/>
      <c r="H48" s="198"/>
      <c r="I48" s="198"/>
      <c r="J48" s="187"/>
      <c r="K48" s="199"/>
      <c r="L48" s="197" t="s">
        <v>142</v>
      </c>
      <c r="M48" s="198"/>
      <c r="N48" s="198"/>
      <c r="O48" s="198"/>
      <c r="P48" s="198"/>
      <c r="Q48" s="198"/>
      <c r="R48" s="198"/>
      <c r="S48" s="198"/>
      <c r="T48" s="187"/>
      <c r="U48" s="199"/>
      <c r="V48" s="197" t="s">
        <v>142</v>
      </c>
      <c r="W48" s="198"/>
      <c r="X48" s="198"/>
      <c r="Y48" s="198"/>
      <c r="Z48" s="198"/>
      <c r="AA48" s="198"/>
      <c r="AB48" s="198"/>
      <c r="AC48" s="198"/>
    </row>
    <row r="49" spans="1:29" ht="12.75" hidden="1" customHeight="1">
      <c r="A49" s="199"/>
      <c r="B49" s="197" t="s">
        <v>142</v>
      </c>
      <c r="C49" s="198"/>
      <c r="D49" s="198"/>
      <c r="E49" s="198"/>
      <c r="F49" s="198"/>
      <c r="G49" s="198"/>
      <c r="H49" s="198"/>
      <c r="I49" s="198"/>
      <c r="J49" s="187"/>
      <c r="K49" s="199"/>
      <c r="L49" s="197" t="s">
        <v>142</v>
      </c>
      <c r="M49" s="198"/>
      <c r="N49" s="198"/>
      <c r="O49" s="198"/>
      <c r="P49" s="198"/>
      <c r="Q49" s="198"/>
      <c r="R49" s="198"/>
      <c r="S49" s="198"/>
      <c r="T49" s="187"/>
      <c r="U49" s="199"/>
      <c r="V49" s="197" t="s">
        <v>142</v>
      </c>
      <c r="W49" s="198"/>
      <c r="X49" s="198"/>
      <c r="Y49" s="198"/>
      <c r="Z49" s="198"/>
      <c r="AA49" s="198"/>
      <c r="AB49" s="198"/>
      <c r="AC49" s="198"/>
    </row>
    <row r="50" spans="1:29" ht="12.75" hidden="1" customHeight="1">
      <c r="A50" s="199"/>
      <c r="B50" s="197" t="s">
        <v>142</v>
      </c>
      <c r="C50" s="198"/>
      <c r="D50" s="198"/>
      <c r="E50" s="198"/>
      <c r="F50" s="198"/>
      <c r="G50" s="198"/>
      <c r="H50" s="198"/>
      <c r="I50" s="198"/>
      <c r="J50" s="187"/>
      <c r="K50" s="199"/>
      <c r="L50" s="197" t="s">
        <v>142</v>
      </c>
      <c r="M50" s="198"/>
      <c r="N50" s="198"/>
      <c r="O50" s="198"/>
      <c r="P50" s="198"/>
      <c r="Q50" s="198"/>
      <c r="R50" s="198"/>
      <c r="S50" s="198"/>
      <c r="T50" s="187"/>
      <c r="U50" s="199"/>
      <c r="V50" s="197" t="s">
        <v>142</v>
      </c>
      <c r="W50" s="198"/>
      <c r="X50" s="198"/>
      <c r="Y50" s="198"/>
      <c r="Z50" s="198"/>
      <c r="AA50" s="198"/>
      <c r="AB50" s="198"/>
      <c r="AC50" s="198"/>
    </row>
    <row r="51" spans="1:29" ht="12.75" hidden="1" customHeight="1">
      <c r="A51" s="199"/>
      <c r="B51" s="197" t="s">
        <v>142</v>
      </c>
      <c r="C51" s="198"/>
      <c r="D51" s="198"/>
      <c r="E51" s="198"/>
      <c r="F51" s="198"/>
      <c r="G51" s="198"/>
      <c r="H51" s="198"/>
      <c r="I51" s="198"/>
      <c r="J51" s="187"/>
      <c r="K51" s="199"/>
      <c r="L51" s="197" t="s">
        <v>142</v>
      </c>
      <c r="M51" s="198"/>
      <c r="N51" s="198"/>
      <c r="O51" s="198"/>
      <c r="P51" s="198"/>
      <c r="Q51" s="198"/>
      <c r="R51" s="198"/>
      <c r="S51" s="198"/>
      <c r="T51" s="187"/>
      <c r="U51" s="199"/>
      <c r="V51" s="197" t="s">
        <v>142</v>
      </c>
      <c r="W51" s="198"/>
      <c r="X51" s="198"/>
      <c r="Y51" s="198"/>
      <c r="Z51" s="198"/>
      <c r="AA51" s="198"/>
      <c r="AB51" s="198"/>
      <c r="AC51" s="198"/>
    </row>
    <row r="52" spans="1:29" ht="12.75" hidden="1" customHeight="1">
      <c r="A52" s="199"/>
      <c r="B52" s="197" t="s">
        <v>142</v>
      </c>
      <c r="C52" s="198"/>
      <c r="D52" s="198"/>
      <c r="E52" s="198"/>
      <c r="F52" s="198"/>
      <c r="G52" s="198"/>
      <c r="H52" s="198"/>
      <c r="I52" s="198"/>
      <c r="J52" s="187"/>
      <c r="K52" s="199"/>
      <c r="L52" s="197" t="s">
        <v>142</v>
      </c>
      <c r="M52" s="198"/>
      <c r="N52" s="198"/>
      <c r="O52" s="198"/>
      <c r="P52" s="198"/>
      <c r="Q52" s="198"/>
      <c r="R52" s="198"/>
      <c r="S52" s="198"/>
      <c r="T52" s="187"/>
      <c r="U52" s="199"/>
      <c r="V52" s="197" t="s">
        <v>142</v>
      </c>
      <c r="W52" s="198"/>
      <c r="X52" s="198"/>
      <c r="Y52" s="198"/>
      <c r="Z52" s="198"/>
      <c r="AA52" s="198"/>
      <c r="AB52" s="198"/>
      <c r="AC52" s="198"/>
    </row>
    <row r="53" spans="1:29" ht="12.75" hidden="1" customHeight="1">
      <c r="A53" s="199"/>
      <c r="B53" s="197" t="s">
        <v>142</v>
      </c>
      <c r="C53" s="198"/>
      <c r="D53" s="198"/>
      <c r="E53" s="198"/>
      <c r="F53" s="198"/>
      <c r="G53" s="198"/>
      <c r="H53" s="198"/>
      <c r="I53" s="198"/>
      <c r="J53" s="187"/>
      <c r="K53" s="199"/>
      <c r="L53" s="197" t="s">
        <v>142</v>
      </c>
      <c r="M53" s="198"/>
      <c r="N53" s="198"/>
      <c r="O53" s="198"/>
      <c r="P53" s="198"/>
      <c r="Q53" s="198"/>
      <c r="R53" s="198"/>
      <c r="S53" s="198"/>
      <c r="T53" s="187"/>
      <c r="U53" s="199"/>
      <c r="V53" s="197" t="s">
        <v>142</v>
      </c>
      <c r="W53" s="198"/>
      <c r="X53" s="198"/>
      <c r="Y53" s="198"/>
      <c r="Z53" s="198"/>
      <c r="AA53" s="198"/>
      <c r="AB53" s="198"/>
      <c r="AC53" s="198"/>
    </row>
    <row r="54" spans="1:29" ht="12.75" hidden="1" customHeight="1">
      <c r="A54" s="199"/>
      <c r="B54" s="197" t="s">
        <v>142</v>
      </c>
      <c r="C54" s="198"/>
      <c r="D54" s="198"/>
      <c r="E54" s="198"/>
      <c r="F54" s="198"/>
      <c r="G54" s="198"/>
      <c r="H54" s="198"/>
      <c r="I54" s="198"/>
      <c r="J54" s="187"/>
      <c r="K54" s="199"/>
      <c r="L54" s="197" t="s">
        <v>142</v>
      </c>
      <c r="M54" s="198"/>
      <c r="N54" s="198"/>
      <c r="O54" s="198"/>
      <c r="P54" s="198"/>
      <c r="Q54" s="198"/>
      <c r="R54" s="198"/>
      <c r="S54" s="198"/>
      <c r="T54" s="187"/>
      <c r="U54" s="199"/>
      <c r="V54" s="197" t="s">
        <v>142</v>
      </c>
      <c r="W54" s="198"/>
      <c r="X54" s="198"/>
      <c r="Y54" s="198"/>
      <c r="Z54" s="198"/>
      <c r="AA54" s="198"/>
      <c r="AB54" s="198"/>
      <c r="AC54" s="198"/>
    </row>
    <row r="55" spans="1:29" ht="12.75" hidden="1" customHeight="1">
      <c r="A55" s="199"/>
      <c r="B55" s="197" t="s">
        <v>142</v>
      </c>
      <c r="C55" s="198"/>
      <c r="D55" s="198"/>
      <c r="E55" s="198"/>
      <c r="F55" s="198"/>
      <c r="G55" s="198"/>
      <c r="H55" s="198"/>
      <c r="I55" s="198"/>
      <c r="J55" s="187"/>
      <c r="K55" s="199"/>
      <c r="L55" s="197" t="s">
        <v>142</v>
      </c>
      <c r="M55" s="198"/>
      <c r="N55" s="198"/>
      <c r="O55" s="198"/>
      <c r="P55" s="198"/>
      <c r="Q55" s="198"/>
      <c r="R55" s="198"/>
      <c r="S55" s="198"/>
      <c r="T55" s="187"/>
      <c r="U55" s="199"/>
      <c r="V55" s="197" t="s">
        <v>142</v>
      </c>
      <c r="W55" s="198"/>
      <c r="X55" s="198"/>
      <c r="Y55" s="198"/>
      <c r="Z55" s="198"/>
      <c r="AA55" s="198"/>
      <c r="AB55" s="198"/>
      <c r="AC55" s="198"/>
    </row>
    <row r="56" spans="1:29" ht="12.75" hidden="1" customHeight="1">
      <c r="A56" s="199"/>
      <c r="B56" s="197" t="s">
        <v>142</v>
      </c>
      <c r="C56" s="198"/>
      <c r="D56" s="198"/>
      <c r="E56" s="198"/>
      <c r="F56" s="198"/>
      <c r="G56" s="198"/>
      <c r="H56" s="198"/>
      <c r="I56" s="198"/>
      <c r="J56" s="187"/>
      <c r="K56" s="199"/>
      <c r="L56" s="197" t="s">
        <v>142</v>
      </c>
      <c r="M56" s="198"/>
      <c r="N56" s="198"/>
      <c r="O56" s="198"/>
      <c r="P56" s="198"/>
      <c r="Q56" s="198"/>
      <c r="R56" s="198"/>
      <c r="S56" s="198"/>
      <c r="T56" s="187"/>
      <c r="U56" s="199"/>
      <c r="V56" s="197" t="s">
        <v>142</v>
      </c>
      <c r="W56" s="198"/>
      <c r="X56" s="198"/>
      <c r="Y56" s="198"/>
      <c r="Z56" s="198"/>
      <c r="AA56" s="198"/>
      <c r="AB56" s="198"/>
      <c r="AC56" s="198"/>
    </row>
    <row r="57" spans="1:29" ht="12.75" hidden="1" customHeight="1">
      <c r="A57" s="199"/>
      <c r="B57" s="197" t="s">
        <v>142</v>
      </c>
      <c r="C57" s="198"/>
      <c r="D57" s="198"/>
      <c r="E57" s="198"/>
      <c r="F57" s="198"/>
      <c r="G57" s="198"/>
      <c r="H57" s="198"/>
      <c r="I57" s="198"/>
      <c r="J57" s="187"/>
      <c r="K57" s="199"/>
      <c r="L57" s="197" t="s">
        <v>142</v>
      </c>
      <c r="M57" s="198"/>
      <c r="N57" s="198"/>
      <c r="O57" s="198"/>
      <c r="P57" s="198"/>
      <c r="Q57" s="198"/>
      <c r="R57" s="198"/>
      <c r="S57" s="198"/>
      <c r="T57" s="187"/>
      <c r="U57" s="199"/>
      <c r="V57" s="197" t="s">
        <v>142</v>
      </c>
      <c r="W57" s="198"/>
      <c r="X57" s="198"/>
      <c r="Y57" s="198"/>
      <c r="Z57" s="198"/>
      <c r="AA57" s="198"/>
      <c r="AB57" s="198"/>
      <c r="AC57" s="198"/>
    </row>
    <row r="58" spans="1:29" ht="12.75" hidden="1" customHeight="1">
      <c r="A58" s="199"/>
      <c r="B58" s="197" t="s">
        <v>142</v>
      </c>
      <c r="C58" s="198"/>
      <c r="D58" s="198"/>
      <c r="E58" s="198"/>
      <c r="F58" s="198"/>
      <c r="G58" s="198"/>
      <c r="H58" s="198"/>
      <c r="I58" s="198"/>
      <c r="J58" s="187"/>
      <c r="K58" s="199"/>
      <c r="L58" s="197" t="s">
        <v>142</v>
      </c>
      <c r="M58" s="198"/>
      <c r="N58" s="198"/>
      <c r="O58" s="198"/>
      <c r="P58" s="198"/>
      <c r="Q58" s="198"/>
      <c r="R58" s="198"/>
      <c r="S58" s="198"/>
      <c r="T58" s="187"/>
      <c r="U58" s="199"/>
      <c r="V58" s="197" t="s">
        <v>142</v>
      </c>
      <c r="W58" s="198"/>
      <c r="X58" s="198"/>
      <c r="Y58" s="198"/>
      <c r="Z58" s="198"/>
      <c r="AA58" s="198"/>
      <c r="AB58" s="198"/>
      <c r="AC58" s="198"/>
    </row>
    <row r="59" spans="1:29" ht="12.75" hidden="1" customHeight="1">
      <c r="A59" s="199"/>
      <c r="B59" s="197" t="s">
        <v>142</v>
      </c>
      <c r="C59" s="198"/>
      <c r="D59" s="198"/>
      <c r="E59" s="198"/>
      <c r="F59" s="198"/>
      <c r="G59" s="198"/>
      <c r="H59" s="198"/>
      <c r="I59" s="198"/>
      <c r="J59" s="187"/>
      <c r="K59" s="199"/>
      <c r="L59" s="197" t="s">
        <v>142</v>
      </c>
      <c r="M59" s="198"/>
      <c r="N59" s="198"/>
      <c r="O59" s="198"/>
      <c r="P59" s="198"/>
      <c r="Q59" s="198"/>
      <c r="R59" s="198"/>
      <c r="S59" s="198"/>
      <c r="T59" s="187"/>
      <c r="U59" s="199"/>
      <c r="V59" s="197" t="s">
        <v>142</v>
      </c>
      <c r="W59" s="198"/>
      <c r="X59" s="198"/>
      <c r="Y59" s="198"/>
      <c r="Z59" s="198"/>
      <c r="AA59" s="198"/>
      <c r="AB59" s="198"/>
      <c r="AC59" s="198"/>
    </row>
    <row r="60" spans="1:29" ht="12.75" hidden="1" customHeight="1">
      <c r="A60" s="199"/>
      <c r="B60" s="197" t="s">
        <v>142</v>
      </c>
      <c r="C60" s="198"/>
      <c r="D60" s="198"/>
      <c r="E60" s="198"/>
      <c r="F60" s="198"/>
      <c r="G60" s="198"/>
      <c r="H60" s="198"/>
      <c r="I60" s="198"/>
      <c r="J60" s="187"/>
      <c r="K60" s="199"/>
      <c r="L60" s="197" t="s">
        <v>142</v>
      </c>
      <c r="M60" s="198"/>
      <c r="N60" s="198"/>
      <c r="O60" s="198"/>
      <c r="P60" s="198"/>
      <c r="Q60" s="198"/>
      <c r="R60" s="198"/>
      <c r="S60" s="198"/>
      <c r="T60" s="187"/>
      <c r="U60" s="199"/>
      <c r="V60" s="197" t="s">
        <v>142</v>
      </c>
      <c r="W60" s="198"/>
      <c r="X60" s="198"/>
      <c r="Y60" s="198"/>
      <c r="Z60" s="198"/>
      <c r="AA60" s="198"/>
      <c r="AB60" s="198"/>
      <c r="AC60" s="198"/>
    </row>
    <row r="61" spans="1:29" ht="12.75" hidden="1" customHeight="1">
      <c r="A61" s="199"/>
      <c r="B61" s="197" t="s">
        <v>142</v>
      </c>
      <c r="C61" s="198"/>
      <c r="D61" s="198"/>
      <c r="E61" s="198"/>
      <c r="F61" s="198"/>
      <c r="G61" s="198"/>
      <c r="H61" s="198"/>
      <c r="I61" s="198"/>
      <c r="J61" s="187"/>
      <c r="K61" s="199"/>
      <c r="L61" s="197" t="s">
        <v>142</v>
      </c>
      <c r="M61" s="198"/>
      <c r="N61" s="198"/>
      <c r="O61" s="198"/>
      <c r="P61" s="198"/>
      <c r="Q61" s="198"/>
      <c r="R61" s="198"/>
      <c r="S61" s="198"/>
      <c r="T61" s="187"/>
      <c r="U61" s="199"/>
      <c r="V61" s="197" t="s">
        <v>142</v>
      </c>
      <c r="W61" s="198"/>
      <c r="X61" s="198"/>
      <c r="Y61" s="198"/>
      <c r="Z61" s="198"/>
      <c r="AA61" s="198"/>
      <c r="AB61" s="198"/>
      <c r="AC61" s="198"/>
    </row>
    <row r="62" spans="1:29" ht="12.75" hidden="1" customHeight="1">
      <c r="A62" s="199"/>
      <c r="B62" s="197" t="s">
        <v>142</v>
      </c>
      <c r="C62" s="198"/>
      <c r="D62" s="198"/>
      <c r="E62" s="198"/>
      <c r="F62" s="198"/>
      <c r="G62" s="198"/>
      <c r="H62" s="198"/>
      <c r="I62" s="198"/>
      <c r="J62" s="187"/>
      <c r="K62" s="199"/>
      <c r="L62" s="197" t="s">
        <v>142</v>
      </c>
      <c r="M62" s="198"/>
      <c r="N62" s="198"/>
      <c r="O62" s="198"/>
      <c r="P62" s="198"/>
      <c r="Q62" s="198"/>
      <c r="R62" s="198"/>
      <c r="S62" s="198"/>
      <c r="T62" s="187"/>
      <c r="U62" s="199"/>
      <c r="V62" s="197" t="s">
        <v>142</v>
      </c>
      <c r="W62" s="198"/>
      <c r="X62" s="198"/>
      <c r="Y62" s="198"/>
      <c r="Z62" s="198"/>
      <c r="AA62" s="198"/>
      <c r="AB62" s="198"/>
      <c r="AC62" s="198"/>
    </row>
    <row r="63" spans="1:29" ht="12.75" hidden="1" customHeight="1">
      <c r="A63" s="199"/>
      <c r="B63" s="197" t="s">
        <v>142</v>
      </c>
      <c r="C63" s="198"/>
      <c r="D63" s="198"/>
      <c r="E63" s="198"/>
      <c r="F63" s="198"/>
      <c r="G63" s="198"/>
      <c r="H63" s="198"/>
      <c r="I63" s="198"/>
      <c r="J63" s="187"/>
      <c r="K63" s="199"/>
      <c r="L63" s="197" t="s">
        <v>142</v>
      </c>
      <c r="M63" s="198"/>
      <c r="N63" s="198"/>
      <c r="O63" s="198"/>
      <c r="P63" s="198"/>
      <c r="Q63" s="198"/>
      <c r="R63" s="198"/>
      <c r="S63" s="198"/>
      <c r="T63" s="187"/>
      <c r="U63" s="199"/>
      <c r="V63" s="197" t="s">
        <v>142</v>
      </c>
      <c r="W63" s="198"/>
      <c r="X63" s="198"/>
      <c r="Y63" s="198"/>
      <c r="Z63" s="198"/>
      <c r="AA63" s="198"/>
      <c r="AB63" s="198"/>
      <c r="AC63" s="198"/>
    </row>
    <row r="64" spans="1:29" ht="12.75" customHeight="1" thickBot="1">
      <c r="A64" s="199"/>
      <c r="B64" s="294" t="s">
        <v>143</v>
      </c>
      <c r="C64" s="294"/>
      <c r="D64" s="294"/>
      <c r="E64" s="294"/>
      <c r="F64" s="294"/>
      <c r="G64" s="294"/>
      <c r="H64" s="294"/>
      <c r="I64" s="294"/>
      <c r="J64" s="187"/>
      <c r="K64" s="199"/>
      <c r="L64" s="294" t="s">
        <v>143</v>
      </c>
      <c r="M64" s="294"/>
      <c r="N64" s="294"/>
      <c r="O64" s="294"/>
      <c r="P64" s="294"/>
      <c r="Q64" s="294"/>
      <c r="R64" s="294"/>
      <c r="S64" s="294"/>
      <c r="T64" s="187"/>
      <c r="U64" s="199"/>
      <c r="V64" s="294" t="s">
        <v>143</v>
      </c>
      <c r="W64" s="294"/>
      <c r="X64" s="294"/>
      <c r="Y64" s="294"/>
      <c r="Z64" s="294"/>
      <c r="AA64" s="294"/>
      <c r="AB64" s="294"/>
      <c r="AC64" s="294"/>
    </row>
    <row r="65" spans="1:29" ht="12.75" customHeight="1">
      <c r="A65" s="302" t="s">
        <v>144</v>
      </c>
      <c r="B65" s="200"/>
      <c r="C65" s="201" t="s">
        <v>25</v>
      </c>
      <c r="D65" s="201" t="s">
        <v>135</v>
      </c>
      <c r="E65" s="201" t="s">
        <v>136</v>
      </c>
      <c r="F65" s="201" t="s">
        <v>137</v>
      </c>
      <c r="G65" s="201" t="s">
        <v>138</v>
      </c>
      <c r="H65" s="201" t="s">
        <v>139</v>
      </c>
      <c r="I65" s="201" t="s">
        <v>140</v>
      </c>
      <c r="J65" s="187"/>
      <c r="K65" s="302" t="s">
        <v>144</v>
      </c>
      <c r="L65" s="200"/>
      <c r="M65" s="201" t="s">
        <v>25</v>
      </c>
      <c r="N65" s="201" t="s">
        <v>135</v>
      </c>
      <c r="O65" s="201" t="s">
        <v>136</v>
      </c>
      <c r="P65" s="201" t="s">
        <v>137</v>
      </c>
      <c r="Q65" s="201" t="s">
        <v>138</v>
      </c>
      <c r="R65" s="201" t="s">
        <v>139</v>
      </c>
      <c r="S65" s="201" t="s">
        <v>140</v>
      </c>
      <c r="T65" s="187"/>
      <c r="U65" s="302" t="s">
        <v>144</v>
      </c>
      <c r="V65" s="200"/>
      <c r="W65" s="201" t="s">
        <v>25</v>
      </c>
      <c r="X65" s="201" t="s">
        <v>135</v>
      </c>
      <c r="Y65" s="201" t="s">
        <v>136</v>
      </c>
      <c r="Z65" s="201" t="s">
        <v>137</v>
      </c>
      <c r="AA65" s="201" t="s">
        <v>138</v>
      </c>
      <c r="AB65" s="201" t="s">
        <v>139</v>
      </c>
      <c r="AC65" s="201" t="s">
        <v>140</v>
      </c>
    </row>
    <row r="66" spans="1:29" ht="12.75" customHeight="1">
      <c r="A66" s="296"/>
      <c r="B66" s="197">
        <v>1</v>
      </c>
      <c r="C66" s="198" t="s">
        <v>27</v>
      </c>
      <c r="D66" s="202">
        <f ca="1">IF(AND(ISNUMBER($B66),ISNUMBER(D$5)),IF(D$7=1,(D10)/(SUM(D$10:OFFSET(D$10,$C$5-1,0,1,1))),(1/D10)/SUM(1/D$10:OFFSET(D$10,$C$5-1,0,1,1))),"")</f>
        <v>4.0567951318458431E-2</v>
      </c>
      <c r="E66" s="202">
        <f ca="1">IF(AND(ISNUMBER($B66),ISNUMBER(E$5)),IF(E$7=1,(E10)/(SUM(E$10:OFFSET(E$10,$C$5-1,0,1,1))),(1/E10)/SUM(1/E$10:OFFSET(E$10,$C$5-1,0,1,1))),"")</f>
        <v>5.5460542389445394E-2</v>
      </c>
      <c r="F66" s="202">
        <f ca="1">IF(AND(ISNUMBER($B66),ISNUMBER(F$5)),IF(F$7=1,(F10)/(SUM(F$10:OFFSET(F$10,$C$5-1,0,1,1))),(1/F10)/SUM(1/F$10:OFFSET(F$10,$C$5-1,0,1,1))),"")</f>
        <v>3.6216801265506617E-2</v>
      </c>
      <c r="G66" s="202">
        <f ca="1">IF(AND(ISNUMBER($B66),ISNUMBER(G$5)),IF(G$7=1,(G10)/(SUM(G$10:OFFSET(G$10,$C$5-1,0,1,1))),(1/G10)/SUM(1/G$10:OFFSET(G$10,$C$5-1,0,1,1))),"")</f>
        <v>3.581241117953575E-2</v>
      </c>
      <c r="H66" s="202">
        <f ca="1">IF(AND(ISNUMBER($B66),ISNUMBER(H$5)),IF(H$7=1,(H10)/(SUM(H$10:OFFSET(H$10,$C$5-1,0,1,1))),(1/H10)/SUM(1/H$10:OFFSET(H$10,$C$5-1,0,1,1))),"")</f>
        <v>4.0587410523208613E-2</v>
      </c>
      <c r="I66" s="202">
        <f ca="1">IF(AND(ISNUMBER($B66),ISNUMBER(I$5)),IF(I$7=1,(I10)/(SUM(I$10:OFFSET(I$10,$C$5-1,0,1,1))),(1/I10)/SUM(1/I$10:OFFSET(I$10,$C$5-1,0,1,1))),"")</f>
        <v>3.2198105288403882E-2</v>
      </c>
      <c r="J66" s="187"/>
      <c r="K66" s="296"/>
      <c r="L66" s="197">
        <v>1</v>
      </c>
      <c r="M66" s="198" t="s">
        <v>27</v>
      </c>
      <c r="N66" s="202">
        <f ca="1">IF(AND(ISNUMBER($L66),ISNUMBER(N$5)),IF(N$7=1,(N10)/(SUM(N$10:OFFSET(N$10,$M$5-1,0,1,1))),(1/N10)/SUM(1/N$10:OFFSET(N$10,$M$5-1,0,1,1))),"")</f>
        <v>3.9384846211552894E-2</v>
      </c>
      <c r="O66" s="202">
        <f ca="1">IF(AND(ISNUMBER($L66),ISNUMBER(O$5)),IF(O$7=1,(O10)/(SUM(O$10:OFFSET(O$10,$M$5-1,0,1,1))),(1/O10)/SUM(1/O$10:OFFSET(O$10,$M$5-1,0,1,1))),"")</f>
        <v>4.3902974426517402E-2</v>
      </c>
      <c r="P66" s="202">
        <f ca="1">IF(AND(ISNUMBER($L66),ISNUMBER(P$5)),IF(P$7=1,(P10)/(SUM(P$10:OFFSET(P$10,$M$5-1,0,1,1))),(1/P10)/SUM(1/P$10:OFFSET(P$10,$M$5-1,0,1,1))),"")</f>
        <v>3.5147601476014763E-2</v>
      </c>
      <c r="Q66" s="202">
        <f ca="1">IF(AND(ISNUMBER($L66),ISNUMBER(Q$5)),IF(Q$7=1,(Q10)/(SUM(Q$10:OFFSET(Q$10,$M$5-1,0,1,1))),(1/Q10)/SUM(1/Q$10:OFFSET(Q$10,$M$5-1,0,1,1))),"")</f>
        <v>4.0992821932024567E-2</v>
      </c>
      <c r="R66" s="202">
        <f ca="1">IF(AND(ISNUMBER($L66),ISNUMBER(R$5)),IF(R$7=1,(R10)/(SUM(R$10:OFFSET(R$10,$M$5-1,0,1,1))),(1/R10)/SUM(1/R$10:OFFSET(R$10,$M$5-1,0,1,1))),"")</f>
        <v>3.9487645899651362E-2</v>
      </c>
      <c r="S66" s="202">
        <f ca="1">IF(AND(ISNUMBER($L66),ISNUMBER(S$5)),IF(S$7=1,(S10)/(SUM(S$10:OFFSET(S$10,$M$5-1,0,1,1))),(1/S10)/SUM(1/S$10:OFFSET(S$10,$M$5-1,0,1,1))),"")</f>
        <v>3.0274021778150053E-2</v>
      </c>
      <c r="T66" s="187"/>
      <c r="U66" s="296"/>
      <c r="V66" s="197">
        <v>1</v>
      </c>
      <c r="W66" s="198" t="s">
        <v>27</v>
      </c>
      <c r="X66" s="202">
        <f ca="1">IF(AND(ISNUMBER($V66),ISNUMBER(X$5)),IF(X$7=1,(X10)/(SUM(X$10:OFFSET(X$10,$W$5-1,0,1,1))),(1/X10)/SUM(1/X$10:OFFSET(X$10,$W$5-1,0,1,1))),"")</f>
        <v>3.9967645239567973E-2</v>
      </c>
      <c r="Y66" s="202">
        <f ca="1">IF(AND(ISNUMBER($V66),ISNUMBER(Y$5)),IF(Y$7=1,(Y10)/(SUM(Y$10:OFFSET(Y$10,$W$5-1,0,1,1))),(1/Y10)/SUM(1/Y$10:OFFSET(Y$10,$W$5-1,0,1,1))),"")</f>
        <v>4.9372723593686767E-2</v>
      </c>
      <c r="Z66" s="202">
        <f ca="1">IF(AND(ISNUMBER($V66),ISNUMBER(Z$5)),IF(Z$7=1,(Z10)/(SUM(Z$10:OFFSET(Z$10,$W$5-1,0,1,1))),(1/Z10)/SUM(1/Z$10:OFFSET(Z$10,$W$5-1,0,1,1))),"")</f>
        <v>3.5709596954181431E-2</v>
      </c>
      <c r="AA66" s="202">
        <f ca="1">IF(AND(ISNUMBER($V66),ISNUMBER(AA$5)),IF(AA$7=1,(AA10)/(SUM(AA$10:OFFSET(AA$10,$W$5-1,0,1,1))),(1/AA10)/SUM(1/AA$10:OFFSET(AA$10,$W$5-1,0,1,1))),"")</f>
        <v>3.8520661904331323E-2</v>
      </c>
      <c r="AB66" s="202">
        <f ca="1">IF(AND(ISNUMBER($V66),ISNUMBER(AB$5)),IF(AB$7=1,(AB10)/(SUM(AB$10:OFFSET(AB$10,$W$5-1,0,1,1))),(1/AB10)/SUM(1/AB$10:OFFSET(AB$10,$W$5-1,0,1,1))),"")</f>
        <v>4.0044868199663491E-2</v>
      </c>
      <c r="AC66" s="202">
        <f ca="1">IF(AND(ISNUMBER($V66),ISNUMBER(AC$5)),IF(AC$7=1,(AC10)/(SUM(AC$10:OFFSET(AC$10,$W$5-1,0,1,1))),(1/AC10)/SUM(1/AC$10:OFFSET(AC$10,$W$5-1,0,1,1))),"")</f>
        <v>3.1235026353617638E-2</v>
      </c>
    </row>
    <row r="67" spans="1:29" ht="12.75" customHeight="1">
      <c r="A67" s="296"/>
      <c r="B67" s="197">
        <v>2</v>
      </c>
      <c r="C67" s="198" t="s">
        <v>28</v>
      </c>
      <c r="D67" s="202">
        <f ca="1">IF(AND(ISNUMBER($B67),ISNUMBER(D$5)),IF(D$7=1,(D11)/(SUM(D$10:OFFSET(D$10,$C$5-1,0,1,1))),(1/D11)/SUM(1/D$10:OFFSET(D$10,$C$5-1,0,1,1))),"")</f>
        <v>1.8352168453588336E-2</v>
      </c>
      <c r="E67" s="202">
        <f ca="1">IF(AND(ISNUMBER($B67),ISNUMBER(E$5)),IF(E$7=1,(E11)/(SUM(E$10:OFFSET(E$10,$C$5-1,0,1,1))),(1/E11)/SUM(1/E$10:OFFSET(E$10,$C$5-1,0,1,1))),"")</f>
        <v>2.6875152699731251E-3</v>
      </c>
      <c r="F67" s="202">
        <f ca="1">IF(AND(ISNUMBER($B67),ISNUMBER(F$5)),IF(F$7=1,(F11)/(SUM(F$10:OFFSET(F$10,$C$5-1,0,1,1))),(1/F11)/SUM(1/F$10:OFFSET(F$10,$C$5-1,0,1,1))),"")</f>
        <v>2.7807842810756801E-2</v>
      </c>
      <c r="G67" s="202">
        <f ca="1">IF(AND(ISNUMBER($B67),ISNUMBER(G$5)),IF(G$7=1,(G11)/(SUM(G$10:OFFSET(G$10,$C$5-1,0,1,1))),(1/G11)/SUM(1/G$10:OFFSET(G$10,$C$5-1,0,1,1))),"")</f>
        <v>1.4684983420180002E-2</v>
      </c>
      <c r="H67" s="202">
        <f ca="1">IF(AND(ISNUMBER($B67),ISNUMBER(H$5)),IF(H$7=1,(H11)/(SUM(H$10:OFFSET(H$10,$C$5-1,0,1,1))),(1/H11)/SUM(1/H$10:OFFSET(H$10,$C$5-1,0,1,1))),"")</f>
        <v>2.435244631392517E-2</v>
      </c>
      <c r="I67" s="202">
        <f ca="1">IF(AND(ISNUMBER($B67),ISNUMBER(I$5)),IF(I$7=1,(I11)/(SUM(I$10:OFFSET(I$10,$C$5-1,0,1,1))),(1/I11)/SUM(1/I$10:OFFSET(I$10,$C$5-1,0,1,1))),"")</f>
        <v>4.7907422952392371E-2</v>
      </c>
      <c r="J67" s="187"/>
      <c r="K67" s="296"/>
      <c r="L67" s="197">
        <v>2</v>
      </c>
      <c r="M67" s="198" t="s">
        <v>28</v>
      </c>
      <c r="N67" s="202">
        <f ca="1">IF(AND(ISNUMBER($L67),ISNUMBER(N$5)),IF(N$7=1,(N11)/(SUM(N$10:OFFSET(N$10,$M$5-1,0,1,1))),(1/N11)/SUM(1/N$10:OFFSET(N$10,$M$5-1,0,1,1))),"")</f>
        <v>2.5412603150787701E-2</v>
      </c>
      <c r="O67" s="202">
        <f ca="1">IF(AND(ISNUMBER($L67),ISNUMBER(O$5)),IF(O$7=1,(O11)/(SUM(O$10:OFFSET(O$10,$M$5-1,0,1,1))),(1/O11)/SUM(1/O$10:OFFSET(O$10,$M$5-1,0,1,1))),"")</f>
        <v>2.4146635934584573E-3</v>
      </c>
      <c r="P67" s="202">
        <f ca="1">IF(AND(ISNUMBER($L67),ISNUMBER(P$5)),IF(P$7=1,(P11)/(SUM(P$10:OFFSET(P$10,$M$5-1,0,1,1))),(1/P11)/SUM(1/P$10:OFFSET(P$10,$M$5-1,0,1,1))),"")</f>
        <v>3.6439114391143911E-2</v>
      </c>
      <c r="Q67" s="202">
        <f ca="1">IF(AND(ISNUMBER($L67),ISNUMBER(Q$5)),IF(Q$7=1,(Q11)/(SUM(Q$10:OFFSET(Q$10,$M$5-1,0,1,1))),(1/Q11)/SUM(1/Q$10:OFFSET(Q$10,$M$5-1,0,1,1))),"")</f>
        <v>1.3318342990573384E-2</v>
      </c>
      <c r="R67" s="202">
        <f ca="1">IF(AND(ISNUMBER($L67),ISNUMBER(R$5)),IF(R$7=1,(R11)/(SUM(R$10:OFFSET(R$10,$M$5-1,0,1,1))),(1/R11)/SUM(1/R$10:OFFSET(R$10,$M$5-1,0,1,1))),"")</f>
        <v>3.274215552523875E-2</v>
      </c>
      <c r="S67" s="202">
        <f ca="1">IF(AND(ISNUMBER($L67),ISNUMBER(S$5)),IF(S$7=1,(S11)/(SUM(S$10:OFFSET(S$10,$M$5-1,0,1,1))),(1/S11)/SUM(1/S$10:OFFSET(S$10,$M$5-1,0,1,1))),"")</f>
        <v>4.8163216465238717E-2</v>
      </c>
      <c r="T67" s="187"/>
      <c r="U67" s="296"/>
      <c r="V67" s="197">
        <v>2</v>
      </c>
      <c r="W67" s="198" t="s">
        <v>28</v>
      </c>
      <c r="X67" s="202">
        <f ca="1">IF(AND(ISNUMBER($V67),ISNUMBER(X$5)),IF(X$7=1,(X11)/(SUM(X$10:OFFSET(X$10,$W$5-1,0,1,1))),(1/X11)/SUM(1/X$10:OFFSET(X$10,$W$5-1,0,1,1))),"")</f>
        <v>2.1934624351715282E-2</v>
      </c>
      <c r="Y67" s="202">
        <f ca="1">IF(AND(ISNUMBER($V67),ISNUMBER(Y$5)),IF(Y$7=1,(Y11)/(SUM(Y$10:OFFSET(Y$10,$W$5-1,0,1,1))),(1/Y11)/SUM(1/Y$10:OFFSET(Y$10,$W$5-1,0,1,1))),"")</f>
        <v>2.5437937214545878E-3</v>
      </c>
      <c r="Z67" s="202">
        <f ca="1">IF(AND(ISNUMBER($V67),ISNUMBER(Z$5)),IF(Z$7=1,(Z11)/(SUM(Z$10:OFFSET(Z$10,$W$5-1,0,1,1))),(1/Z11)/SUM(1/Z$10:OFFSET(Z$10,$W$5-1,0,1,1))),"")</f>
        <v>3.1902323749507674E-2</v>
      </c>
      <c r="AA67" s="202">
        <f ca="1">IF(AND(ISNUMBER($V67),ISNUMBER(AA$5)),IF(AA$7=1,(AA11)/(SUM(AA$10:OFFSET(AA$10,$W$5-1,0,1,1))),(1/AA11)/SUM(1/AA$10:OFFSET(AA$10,$W$5-1,0,1,1))),"")</f>
        <v>1.3970521746993403E-2</v>
      </c>
      <c r="AB67" s="202">
        <f ca="1">IF(AND(ISNUMBER($V67),ISNUMBER(AB$5)),IF(AB$7=1,(AB11)/(SUM(AB$10:OFFSET(AB$10,$W$5-1,0,1,1))),(1/AB11)/SUM(1/AB$10:OFFSET(AB$10,$W$5-1,0,1,1))),"")</f>
        <v>2.8491306786315205E-2</v>
      </c>
      <c r="AC67" s="202">
        <f ca="1">IF(AND(ISNUMBER($V67),ISNUMBER(AC$5)),IF(AC$7=1,(AC11)/(SUM(AC$10:OFFSET(AC$10,$W$5-1,0,1,1))),(1/AC11)/SUM(1/AC$10:OFFSET(AC$10,$W$5-1,0,1,1))),"")</f>
        <v>4.803545759463345E-2</v>
      </c>
    </row>
    <row r="68" spans="1:29" ht="12.75" customHeight="1" thickBot="1">
      <c r="A68" s="297"/>
      <c r="B68" s="197">
        <v>3</v>
      </c>
      <c r="C68" s="198" t="s">
        <v>29</v>
      </c>
      <c r="D68" s="202">
        <f ca="1">IF(AND(ISNUMBER($B68),ISNUMBER(D$5)),IF(D$7=1,(D12)/(SUM(D$10:OFFSET(D$10,$C$5-1,0,1,1))),(1/D12)/SUM(1/D$10:OFFSET(D$10,$C$5-1,0,1,1))),"")</f>
        <v>7.2442770211532906E-2</v>
      </c>
      <c r="E68" s="202">
        <f ca="1">IF(AND(ISNUMBER($B68),ISNUMBER(E$5)),IF(E$7=1,(E12)/(SUM(E$10:OFFSET(E$10,$C$5-1,0,1,1))),(1/E12)/SUM(1/E$10:OFFSET(E$10,$C$5-1,0,1,1))),"")</f>
        <v>8.2946494014170535E-2</v>
      </c>
      <c r="F68" s="202">
        <f ca="1">IF(AND(ISNUMBER($B68),ISNUMBER(F$5)),IF(F$7=1,(F12)/(SUM(F$10:OFFSET(F$10,$C$5-1,0,1,1))),(1/F12)/SUM(1/F$10:OFFSET(F$10,$C$5-1,0,1,1))),"")</f>
        <v>6.0444592456914484E-2</v>
      </c>
      <c r="G68" s="202">
        <f ca="1">IF(AND(ISNUMBER($B68),ISNUMBER(G$5)),IF(G$7=1,(G12)/(SUM(G$10:OFFSET(G$10,$C$5-1,0,1,1))),(1/G12)/SUM(1/G$10:OFFSET(G$10,$C$5-1,0,1,1))),"")</f>
        <v>5.2108005684509691E-2</v>
      </c>
      <c r="H68" s="202">
        <f ca="1">IF(AND(ISNUMBER($B68),ISNUMBER(H$5)),IF(H$7=1,(H12)/(SUM(H$10:OFFSET(H$10,$C$5-1,0,1,1))),(1/H12)/SUM(1/H$10:OFFSET(H$10,$C$5-1,0,1,1))),"")</f>
        <v>4.3317836322042655E-2</v>
      </c>
      <c r="I68" s="202">
        <f ca="1">IF(AND(ISNUMBER($B68),ISNUMBER(I$5)),IF(I$7=1,(I12)/(SUM(I$10:OFFSET(I$10,$C$5-1,0,1,1))),(1/I12)/SUM(1/I$10:OFFSET(I$10,$C$5-1,0,1,1))),"")</f>
        <v>3.0159491545748887E-2</v>
      </c>
      <c r="J68" s="187"/>
      <c r="K68" s="297"/>
      <c r="L68" s="197">
        <v>3</v>
      </c>
      <c r="M68" s="198" t="s">
        <v>29</v>
      </c>
      <c r="N68" s="202">
        <f ca="1">IF(AND(ISNUMBER($L68),ISNUMBER(N$5)),IF(N$7=1,(N12)/(SUM(N$10:OFFSET(N$10,$M$5-1,0,1,1))),(1/N12)/SUM(1/N$10:OFFSET(N$10,$M$5-1,0,1,1))),"")</f>
        <v>7.4362340585146292E-2</v>
      </c>
      <c r="O68" s="202">
        <f ca="1">IF(AND(ISNUMBER($L68),ISNUMBER(O$5)),IF(O$7=1,(O12)/(SUM(O$10:OFFSET(O$10,$M$5-1,0,1,1))),(1/O12)/SUM(1/O$10:OFFSET(O$10,$M$5-1,0,1,1))),"")</f>
        <v>7.6391175502140266E-2</v>
      </c>
      <c r="P68" s="202">
        <f ca="1">IF(AND(ISNUMBER($L68),ISNUMBER(P$5)),IF(P$7=1,(P12)/(SUM(P$10:OFFSET(P$10,$M$5-1,0,1,1))),(1/P12)/SUM(1/P$10:OFFSET(P$10,$M$5-1,0,1,1))),"")</f>
        <v>5.1937269372693724E-2</v>
      </c>
      <c r="Q68" s="202">
        <f ca="1">IF(AND(ISNUMBER($L68),ISNUMBER(Q$5)),IF(Q$7=1,(Q12)/(SUM(Q$10:OFFSET(Q$10,$M$5-1,0,1,1))),(1/Q12)/SUM(1/Q$10:OFFSET(Q$10,$M$5-1,0,1,1))),"")</f>
        <v>5.0851855054916552E-2</v>
      </c>
      <c r="R68" s="202">
        <f ca="1">IF(AND(ISNUMBER($L68),ISNUMBER(R$5)),IF(R$7=1,(R12)/(SUM(R$10:OFFSET(R$10,$M$5-1,0,1,1))),(1/R12)/SUM(1/R$10:OFFSET(R$10,$M$5-1,0,1,1))),"")</f>
        <v>4.4868879793845691E-2</v>
      </c>
      <c r="S68" s="202">
        <f ca="1">IF(AND(ISNUMBER($L68),ISNUMBER(S$5)),IF(S$7=1,(S12)/(SUM(S$10:OFFSET(S$10,$M$5-1,0,1,1))),(1/S12)/SUM(1/S$10:OFFSET(S$10,$M$5-1,0,1,1))),"")</f>
        <v>2.8479119301184633E-2</v>
      </c>
      <c r="T68" s="187"/>
      <c r="U68" s="297"/>
      <c r="V68" s="197">
        <v>3</v>
      </c>
      <c r="W68" s="198" t="s">
        <v>29</v>
      </c>
      <c r="X68" s="202">
        <f ca="1">IF(AND(ISNUMBER($V68),ISNUMBER(X$5)),IF(X$7=1,(X12)/(SUM(X$10:OFFSET(X$10,$W$5-1,0,1,1))),(1/X12)/SUM(1/X$10:OFFSET(X$10,$W$5-1,0,1,1))),"")</f>
        <v>7.3416757862682605E-2</v>
      </c>
      <c r="Y68" s="202">
        <f ca="1">IF(AND(ISNUMBER($V68),ISNUMBER(Y$5)),IF(Y$7=1,(Y12)/(SUM(Y$10:OFFSET(Y$10,$W$5-1,0,1,1))),(1/Y12)/SUM(1/Y$10:OFFSET(Y$10,$W$5-1,0,1,1))),"")</f>
        <v>7.9493553795455862E-2</v>
      </c>
      <c r="Z68" s="202">
        <f ca="1">IF(AND(ISNUMBER($V68),ISNUMBER(Z$5)),IF(Z$7=1,(Z12)/(SUM(Z$10:OFFSET(Z$10,$W$5-1,0,1,1))),(1/Z12)/SUM(1/Z$10:OFFSET(Z$10,$W$5-1,0,1,1))),"")</f>
        <v>5.6408909894534134E-2</v>
      </c>
      <c r="AA68" s="202">
        <f ca="1">IF(AND(ISNUMBER($V68),ISNUMBER(AA$5)),IF(AA$7=1,(AA12)/(SUM(AA$10:OFFSET(AA$10,$W$5-1,0,1,1))),(1/AA12)/SUM(1/AA$10:OFFSET(AA$10,$W$5-1,0,1,1))),"")</f>
        <v>5.1451306628085738E-2</v>
      </c>
      <c r="AB68" s="202">
        <f ca="1">IF(AND(ISNUMBER($V68),ISNUMBER(AB$5)),IF(AB$7=1,(AB12)/(SUM(AB$10:OFFSET(AB$10,$W$5-1,0,1,1))),(1/AB12)/SUM(1/AB$10:OFFSET(AB$10,$W$5-1,0,1,1))),"")</f>
        <v>4.4083006169377464E-2</v>
      </c>
      <c r="AC68" s="202">
        <f ca="1">IF(AND(ISNUMBER($V68),ISNUMBER(AC$5)),IF(AC$7=1,(AC12)/(SUM(AC$10:OFFSET(AC$10,$W$5-1,0,1,1))),(1/AC12)/SUM(1/AC$10:OFFSET(AC$10,$W$5-1,0,1,1))),"")</f>
        <v>2.9318399616674654E-2</v>
      </c>
    </row>
    <row r="69" spans="1:29" ht="12.75" customHeight="1">
      <c r="A69" s="203"/>
      <c r="B69" s="197">
        <v>4</v>
      </c>
      <c r="C69" s="198" t="s">
        <v>30</v>
      </c>
      <c r="D69" s="202">
        <f ca="1">IF(AND(ISNUMBER($B69),ISNUMBER(D$5)),IF(D$7=1,(D13)/(SUM(D$10:OFFSET(D$10,$C$5-1,0,1,1))),(1/D13)/SUM(1/D$10:OFFSET(D$10,$C$5-1,0,1,1))),"")</f>
        <v>3.1488457451946304E-2</v>
      </c>
      <c r="E69" s="202">
        <f ca="1">IF(AND(ISNUMBER($B69),ISNUMBER(E$5)),IF(E$7=1,(E13)/(SUM(E$10:OFFSET(E$10,$C$5-1,0,1,1))),(1/E13)/SUM(1/E$10:OFFSET(E$10,$C$5-1,0,1,1))),"")</f>
        <v>2.6508673344734911E-2</v>
      </c>
      <c r="F69" s="202">
        <f ca="1">IF(AND(ISNUMBER($B69),ISNUMBER(F$5)),IF(F$7=1,(F13)/(SUM(F$10:OFFSET(F$10,$C$5-1,0,1,1))),(1/F13)/SUM(1/F$10:OFFSET(F$10,$C$5-1,0,1,1))),"")</f>
        <v>2.7807842810756801E-2</v>
      </c>
      <c r="G69" s="202">
        <f ca="1">IF(AND(ISNUMBER($B69),ISNUMBER(G$5)),IF(G$7=1,(G13)/(SUM(G$10:OFFSET(G$10,$C$5-1,0,1,1))),(1/G13)/SUM(1/G$10:OFFSET(G$10,$C$5-1,0,1,1))),"")</f>
        <v>2.0558976788252005E-2</v>
      </c>
      <c r="H69" s="202">
        <f ca="1">IF(AND(ISNUMBER($B69),ISNUMBER(H$5)),IF(H$7=1,(H13)/(SUM(H$10:OFFSET(H$10,$C$5-1,0,1,1))),(1/H13)/SUM(1/H$10:OFFSET(H$10,$C$5-1,0,1,1))),"")</f>
        <v>2.7894620323223374E-2</v>
      </c>
      <c r="I69" s="202">
        <f ca="1">IF(AND(ISNUMBER($B69),ISNUMBER(I$5)),IF(I$7=1,(I13)/(SUM(I$10:OFFSET(I$10,$C$5-1,0,1,1))),(1/I13)/SUM(1/I$10:OFFSET(I$10,$C$5-1,0,1,1))),"")</f>
        <v>3.4656433625134903E-2</v>
      </c>
      <c r="J69" s="187"/>
      <c r="K69" s="203"/>
      <c r="L69" s="197">
        <v>4</v>
      </c>
      <c r="M69" s="198" t="s">
        <v>30</v>
      </c>
      <c r="N69" s="202">
        <f ca="1">IF(AND(ISNUMBER($L69),ISNUMBER(N$5)),IF(N$7=1,(N13)/(SUM(N$10:OFFSET(N$10,$M$5-1,0,1,1))),(1/N13)/SUM(1/N$10:OFFSET(N$10,$M$5-1,0,1,1))),"")</f>
        <v>3.0570142535633914E-2</v>
      </c>
      <c r="O69" s="202">
        <f ca="1">IF(AND(ISNUMBER($L69),ISNUMBER(O$5)),IF(O$7=1,(O13)/(SUM(O$10:OFFSET(O$10,$M$5-1,0,1,1))),(1/O13)/SUM(1/O$10:OFFSET(O$10,$M$5-1,0,1,1))),"")</f>
        <v>2.3817363626385691E-2</v>
      </c>
      <c r="P69" s="202">
        <f ca="1">IF(AND(ISNUMBER($L69),ISNUMBER(P$5)),IF(P$7=1,(P13)/(SUM(P$10:OFFSET(P$10,$M$5-1,0,1,1))),(1/P13)/SUM(1/P$10:OFFSET(P$10,$M$5-1,0,1,1))),"")</f>
        <v>2.9889298892988928E-2</v>
      </c>
      <c r="Q69" s="202">
        <f ca="1">IF(AND(ISNUMBER($L69),ISNUMBER(Q$5)),IF(Q$7=1,(Q13)/(SUM(Q$10:OFFSET(Q$10,$M$5-1,0,1,1))),(1/Q13)/SUM(1/Q$10:OFFSET(Q$10,$M$5-1,0,1,1))),"")</f>
        <v>2.0842341952780428E-2</v>
      </c>
      <c r="R69" s="202">
        <f ca="1">IF(AND(ISNUMBER($L69),ISNUMBER(R$5)),IF(R$7=1,(R13)/(SUM(R$10:OFFSET(R$10,$M$5-1,0,1,1))),(1/R13)/SUM(1/R$10:OFFSET(R$10,$M$5-1,0,1,1))),"")</f>
        <v>2.9104138244656665E-2</v>
      </c>
      <c r="S69" s="202">
        <f ca="1">IF(AND(ISNUMBER($L69),ISNUMBER(S$5)),IF(S$7=1,(S13)/(SUM(S$10:OFFSET(S$10,$M$5-1,0,1,1))),(1/S13)/SUM(1/S$10:OFFSET(S$10,$M$5-1,0,1,1))),"")</f>
        <v>3.547923896134976E-2</v>
      </c>
      <c r="T69" s="187"/>
      <c r="U69" s="203"/>
      <c r="V69" s="197">
        <v>4</v>
      </c>
      <c r="W69" s="198" t="s">
        <v>30</v>
      </c>
      <c r="X69" s="202">
        <f ca="1">IF(AND(ISNUMBER($V69),ISNUMBER(X$5)),IF(X$7=1,(X13)/(SUM(X$10:OFFSET(X$10,$W$5-1,0,1,1))),(1/X13)/SUM(1/X$10:OFFSET(X$10,$W$5-1,0,1,1))),"")</f>
        <v>3.1022505590712283E-2</v>
      </c>
      <c r="Y69" s="202">
        <f ca="1">IF(AND(ISNUMBER($V69),ISNUMBER(Y$5)),IF(Y$7=1,(Y13)/(SUM(Y$10:OFFSET(Y$10,$W$5-1,0,1,1))),(1/Y13)/SUM(1/Y$10:OFFSET(Y$10,$W$5-1,0,1,1))),"")</f>
        <v>2.5091056252529338E-2</v>
      </c>
      <c r="Z69" s="202">
        <f ca="1">IF(AND(ISNUMBER($V69),ISNUMBER(Z$5)),IF(Z$7=1,(Z13)/(SUM(Z$10:OFFSET(Z$10,$W$5-1,0,1,1))),(1/Z13)/SUM(1/Z$10:OFFSET(Z$10,$W$5-1,0,1,1))),"")</f>
        <v>2.8795238720406104E-2</v>
      </c>
      <c r="AA69" s="202">
        <f ca="1">IF(AND(ISNUMBER($V69),ISNUMBER(AA$5)),IF(AA$7=1,(AA13)/(SUM(AA$10:OFFSET(AA$10,$W$5-1,0,1,1))),(1/AA13)/SUM(1/AA$10:OFFSET(AA$10,$W$5-1,0,1,1))),"")</f>
        <v>2.0707116375802519E-2</v>
      </c>
      <c r="AB69" s="202">
        <f ca="1">IF(AND(ISNUMBER($V69),ISNUMBER(AB$5)),IF(AB$7=1,(AB13)/(SUM(AB$10:OFFSET(AB$10,$W$5-1,0,1,1))),(1/AB13)/SUM(1/AB$10:OFFSET(AB$10,$W$5-1,0,1,1))),"")</f>
        <v>2.8491306786315201E-2</v>
      </c>
      <c r="AC69" s="202">
        <f ca="1">IF(AND(ISNUMBER($V69),ISNUMBER(AC$5)),IF(AC$7=1,(AC13)/(SUM(AC$10:OFFSET(AC$10,$W$5-1,0,1,1))),(1/AC13)/SUM(1/AC$10:OFFSET(AC$10,$W$5-1,0,1,1))),"")</f>
        <v>3.5068279827503594E-2</v>
      </c>
    </row>
    <row r="70" spans="1:29" ht="12.75" customHeight="1">
      <c r="A70" s="203"/>
      <c r="B70" s="197">
        <v>5</v>
      </c>
      <c r="C70" s="198" t="s">
        <v>31</v>
      </c>
      <c r="D70" s="202">
        <f ca="1">IF(AND(ISNUMBER($B70),ISNUMBER(D$5)),IF(D$7=1,(D14)/(SUM(D$10:OFFSET(D$10,$C$5-1,0,1,1))),(1/D14)/SUM(1/D$10:OFFSET(D$10,$C$5-1,0,1,1))),"")</f>
        <v>3.013619240799769E-2</v>
      </c>
      <c r="E70" s="202">
        <f ca="1">IF(AND(ISNUMBER($B70),ISNUMBER(E$5)),IF(E$7=1,(E14)/(SUM(E$10:OFFSET(E$10,$C$5-1,0,1,1))),(1/E14)/SUM(1/E$10:OFFSET(E$10,$C$5-1,0,1,1))),"")</f>
        <v>3.1883703884681161E-2</v>
      </c>
      <c r="F70" s="202">
        <f ca="1">IF(AND(ISNUMBER($B70),ISNUMBER(F$5)),IF(F$7=1,(F14)/(SUM(F$10:OFFSET(F$10,$C$5-1,0,1,1))),(1/F14)/SUM(1/F$10:OFFSET(F$10,$C$5-1,0,1,1))),"")</f>
        <v>4.1128965115310959E-2</v>
      </c>
      <c r="G70" s="202">
        <f ca="1">IF(AND(ISNUMBER($B70),ISNUMBER(G$5)),IF(G$7=1,(G14)/(SUM(G$10:OFFSET(G$10,$C$5-1,0,1,1))),(1/G14)/SUM(1/G$10:OFFSET(G$10,$C$5-1,0,1,1))),"")</f>
        <v>4.1023211747986718E-2</v>
      </c>
      <c r="H70" s="202">
        <f ca="1">IF(AND(ISNUMBER($B70),ISNUMBER(H$5)),IF(H$7=1,(H14)/(SUM(H$10:OFFSET(H$10,$C$5-1,0,1,1))),(1/H14)/SUM(1/H$10:OFFSET(H$10,$C$5-1,0,1,1))),"")</f>
        <v>3.4462401298797136E-2</v>
      </c>
      <c r="I70" s="202">
        <f ca="1">IF(AND(ISNUMBER($B70),ISNUMBER(I$5)),IF(I$7=1,(I14)/(SUM(I$10:OFFSET(I$10,$C$5-1,0,1,1))),(1/I14)/SUM(1/I$10:OFFSET(I$10,$C$5-1,0,1,1))),"")</f>
        <v>3.2258064516129024E-2</v>
      </c>
      <c r="J70" s="187"/>
      <c r="K70" s="203"/>
      <c r="L70" s="197">
        <v>5</v>
      </c>
      <c r="M70" s="198" t="s">
        <v>31</v>
      </c>
      <c r="N70" s="202">
        <f ca="1">IF(AND(ISNUMBER($L70),ISNUMBER(N$5)),IF(N$7=1,(N14)/(SUM(N$10:OFFSET(N$10,$M$5-1,0,1,1))),(1/N14)/SUM(1/N$10:OFFSET(N$10,$M$5-1,0,1,1))),"")</f>
        <v>3.1882970742685673E-2</v>
      </c>
      <c r="O70" s="202">
        <f ca="1">IF(AND(ISNUMBER($L70),ISNUMBER(O$5)),IF(O$7=1,(O14)/(SUM(O$10:OFFSET(O$10,$M$5-1,0,1,1))),(1/O14)/SUM(1/O$10:OFFSET(O$10,$M$5-1,0,1,1))),"")</f>
        <v>3.7756558006804962E-2</v>
      </c>
      <c r="P70" s="202">
        <f ca="1">IF(AND(ISNUMBER($L70),ISNUMBER(P$5)),IF(P$7=1,(P14)/(SUM(P$10:OFFSET(P$10,$M$5-1,0,1,1))),(1/P14)/SUM(1/P$10:OFFSET(P$10,$M$5-1,0,1,1))),"")</f>
        <v>3.8929889298892989E-2</v>
      </c>
      <c r="Q70" s="202">
        <f ca="1">IF(AND(ISNUMBER($L70),ISNUMBER(Q$5)),IF(Q$7=1,(Q14)/(SUM(Q$10:OFFSET(Q$10,$M$5-1,0,1,1))),(1/Q14)/SUM(1/Q$10:OFFSET(Q$10,$M$5-1,0,1,1))),"")</f>
        <v>3.9522615238259978E-2</v>
      </c>
      <c r="R70" s="202">
        <f ca="1">IF(AND(ISNUMBER($L70),ISNUMBER(R$5)),IF(R$7=1,(R14)/(SUM(R$10:OFFSET(R$10,$M$5-1,0,1,1))),(1/R14)/SUM(1/R$10:OFFSET(R$10,$M$5-1,0,1,1))),"")</f>
        <v>4.2140366833409132E-2</v>
      </c>
      <c r="S70" s="202">
        <f ca="1">IF(AND(ISNUMBER($L70),ISNUMBER(S$5)),IF(S$7=1,(S14)/(SUM(S$10:OFFSET(S$10,$M$5-1,0,1,1))),(1/S14)/SUM(1/S$10:OFFSET(S$10,$M$5-1,0,1,1))),"")</f>
        <v>3.0872322603805194E-2</v>
      </c>
      <c r="T70" s="187"/>
      <c r="U70" s="203"/>
      <c r="V70" s="197">
        <v>5</v>
      </c>
      <c r="W70" s="198" t="s">
        <v>31</v>
      </c>
      <c r="X70" s="202">
        <f ca="1">IF(AND(ISNUMBER($V70),ISNUMBER(X$5)),IF(X$7=1,(X14)/(SUM(X$10:OFFSET(X$10,$W$5-1,0,1,1))),(1/X14)/SUM(1/X$10:OFFSET(X$10,$W$5-1,0,1,1))),"")</f>
        <v>3.1022505590712283E-2</v>
      </c>
      <c r="Y70" s="202">
        <f ca="1">IF(AND(ISNUMBER($V70),ISNUMBER(Y$5)),IF(Y$7=1,(Y14)/(SUM(Y$10:OFFSET(Y$10,$W$5-1,0,1,1))),(1/Y14)/SUM(1/Y$10:OFFSET(Y$10,$W$5-1,0,1,1))),"")</f>
        <v>3.4977163670000574E-2</v>
      </c>
      <c r="Z70" s="202">
        <f ca="1">IF(AND(ISNUMBER($V70),ISNUMBER(Z$5)),IF(Z$7=1,(Z14)/(SUM(Z$10:OFFSET(Z$10,$W$5-1,0,1,1))),(1/Z14)/SUM(1/Z$10:OFFSET(Z$10,$W$5-1,0,1,1))),"")</f>
        <v>4.0085773051507581E-2</v>
      </c>
      <c r="AA70" s="202">
        <f ca="1">IF(AND(ISNUMBER($V70),ISNUMBER(AA$5)),IF(AA$7=1,(AA14)/(SUM(AA$10:OFFSET(AA$10,$W$5-1,0,1,1))),(1/AA14)/SUM(1/AA$10:OFFSET(AA$10,$W$5-1,0,1,1))),"")</f>
        <v>4.0238719594900094E-2</v>
      </c>
      <c r="AB70" s="202">
        <f ca="1">IF(AND(ISNUMBER($V70),ISNUMBER(AB$5)),IF(AB$7=1,(AB14)/(SUM(AB$10:OFFSET(AB$10,$W$5-1,0,1,1))),(1/AB14)/SUM(1/AB$10:OFFSET(AB$10,$W$5-1,0,1,1))),"")</f>
        <v>3.8250140213123958E-2</v>
      </c>
      <c r="AC70" s="202">
        <f ca="1">IF(AND(ISNUMBER($V70),ISNUMBER(AC$5)),IF(AC$7=1,(AC14)/(SUM(AC$10:OFFSET(AC$10,$W$5-1,0,1,1))),(1/AC14)/SUM(1/AC$10:OFFSET(AC$10,$W$5-1,0,1,1))),"")</f>
        <v>3.1564446574029709E-2</v>
      </c>
    </row>
    <row r="71" spans="1:29" ht="12.75" customHeight="1">
      <c r="A71" s="199"/>
      <c r="B71" s="197">
        <v>6</v>
      </c>
      <c r="C71" s="198" t="s">
        <v>32</v>
      </c>
      <c r="D71" s="202">
        <f ca="1">IF(AND(ISNUMBER($B71),ISNUMBER(D$5)),IF(D$7=1,(D15)/(SUM(D$10:OFFSET(D$10,$C$5-1,0,1,1))),(1/D15)/SUM(1/D$10:OFFSET(D$10,$C$5-1,0,1,1))),"")</f>
        <v>3.3420264657587184E-2</v>
      </c>
      <c r="E71" s="202">
        <f ca="1">IF(AND(ISNUMBER($B71),ISNUMBER(E$5)),IF(E$7=1,(E15)/(SUM(E$10:OFFSET(E$10,$C$5-1,0,1,1))),(1/E15)/SUM(1/E$10:OFFSET(E$10,$C$5-1,0,1,1))),"")</f>
        <v>1.6247251404837529E-2</v>
      </c>
      <c r="F71" s="202">
        <f ca="1">IF(AND(ISNUMBER($B71),ISNUMBER(F$5)),IF(F$7=1,(F15)/(SUM(F$10:OFFSET(F$10,$C$5-1,0,1,1))),(1/F15)/SUM(1/F$10:OFFSET(F$10,$C$5-1,0,1,1))),"")</f>
        <v>2.9972525185246852E-2</v>
      </c>
      <c r="G71" s="202">
        <f ca="1">IF(AND(ISNUMBER($B71),ISNUMBER(G$5)),IF(G$7=1,(G15)/(SUM(G$10:OFFSET(G$10,$C$5-1,0,1,1))),(1/G15)/SUM(1/G$10:OFFSET(G$10,$C$5-1,0,1,1))),"")</f>
        <v>3.72335386072951E-2</v>
      </c>
      <c r="H71" s="202">
        <f ca="1">IF(AND(ISNUMBER($B71),ISNUMBER(H$5)),IF(H$7=1,(H15)/(SUM(H$10:OFFSET(H$10,$C$5-1,0,1,1))),(1/H15)/SUM(1/H$10:OFFSET(H$10,$C$5-1,0,1,1))),"")</f>
        <v>3.3429267212751822E-2</v>
      </c>
      <c r="I71" s="202">
        <f ca="1">IF(AND(ISNUMBER($B71),ISNUMBER(I$5)),IF(I$7=1,(I15)/(SUM(I$10:OFFSET(I$10,$C$5-1,0,1,1))),(1/I15)/SUM(1/I$10:OFFSET(I$10,$C$5-1,0,1,1))),"")</f>
        <v>2.9919654634848299E-2</v>
      </c>
      <c r="J71" s="187"/>
      <c r="K71" s="199"/>
      <c r="L71" s="197">
        <v>6</v>
      </c>
      <c r="M71" s="198" t="s">
        <v>32</v>
      </c>
      <c r="N71" s="202">
        <f ca="1">IF(AND(ISNUMBER($L71),ISNUMBER(N$5)),IF(N$7=1,(N15)/(SUM(N$10:OFFSET(N$10,$M$5-1,0,1,1))),(1/N15)/SUM(1/N$10:OFFSET(N$10,$M$5-1,0,1,1))),"")</f>
        <v>2.8507126781695428E-2</v>
      </c>
      <c r="O71" s="202">
        <f ca="1">IF(AND(ISNUMBER($L71),ISNUMBER(O$5)),IF(O$7=1,(O15)/(SUM(O$10:OFFSET(O$10,$M$5-1,0,1,1))),(1/O15)/SUM(1/O$10:OFFSET(O$10,$M$5-1,0,1,1))),"")</f>
        <v>1.5256283613214797E-2</v>
      </c>
      <c r="P71" s="202">
        <f ca="1">IF(AND(ISNUMBER($L71),ISNUMBER(P$5)),IF(P$7=1,(P15)/(SUM(P$10:OFFSET(P$10,$M$5-1,0,1,1))),(1/P15)/SUM(1/P$10:OFFSET(P$10,$M$5-1,0,1,1))),"")</f>
        <v>3.3856088560885608E-2</v>
      </c>
      <c r="Q71" s="202">
        <f ca="1">IF(AND(ISNUMBER($L71),ISNUMBER(Q$5)),IF(Q$7=1,(Q15)/(SUM(Q$10:OFFSET(Q$10,$M$5-1,0,1,1))),(1/Q15)/SUM(1/Q$10:OFFSET(Q$10,$M$5-1,0,1,1))),"")</f>
        <v>3.6063305370578579E-2</v>
      </c>
      <c r="R71" s="202">
        <f ca="1">IF(AND(ISNUMBER($L71),ISNUMBER(R$5)),IF(R$7=1,(R15)/(SUM(R$10:OFFSET(R$10,$M$5-1,0,1,1))),(1/R15)/SUM(1/R$10:OFFSET(R$10,$M$5-1,0,1,1))),"")</f>
        <v>2.9483098378050632E-2</v>
      </c>
      <c r="S71" s="202">
        <f ca="1">IF(AND(ISNUMBER($L71),ISNUMBER(S$5)),IF(S$7=1,(S15)/(SUM(S$10:OFFSET(S$10,$M$5-1,0,1,1))),(1/S15)/SUM(1/S$10:OFFSET(S$10,$M$5-1,0,1,1))),"")</f>
        <v>3.0333851860715567E-2</v>
      </c>
      <c r="T71" s="187"/>
      <c r="U71" s="199"/>
      <c r="V71" s="197">
        <v>6</v>
      </c>
      <c r="W71" s="198" t="s">
        <v>32</v>
      </c>
      <c r="X71" s="202">
        <f ca="1">IF(AND(ISNUMBER($V71),ISNUMBER(X$5)),IF(X$7=1,(X15)/(SUM(X$10:OFFSET(X$10,$W$5-1,0,1,1))),(1/X15)/SUM(1/X$10:OFFSET(X$10,$W$5-1,0,1,1))),"")</f>
        <v>3.0927344530618073E-2</v>
      </c>
      <c r="Y71" s="202">
        <f ca="1">IF(AND(ISNUMBER($V71),ISNUMBER(Y$5)),IF(Y$7=1,(Y15)/(SUM(Y$10:OFFSET(Y$10,$W$5-1,0,1,1))),(1/Y15)/SUM(1/Y$10:OFFSET(Y$10,$W$5-1,0,1,1))),"")</f>
        <v>1.5725270278082907E-2</v>
      </c>
      <c r="Z71" s="202">
        <f ca="1">IF(AND(ISNUMBER($V71),ISNUMBER(Z$5)),IF(Z$7=1,(Z15)/(SUM(Z$10:OFFSET(Z$10,$W$5-1,0,1,1))),(1/Z15)/SUM(1/Z$10:OFFSET(Z$10,$W$5-1,0,1,1))),"")</f>
        <v>3.1814800227561155E-2</v>
      </c>
      <c r="AA71" s="202">
        <f ca="1">IF(AND(ISNUMBER($V71),ISNUMBER(AA$5)),IF(AA$7=1,(AA15)/(SUM(AA$10:OFFSET(AA$10,$W$5-1,0,1,1))),(1/AA15)/SUM(1/AA$10:OFFSET(AA$10,$W$5-1,0,1,1))),"")</f>
        <v>3.6621756035807952E-2</v>
      </c>
      <c r="AB71" s="202">
        <f ca="1">IF(AND(ISNUMBER($V71),ISNUMBER(AB$5)),IF(AB$7=1,(AB15)/(SUM(AB$10:OFFSET(AB$10,$W$5-1,0,1,1))),(1/AB15)/SUM(1/AB$10:OFFSET(AB$10,$W$5-1,0,1,1))),"")</f>
        <v>3.1482520097214431E-2</v>
      </c>
      <c r="AC71" s="202">
        <f ca="1">IF(AND(ISNUMBER($V71),ISNUMBER(AC$5)),IF(AC$7=1,(AC15)/(SUM(AC$10:OFFSET(AC$10,$W$5-1,0,1,1))),(1/AC15)/SUM(1/AC$10:OFFSET(AC$10,$W$5-1,0,1,1))),"")</f>
        <v>3.0126976521322471E-2</v>
      </c>
    </row>
    <row r="72" spans="1:29" ht="12.75" customHeight="1">
      <c r="A72" s="199"/>
      <c r="B72" s="197">
        <v>7</v>
      </c>
      <c r="C72" s="198" t="s">
        <v>33</v>
      </c>
      <c r="D72" s="202">
        <f ca="1">IF(AND(ISNUMBER($B72),ISNUMBER(D$5)),IF(D$7=1,(D16)/(SUM(D$10:OFFSET(D$10,$C$5-1,0,1,1))),(1/D16)/SUM(1/D$10:OFFSET(D$10,$C$5-1,0,1,1))),"")</f>
        <v>4.9357674104124422E-2</v>
      </c>
      <c r="E72" s="202">
        <f ca="1">IF(AND(ISNUMBER($B72),ISNUMBER(E$5)),IF(E$7=1,(E16)/(SUM(E$10:OFFSET(E$10,$C$5-1,0,1,1))),(1/E16)/SUM(1/E$10:OFFSET(E$10,$C$5-1,0,1,1))),"")</f>
        <v>6.2912289274370869E-2</v>
      </c>
      <c r="F72" s="202">
        <f ca="1">IF(AND(ISNUMBER($B72),ISNUMBER(F$5)),IF(F$7=1,(F16)/(SUM(F$10:OFFSET(F$10,$C$5-1,0,1,1))),(1/F16)/SUM(1/F$10:OFFSET(F$10,$C$5-1,0,1,1))),"")</f>
        <v>3.6466572308717006E-2</v>
      </c>
      <c r="G72" s="202">
        <f ca="1">IF(AND(ISNUMBER($B72),ISNUMBER(G$5)),IF(G$7=1,(G16)/(SUM(G$10:OFFSET(G$10,$C$5-1,0,1,1))),(1/G16)/SUM(1/G$10:OFFSET(G$10,$C$5-1,0,1,1))),"")</f>
        <v>2.207484604452865E-2</v>
      </c>
      <c r="H72" s="202">
        <f ca="1">IF(AND(ISNUMBER($B72),ISNUMBER(H$5)),IF(H$7=1,(H16)/(SUM(H$10:OFFSET(H$10,$C$5-1,0,1,1))),(1/H16)/SUM(1/H$10:OFFSET(H$10,$C$5-1,0,1,1))),"")</f>
        <v>4.9811822005756026E-2</v>
      </c>
      <c r="I72" s="202">
        <f ca="1">IF(AND(ISNUMBER($B72),ISNUMBER(I$5)),IF(I$7=1,(I16)/(SUM(I$10:OFFSET(I$10,$C$5-1,0,1,1))),(1/I16)/SUM(1/I$10:OFFSET(I$10,$C$5-1,0,1,1))),"")</f>
        <v>3.1178798417076384E-2</v>
      </c>
      <c r="J72" s="187"/>
      <c r="K72" s="199"/>
      <c r="L72" s="197">
        <v>7</v>
      </c>
      <c r="M72" s="198" t="s">
        <v>33</v>
      </c>
      <c r="N72" s="202">
        <f ca="1">IF(AND(ISNUMBER($L72),ISNUMBER(N$5)),IF(N$7=1,(N16)/(SUM(N$10:OFFSET(N$10,$M$5-1,0,1,1))),(1/N16)/SUM(1/N$10:OFFSET(N$10,$M$5-1,0,1,1))),"")</f>
        <v>5.1762940735183803E-2</v>
      </c>
      <c r="O72" s="202">
        <f ca="1">IF(AND(ISNUMBER($L72),ISNUMBER(O$5)),IF(O$7=1,(O16)/(SUM(O$10:OFFSET(O$10,$M$5-1,0,1,1))),(1/O16)/SUM(1/O$10:OFFSET(O$10,$M$5-1,0,1,1))),"")</f>
        <v>7.1452090879157062E-2</v>
      </c>
      <c r="P72" s="202">
        <f ca="1">IF(AND(ISNUMBER($L72),ISNUMBER(P$5)),IF(P$7=1,(P16)/(SUM(P$10:OFFSET(P$10,$M$5-1,0,1,1))),(1/P16)/SUM(1/P$10:OFFSET(P$10,$M$5-1,0,1,1))),"")</f>
        <v>4.2527675276752767E-2</v>
      </c>
      <c r="Q72" s="202">
        <f ca="1">IF(AND(ISNUMBER($L72),ISNUMBER(Q$5)),IF(Q$7=1,(Q16)/(SUM(Q$10:OFFSET(Q$10,$M$5-1,0,1,1))),(1/Q16)/SUM(1/Q$10:OFFSET(Q$10,$M$5-1,0,1,1))),"")</f>
        <v>2.9144685635215783E-2</v>
      </c>
      <c r="R72" s="202">
        <f ca="1">IF(AND(ISNUMBER($L72),ISNUMBER(R$5)),IF(R$7=1,(R16)/(SUM(R$10:OFFSET(R$10,$M$5-1,0,1,1))),(1/R16)/SUM(1/R$10:OFFSET(R$10,$M$5-1,0,1,1))),"")</f>
        <v>4.843110504774898E-2</v>
      </c>
      <c r="S72" s="202">
        <f ca="1">IF(AND(ISNUMBER($L72),ISNUMBER(S$5)),IF(S$7=1,(S16)/(SUM(S$10:OFFSET(S$10,$M$5-1,0,1,1))),(1/S16)/SUM(1/S$10:OFFSET(S$10,$M$5-1,0,1,1))),"")</f>
        <v>3.0872322603805194E-2</v>
      </c>
      <c r="T72" s="187"/>
      <c r="U72" s="199"/>
      <c r="V72" s="197">
        <v>7</v>
      </c>
      <c r="W72" s="198" t="s">
        <v>33</v>
      </c>
      <c r="X72" s="202">
        <f ca="1">IF(AND(ISNUMBER($V72),ISNUMBER(X$5)),IF(X$7=1,(X16)/(SUM(X$10:OFFSET(X$10,$W$5-1,0,1,1))),(1/X16)/SUM(1/X$10:OFFSET(X$10,$W$5-1,0,1,1))),"")</f>
        <v>5.0578103440072332E-2</v>
      </c>
      <c r="Y72" s="202">
        <f ca="1">IF(AND(ISNUMBER($V72),ISNUMBER(Y$5)),IF(Y$7=1,(Y16)/(SUM(Y$10:OFFSET(Y$10,$W$5-1,0,1,1))),(1/Y16)/SUM(1/Y$10:OFFSET(Y$10,$W$5-1,0,1,1))),"")</f>
        <v>6.741053361854657E-2</v>
      </c>
      <c r="Z72" s="202">
        <f ca="1">IF(AND(ISNUMBER($V72),ISNUMBER(Z$5)),IF(Z$7=1,(Z16)/(SUM(Z$10:OFFSET(Z$10,$W$5-1,0,1,1))),(1/Z16)/SUM(1/Z$10:OFFSET(Z$10,$W$5-1,0,1,1))),"")</f>
        <v>3.9341823114962142E-2</v>
      </c>
      <c r="AA72" s="202">
        <f ca="1">IF(AND(ISNUMBER($V72),ISNUMBER(AA$5)),IF(AA$7=1,(AA16)/(SUM(AA$10:OFFSET(AA$10,$W$5-1,0,1,1))),(1/AA16)/SUM(1/AA$10:OFFSET(AA$10,$W$5-1,0,1,1))),"")</f>
        <v>2.5770865358531521E-2</v>
      </c>
      <c r="AB72" s="202">
        <f ca="1">IF(AND(ISNUMBER($V72),ISNUMBER(AB$5)),IF(AB$7=1,(AB16)/(SUM(AB$10:OFFSET(AB$10,$W$5-1,0,1,1))),(1/AB16)/SUM(1/AB$10:OFFSET(AB$10,$W$5-1,0,1,1))),"")</f>
        <v>4.9130678631519924E-2</v>
      </c>
      <c r="AC72" s="202">
        <f ca="1">IF(AND(ISNUMBER($V72),ISNUMBER(AC$5)),IF(AC$7=1,(AC16)/(SUM(AC$10:OFFSET(AC$10,$W$5-1,0,1,1))),(1/AC16)/SUM(1/AC$10:OFFSET(AC$10,$W$5-1,0,1,1))),"")</f>
        <v>3.1025395304264493E-2</v>
      </c>
    </row>
    <row r="73" spans="1:29" ht="12.75" customHeight="1">
      <c r="A73" s="199"/>
      <c r="B73" s="197">
        <v>8</v>
      </c>
      <c r="C73" s="198" t="s">
        <v>34</v>
      </c>
      <c r="D73" s="202">
        <f ca="1">IF(AND(ISNUMBER($B73),ISNUMBER(D$5)),IF(D$7=1,(D17)/(SUM(D$10:OFFSET(D$10,$C$5-1,0,1,1))),(1/D17)/SUM(1/D$10:OFFSET(D$10,$C$5-1,0,1,1))),"")</f>
        <v>3.206799961363857E-2</v>
      </c>
      <c r="E73" s="202">
        <f ca="1">IF(AND(ISNUMBER($B73),ISNUMBER(E$5)),IF(E$7=1,(E17)/(SUM(E$10:OFFSET(E$10,$C$5-1,0,1,1))),(1/E17)/SUM(1/E$10:OFFSET(E$10,$C$5-1,0,1,1))),"")</f>
        <v>3.933545076960665E-2</v>
      </c>
      <c r="F73" s="202">
        <f ca="1">IF(AND(ISNUMBER($B73),ISNUMBER(F$5)),IF(F$7=1,(F17)/(SUM(F$10:OFFSET(F$10,$C$5-1,0,1,1))),(1/F17)/SUM(1/F$10:OFFSET(F$10,$C$5-1,0,1,1))),"")</f>
        <v>3.7299142452751635E-2</v>
      </c>
      <c r="G73" s="202">
        <f ca="1">IF(AND(ISNUMBER($B73),ISNUMBER(G$5)),IF(G$7=1,(G17)/(SUM(G$10:OFFSET(G$10,$C$5-1,0,1,1))),(1/G17)/SUM(1/G$10:OFFSET(G$10,$C$5-1,0,1,1))),"")</f>
        <v>4.5002368545712913E-2</v>
      </c>
      <c r="H73" s="202">
        <f ca="1">IF(AND(ISNUMBER($B73),ISNUMBER(H$5)),IF(H$7=1,(H17)/(SUM(H$10:OFFSET(H$10,$C$5-1,0,1,1))),(1/H17)/SUM(1/H$10:OFFSET(H$10,$C$5-1,0,1,1))),"")</f>
        <v>3.4609991882517892E-2</v>
      </c>
      <c r="I73" s="202">
        <f ca="1">IF(AND(ISNUMBER($B73),ISNUMBER(I$5)),IF(I$7=1,(I17)/(SUM(I$10:OFFSET(I$10,$C$5-1,0,1,1))),(1/I17)/SUM(1/I$10:OFFSET(I$10,$C$5-1,0,1,1))),"")</f>
        <v>4.8387096774193547E-2</v>
      </c>
      <c r="J73" s="187"/>
      <c r="K73" s="199"/>
      <c r="L73" s="197">
        <v>8</v>
      </c>
      <c r="M73" s="198" t="s">
        <v>34</v>
      </c>
      <c r="N73" s="202">
        <f ca="1">IF(AND(ISNUMBER($L73),ISNUMBER(N$5)),IF(N$7=1,(N17)/(SUM(N$10:OFFSET(N$10,$M$5-1,0,1,1))),(1/N17)/SUM(1/N$10:OFFSET(N$10,$M$5-1,0,1,1))),"")</f>
        <v>3.7509377344336091E-2</v>
      </c>
      <c r="O73" s="202">
        <f ca="1">IF(AND(ISNUMBER($L73),ISNUMBER(O$5)),IF(O$7=1,(O17)/(SUM(O$10:OFFSET(O$10,$M$5-1,0,1,1))),(1/O17)/SUM(1/O$10:OFFSET(O$10,$M$5-1,0,1,1))),"")</f>
        <v>3.995170672813083E-2</v>
      </c>
      <c r="P73" s="202">
        <f ca="1">IF(AND(ISNUMBER($L73),ISNUMBER(P$5)),IF(P$7=1,(P17)/(SUM(P$10:OFFSET(P$10,$M$5-1,0,1,1))),(1/P17)/SUM(1/P$10:OFFSET(P$10,$M$5-1,0,1,1))),"")</f>
        <v>4.4188191881918817E-2</v>
      </c>
      <c r="Q73" s="202">
        <f ca="1">IF(AND(ISNUMBER($L73),ISNUMBER(Q$5)),IF(Q$7=1,(Q17)/(SUM(Q$10:OFFSET(Q$10,$M$5-1,0,1,1))),(1/Q17)/SUM(1/Q$10:OFFSET(Q$10,$M$5-1,0,1,1))),"")</f>
        <v>4.5143993773242248E-2</v>
      </c>
      <c r="R73" s="202">
        <f ca="1">IF(AND(ISNUMBER($L73),ISNUMBER(R$5)),IF(R$7=1,(R17)/(SUM(R$10:OFFSET(R$10,$M$5-1,0,1,1))),(1/R17)/SUM(1/R$10:OFFSET(R$10,$M$5-1,0,1,1))),"")</f>
        <v>2.6072457177504928E-2</v>
      </c>
      <c r="S73" s="202">
        <f ca="1">IF(AND(ISNUMBER($L73),ISNUMBER(S$5)),IF(S$7=1,(S17)/(SUM(S$10:OFFSET(S$10,$M$5-1,0,1,1))),(1/S17)/SUM(1/S$10:OFFSET(S$10,$M$5-1,0,1,1))),"")</f>
        <v>4.7804235969845642E-2</v>
      </c>
      <c r="T73" s="187"/>
      <c r="U73" s="199"/>
      <c r="V73" s="197">
        <v>8</v>
      </c>
      <c r="W73" s="198" t="s">
        <v>34</v>
      </c>
      <c r="X73" s="202">
        <f ca="1">IF(AND(ISNUMBER($V73),ISNUMBER(X$5)),IF(X$7=1,(X17)/(SUM(X$10:OFFSET(X$10,$W$5-1,0,1,1))),(1/X17)/SUM(1/X$10:OFFSET(X$10,$W$5-1,0,1,1))),"")</f>
        <v>3.4828947994480663E-2</v>
      </c>
      <c r="Y73" s="202">
        <f ca="1">IF(AND(ISNUMBER($V73),ISNUMBER(Y$5)),IF(Y$7=1,(Y17)/(SUM(Y$10:OFFSET(Y$10,$W$5-1,0,1,1))),(1/Y17)/SUM(1/Y$10:OFFSET(Y$10,$W$5-1,0,1,1))),"")</f>
        <v>3.9660056657223788E-2</v>
      </c>
      <c r="Z73" s="202">
        <f ca="1">IF(AND(ISNUMBER($V73),ISNUMBER(Z$5)),IF(Z$7=1,(Z17)/(SUM(Z$10:OFFSET(Z$10,$W$5-1,0,1,1))),(1/Z17)/SUM(1/Z$10:OFFSET(Z$10,$W$5-1,0,1,1))),"")</f>
        <v>4.0567152422213461E-2</v>
      </c>
      <c r="AA73" s="202">
        <f ca="1">IF(AND(ISNUMBER($V73),ISNUMBER(AA$5)),IF(AA$7=1,(AA17)/(SUM(AA$10:OFFSET(AA$10,$W$5-1,0,1,1))),(1/AA17)/SUM(1/AA$10:OFFSET(AA$10,$W$5-1,0,1,1))),"")</f>
        <v>4.5076408355185837E-2</v>
      </c>
      <c r="AB73" s="202">
        <f ca="1">IF(AND(ISNUMBER($V73),ISNUMBER(AB$5)),IF(AB$7=1,(AB17)/(SUM(AB$10:OFFSET(AB$10,$W$5-1,0,1,1))),(1/AB17)/SUM(1/AB$10:OFFSET(AB$10,$W$5-1,0,1,1))),"")</f>
        <v>3.0398205272013465E-2</v>
      </c>
      <c r="AC73" s="202">
        <f ca="1">IF(AND(ISNUMBER($V73),ISNUMBER(AC$5)),IF(AC$7=1,(AC17)/(SUM(AC$10:OFFSET(AC$10,$W$5-1,0,1,1))),(1/AC17)/SUM(1/AC$10:OFFSET(AC$10,$W$5-1,0,1,1))),"")</f>
        <v>4.809535218016292E-2</v>
      </c>
    </row>
    <row r="74" spans="1:29" ht="12.75" customHeight="1">
      <c r="A74" s="199"/>
      <c r="B74" s="197">
        <v>9</v>
      </c>
      <c r="C74" s="198" t="s">
        <v>35</v>
      </c>
      <c r="D74" s="202">
        <f ca="1">IF(AND(ISNUMBER($B74),ISNUMBER(D$5)),IF(D$7=1,(D18)/(SUM(D$10:OFFSET(D$10,$C$5-1,0,1,1))),(1/D18)/SUM(1/D$10:OFFSET(D$10,$C$5-1,0,1,1))),"")</f>
        <v>4.0181589877330254E-2</v>
      </c>
      <c r="E74" s="202">
        <f ca="1">IF(AND(ISNUMBER($B74),ISNUMBER(E$5)),IF(E$7=1,(E18)/(SUM(E$10:OFFSET(E$10,$C$5-1,0,1,1))),(1/E18)/SUM(1/E$10:OFFSET(E$10,$C$5-1,0,1,1))),"")</f>
        <v>5.2895186904471043E-2</v>
      </c>
      <c r="F74" s="202">
        <f ca="1">IF(AND(ISNUMBER($B74),ISNUMBER(F$5)),IF(F$7=1,(F18)/(SUM(F$10:OFFSET(F$10,$C$5-1,0,1,1))),(1/F18)/SUM(1/F$10:OFFSET(F$10,$C$5-1,0,1,1))),"")</f>
        <v>4.3793189576221796E-2</v>
      </c>
      <c r="G74" s="202">
        <f ca="1">IF(AND(ISNUMBER($B74),ISNUMBER(G$5)),IF(G$7=1,(G18)/(SUM(G$10:OFFSET(G$10,$C$5-1,0,1,1))),(1/G18)/SUM(1/G$10:OFFSET(G$10,$C$5-1,0,1,1))),"")</f>
        <v>5.0023685457129298E-2</v>
      </c>
      <c r="H74" s="202">
        <f ca="1">IF(AND(ISNUMBER($B74),ISNUMBER(H$5)),IF(H$7=1,(H18)/(SUM(H$10:OFFSET(H$10,$C$5-1,0,1,1))),(1/H18)/SUM(1/H$10:OFFSET(H$10,$C$5-1,0,1,1))),"")</f>
        <v>3.2027156667404619E-2</v>
      </c>
      <c r="I74" s="202">
        <f ca="1">IF(AND(ISNUMBER($B74),ISNUMBER(I$5)),IF(I$7=1,(I18)/(SUM(I$10:OFFSET(I$10,$C$5-1,0,1,1))),(1/I18)/SUM(1/I$10:OFFSET(I$10,$C$5-1,0,1,1))),"")</f>
        <v>4.2211296318503413E-2</v>
      </c>
      <c r="J74" s="187"/>
      <c r="K74" s="199"/>
      <c r="L74" s="197">
        <v>9</v>
      </c>
      <c r="M74" s="198" t="s">
        <v>35</v>
      </c>
      <c r="N74" s="202">
        <f ca="1">IF(AND(ISNUMBER($L74),ISNUMBER(N$5)),IF(N$7=1,(N18)/(SUM(N$10:OFFSET(N$10,$M$5-1,0,1,1))),(1/N18)/SUM(1/N$10:OFFSET(N$10,$M$5-1,0,1,1))),"")</f>
        <v>3.9009752438109536E-2</v>
      </c>
      <c r="O74" s="202">
        <f ca="1">IF(AND(ISNUMBER($L74),ISNUMBER(O$5)),IF(O$7=1,(O18)/(SUM(O$10:OFFSET(O$10,$M$5-1,0,1,1))),(1/O18)/SUM(1/O$10:OFFSET(O$10,$M$5-1,0,1,1))),"")</f>
        <v>5.1256722642959066E-2</v>
      </c>
      <c r="P74" s="202">
        <f ca="1">IF(AND(ISNUMBER($L74),ISNUMBER(P$5)),IF(P$7=1,(P18)/(SUM(P$10:OFFSET(P$10,$M$5-1,0,1,1))),(1/P18)/SUM(1/P$10:OFFSET(P$10,$M$5-1,0,1,1))),"")</f>
        <v>4.0959409594095941E-2</v>
      </c>
      <c r="Q74" s="202">
        <f ca="1">IF(AND(ISNUMBER($L74),ISNUMBER(Q$5)),IF(Q$7=1,(Q18)/(SUM(Q$10:OFFSET(Q$10,$M$5-1,0,1,1))),(1/Q18)/SUM(1/Q$10:OFFSET(Q$10,$M$5-1,0,1,1))),"")</f>
        <v>4.77384761740033E-2</v>
      </c>
      <c r="R74" s="202">
        <f ca="1">IF(AND(ISNUMBER($L74),ISNUMBER(R$5)),IF(R$7=1,(R18)/(SUM(R$10:OFFSET(R$10,$M$5-1,0,1,1))),(1/R18)/SUM(1/R$10:OFFSET(R$10,$M$5-1,0,1,1))),"")</f>
        <v>2.3419736243747158E-2</v>
      </c>
      <c r="S74" s="202">
        <f ca="1">IF(AND(ISNUMBER($L74),ISNUMBER(S$5)),IF(S$7=1,(S18)/(SUM(S$10:OFFSET(S$10,$M$5-1,0,1,1))),(1/S18)/SUM(1/S$10:OFFSET(S$10,$M$5-1,0,1,1))),"")</f>
        <v>3.8410913007059948E-2</v>
      </c>
      <c r="T74" s="187"/>
      <c r="U74" s="199"/>
      <c r="V74" s="197">
        <v>9</v>
      </c>
      <c r="W74" s="198" t="s">
        <v>35</v>
      </c>
      <c r="X74" s="202">
        <f ca="1">IF(AND(ISNUMBER($V74),ISNUMBER(X$5)),IF(X$7=1,(X18)/(SUM(X$10:OFFSET(X$10,$W$5-1,0,1,1))),(1/X18)/SUM(1/X$10:OFFSET(X$10,$W$5-1,0,1,1))),"")</f>
        <v>3.9587000999191137E-2</v>
      </c>
      <c r="Y74" s="202">
        <f ca="1">IF(AND(ISNUMBER($V74),ISNUMBER(Y$5)),IF(Y$7=1,(Y18)/(SUM(Y$10:OFFSET(Y$10,$W$5-1,0,1,1))),(1/Y18)/SUM(1/Y$10:OFFSET(Y$10,$W$5-1,0,1,1))),"")</f>
        <v>5.2032144302480196E-2</v>
      </c>
      <c r="Z74" s="202">
        <f ca="1">IF(AND(ISNUMBER($V74),ISNUMBER(Z$5)),IF(Z$7=1,(Z18)/(SUM(Z$10:OFFSET(Z$10,$W$5-1,0,1,1))),(1/Z18)/SUM(1/Z$10:OFFSET(Z$10,$W$5-1,0,1,1))),"")</f>
        <v>4.2448908144063713E-2</v>
      </c>
      <c r="AA74" s="202">
        <f ca="1">IF(AND(ISNUMBER($V74),ISNUMBER(AA$5)),IF(AA$7=1,(AA18)/(SUM(AA$10:OFFSET(AA$10,$W$5-1,0,1,1))),(1/AA18)/SUM(1/AA$10:OFFSET(AA$10,$W$5-1,0,1,1))),"")</f>
        <v>4.8829008047743934E-2</v>
      </c>
      <c r="AB74" s="202">
        <f ca="1">IF(AND(ISNUMBER($V74),ISNUMBER(AB$5)),IF(AB$7=1,(AB18)/(SUM(AB$10:OFFSET(AB$10,$W$5-1,0,1,1))),(1/AB18)/SUM(1/AB$10:OFFSET(AB$10,$W$5-1,0,1,1))),"")</f>
        <v>2.7780893624976634E-2</v>
      </c>
      <c r="AC74" s="202">
        <f ca="1">IF(AND(ISNUMBER($V74),ISNUMBER(AC$5)),IF(AC$7=1,(AC18)/(SUM(AC$10:OFFSET(AC$10,$W$5-1,0,1,1))),(1/AC18)/SUM(1/AC$10:OFFSET(AC$10,$W$5-1,0,1,1))),"")</f>
        <v>4.0309056061332067E-2</v>
      </c>
    </row>
    <row r="75" spans="1:29" ht="12.75" customHeight="1">
      <c r="A75" s="199"/>
      <c r="B75" s="197">
        <v>10</v>
      </c>
      <c r="C75" s="198" t="s">
        <v>36</v>
      </c>
      <c r="D75" s="202">
        <f ca="1">IF(AND(ISNUMBER($B75),ISNUMBER(D$5)),IF(D$7=1,(D19)/(SUM(D$10:OFFSET(D$10,$C$5-1,0,1,1))),(1/D19)/SUM(1/D$10:OFFSET(D$10,$C$5-1,0,1,1))),"")</f>
        <v>5.3124698155124134E-2</v>
      </c>
      <c r="E75" s="202">
        <f ca="1">IF(AND(ISNUMBER($B75),ISNUMBER(E$5)),IF(E$7=1,(E19)/(SUM(E$10:OFFSET(E$10,$C$5-1,0,1,1))),(1/E19)/SUM(1/E$10:OFFSET(E$10,$C$5-1,0,1,1))),"")</f>
        <v>2.736379183972636E-2</v>
      </c>
      <c r="F75" s="202">
        <f ca="1">IF(AND(ISNUMBER($B75),ISNUMBER(F$5)),IF(F$7=1,(F19)/(SUM(F$10:OFFSET(F$10,$C$5-1,0,1,1))),(1/F19)/SUM(1/F$10:OFFSET(F$10,$C$5-1,0,1,1))),"")</f>
        <v>3.3053034718175008E-2</v>
      </c>
      <c r="G75" s="202">
        <f ca="1">IF(AND(ISNUMBER($B75),ISNUMBER(G$5)),IF(G$7=1,(G19)/(SUM(G$10:OFFSET(G$10,$C$5-1,0,1,1))),(1/G19)/SUM(1/G$10:OFFSET(G$10,$C$5-1,0,1,1))),"")</f>
        <v>3.0601610611084778E-2</v>
      </c>
      <c r="H75" s="202">
        <f ca="1">IF(AND(ISNUMBER($B75),ISNUMBER(H$5)),IF(H$7=1,(H19)/(SUM(H$10:OFFSET(H$10,$C$5-1,0,1,1))),(1/H19)/SUM(1/H$10:OFFSET(H$10,$C$5-1,0,1,1))),"")</f>
        <v>4.3317836322042655E-2</v>
      </c>
      <c r="I75" s="202">
        <f ca="1">IF(AND(ISNUMBER($B75),ISNUMBER(I$5)),IF(I$7=1,(I19)/(SUM(I$10:OFFSET(I$10,$C$5-1,0,1,1))),(1/I19)/SUM(1/I$10:OFFSET(I$10,$C$5-1,0,1,1))),"")</f>
        <v>3.6275332773713871E-2</v>
      </c>
      <c r="J75" s="187"/>
      <c r="K75" s="199"/>
      <c r="L75" s="197">
        <v>10</v>
      </c>
      <c r="M75" s="198" t="s">
        <v>36</v>
      </c>
      <c r="N75" s="202">
        <f ca="1">IF(AND(ISNUMBER($L75),ISNUMBER(N$5)),IF(N$7=1,(N19)/(SUM(N$10:OFFSET(N$10,$M$5-1,0,1,1))),(1/N19)/SUM(1/N$10:OFFSET(N$10,$M$5-1,0,1,1))),"")</f>
        <v>5.1481620405101278E-2</v>
      </c>
      <c r="O75" s="202">
        <f ca="1">IF(AND(ISNUMBER($L75),ISNUMBER(O$5)),IF(O$7=1,(O19)/(SUM(O$10:OFFSET(O$10,$M$5-1,0,1,1))),(1/O19)/SUM(1/O$10:OFFSET(O$10,$M$5-1,0,1,1))),"")</f>
        <v>3.20491713313577E-2</v>
      </c>
      <c r="P75" s="202">
        <f ca="1">IF(AND(ISNUMBER($L75),ISNUMBER(P$5)),IF(P$7=1,(P19)/(SUM(P$10:OFFSET(P$10,$M$5-1,0,1,1))),(1/P19)/SUM(1/P$10:OFFSET(P$10,$M$5-1,0,1,1))),"")</f>
        <v>3.3671586715867161E-2</v>
      </c>
      <c r="Q75" s="202">
        <f ca="1">IF(AND(ISNUMBER($L75),ISNUMBER(Q$5)),IF(Q$7=1,(Q19)/(SUM(Q$10:OFFSET(Q$10,$M$5-1,0,1,1))),(1/Q19)/SUM(1/Q$10:OFFSET(Q$10,$M$5-1,0,1,1))),"")</f>
        <v>2.9923030355444098E-2</v>
      </c>
      <c r="R75" s="202">
        <f ca="1">IF(AND(ISNUMBER($L75),ISNUMBER(R$5)),IF(R$7=1,(R19)/(SUM(R$10:OFFSET(R$10,$M$5-1,0,1,1))),(1/R19)/SUM(1/R$10:OFFSET(R$10,$M$5-1,0,1,1))),"")</f>
        <v>4.4489919660451724E-2</v>
      </c>
      <c r="S75" s="202">
        <f ca="1">IF(AND(ISNUMBER($L75),ISNUMBER(S$5)),IF(S$7=1,(S19)/(SUM(S$10:OFFSET(S$10,$M$5-1,0,1,1))),(1/S19)/SUM(1/S$10:OFFSET(S$10,$M$5-1,0,1,1))),"")</f>
        <v>3.7633121933708269E-2</v>
      </c>
      <c r="T75" s="187"/>
      <c r="U75" s="199"/>
      <c r="V75" s="197">
        <v>10</v>
      </c>
      <c r="W75" s="198" t="s">
        <v>36</v>
      </c>
      <c r="X75" s="202">
        <f ca="1">IF(AND(ISNUMBER($V75),ISNUMBER(X$5)),IF(X$7=1,(X19)/(SUM(X$10:OFFSET(X$10,$W$5-1,0,1,1))),(1/X19)/SUM(1/X$10:OFFSET(X$10,$W$5-1,0,1,1))),"")</f>
        <v>5.2291002521768097E-2</v>
      </c>
      <c r="Y75" s="202">
        <f ca="1">IF(AND(ISNUMBER($V75),ISNUMBER(Y$5)),IF(Y$7=1,(Y19)/(SUM(Y$10:OFFSET(Y$10,$W$5-1,0,1,1))),(1/Y19)/SUM(1/Y$10:OFFSET(Y$10,$W$5-1,0,1,1))),"")</f>
        <v>2.9831762733421977E-2</v>
      </c>
      <c r="Z75" s="202">
        <f ca="1">IF(AND(ISNUMBER($V75),ISNUMBER(Z$5)),IF(Z$7=1,(Z19)/(SUM(Z$10:OFFSET(Z$10,$W$5-1,0,1,1))),(1/Z19)/SUM(1/Z$10:OFFSET(Z$10,$W$5-1,0,1,1))),"")</f>
        <v>3.3346461861625307E-2</v>
      </c>
      <c r="AA75" s="202">
        <f ca="1">IF(AND(ISNUMBER($V75),ISNUMBER(AA$5)),IF(AA$7=1,(AA19)/(SUM(AA$10:OFFSET(AA$10,$W$5-1,0,1,1))),(1/AA19)/SUM(1/AA$10:OFFSET(AA$10,$W$5-1,0,1,1))),"")</f>
        <v>3.0246857762908051E-2</v>
      </c>
      <c r="AB75" s="202">
        <f ca="1">IF(AND(ISNUMBER($V75),ISNUMBER(AB$5)),IF(AB$7=1,(AB19)/(SUM(AB$10:OFFSET(AB$10,$W$5-1,0,1,1))),(1/AB19)/SUM(1/AB$10:OFFSET(AB$10,$W$5-1,0,1,1))),"")</f>
        <v>4.3896055337446262E-2</v>
      </c>
      <c r="AC75" s="202">
        <f ca="1">IF(AND(ISNUMBER($V75),ISNUMBER(AC$5)),IF(AC$7=1,(AC19)/(SUM(AC$10:OFFSET(AC$10,$W$5-1,0,1,1))),(1/AC19)/SUM(1/AC$10:OFFSET(AC$10,$W$5-1,0,1,1))),"")</f>
        <v>3.6954959271681846E-2</v>
      </c>
    </row>
    <row r="76" spans="1:29" ht="12.75" customHeight="1">
      <c r="A76" s="199"/>
      <c r="B76" s="197">
        <v>11</v>
      </c>
      <c r="C76" s="198" t="s">
        <v>37</v>
      </c>
      <c r="D76" s="202">
        <f ca="1">IF(AND(ISNUMBER($B76),ISNUMBER(D$5)),IF(D$7=1,(D20)/(SUM(D$10:OFFSET(D$10,$C$5-1,0,1,1))),(1/D20)/SUM(1/D$10:OFFSET(D$10,$C$5-1,0,1,1))),"")</f>
        <v>2.6562349077562067E-2</v>
      </c>
      <c r="E76" s="202">
        <f ca="1">IF(AND(ISNUMBER($B76),ISNUMBER(E$5)),IF(E$7=1,(E20)/(SUM(E$10:OFFSET(E$10,$C$5-1,0,1,1))),(1/E20)/SUM(1/E$10:OFFSET(E$10,$C$5-1,0,1,1))),"")</f>
        <v>3.2616662594673829E-2</v>
      </c>
      <c r="F76" s="202">
        <f ca="1">IF(AND(ISNUMBER($B76),ISNUMBER(F$5)),IF(F$7=1,(F20)/(SUM(F$10:OFFSET(F$10,$C$5-1,0,1,1))),(1/F20)/SUM(1/F$10:OFFSET(F$10,$C$5-1,0,1,1))),"")</f>
        <v>3.0388810257264171E-2</v>
      </c>
      <c r="G76" s="202">
        <f ca="1">IF(AND(ISNUMBER($B76),ISNUMBER(G$5)),IF(G$7=1,(G20)/(SUM(G$10:OFFSET(G$10,$C$5-1,0,1,1))),(1/G20)/SUM(1/G$10:OFFSET(G$10,$C$5-1,0,1,1))),"")</f>
        <v>3.8370440549502588E-2</v>
      </c>
      <c r="H76" s="202">
        <f ca="1">IF(AND(ISNUMBER($B76),ISNUMBER(H$5)),IF(H$7=1,(H20)/(SUM(H$10:OFFSET(H$10,$C$5-1,0,1,1))),(1/H20)/SUM(1/H$10:OFFSET(H$10,$C$5-1,0,1,1))),"")</f>
        <v>4.9442845546454131E-2</v>
      </c>
      <c r="I76" s="202">
        <f ca="1">IF(AND(ISNUMBER($B76),ISNUMBER(I$5)),IF(I$7=1,(I20)/(SUM(I$10:OFFSET(I$10,$C$5-1,0,1,1))),(1/I20)/SUM(1/I$10:OFFSET(I$10,$C$5-1,0,1,1))),"")</f>
        <v>3.6035495862813287E-2</v>
      </c>
      <c r="J76" s="187"/>
      <c r="K76" s="199"/>
      <c r="L76" s="197">
        <v>11</v>
      </c>
      <c r="M76" s="198" t="s">
        <v>37</v>
      </c>
      <c r="N76" s="202">
        <f ca="1">IF(AND(ISNUMBER($L76),ISNUMBER(N$5)),IF(N$7=1,(N20)/(SUM(N$10:OFFSET(N$10,$M$5-1,0,1,1))),(1/N20)/SUM(1/N$10:OFFSET(N$10,$M$5-1,0,1,1))),"")</f>
        <v>2.6069017254313584E-2</v>
      </c>
      <c r="O76" s="202">
        <f ca="1">IF(AND(ISNUMBER($L76),ISNUMBER(O$5)),IF(O$7=1,(O20)/(SUM(O$10:OFFSET(O$10,$M$5-1,0,1,1))),(1/O20)/SUM(1/O$10:OFFSET(O$10,$M$5-1,0,1,1))),"")</f>
        <v>2.9305235429700364E-2</v>
      </c>
      <c r="P76" s="202">
        <f ca="1">IF(AND(ISNUMBER($L76),ISNUMBER(P$5)),IF(P$7=1,(P20)/(SUM(P$10:OFFSET(P$10,$M$5-1,0,1,1))),(1/P20)/SUM(1/P$10:OFFSET(P$10,$M$5-1,0,1,1))),"")</f>
        <v>3.0258302583025826E-2</v>
      </c>
      <c r="Q76" s="202">
        <f ca="1">IF(AND(ISNUMBER($L76),ISNUMBER(Q$5)),IF(Q$7=1,(Q20)/(SUM(Q$10:OFFSET(Q$10,$M$5-1,0,1,1))),(1/Q20)/SUM(1/Q$10:OFFSET(Q$10,$M$5-1,0,1,1))),"")</f>
        <v>3.4939029663582123E-2</v>
      </c>
      <c r="R76" s="202">
        <f ca="1">IF(AND(ISNUMBER($L76),ISNUMBER(R$5)),IF(R$7=1,(R20)/(SUM(R$10:OFFSET(R$10,$M$5-1,0,1,1))),(1/R20)/SUM(1/R$10:OFFSET(R$10,$M$5-1,0,1,1))),"")</f>
        <v>5.0098529634682434E-2</v>
      </c>
      <c r="S76" s="202">
        <f ca="1">IF(AND(ISNUMBER($L76),ISNUMBER(S$5)),IF(S$7=1,(S20)/(SUM(S$10:OFFSET(S$10,$M$5-1,0,1,1))),(1/S20)/SUM(1/S$10:OFFSET(S$10,$M$5-1,0,1,1))),"")</f>
        <v>3.6137369869570418E-2</v>
      </c>
      <c r="T76" s="187"/>
      <c r="U76" s="199"/>
      <c r="V76" s="197">
        <v>11</v>
      </c>
      <c r="W76" s="198" t="s">
        <v>37</v>
      </c>
      <c r="X76" s="202">
        <f ca="1">IF(AND(ISNUMBER($V76),ISNUMBER(X$5)),IF(X$7=1,(X20)/(SUM(X$10:OFFSET(X$10,$W$5-1,0,1,1))),(1/X20)/SUM(1/X$10:OFFSET(X$10,$W$5-1,0,1,1))),"")</f>
        <v>2.6312033116048912E-2</v>
      </c>
      <c r="Y76" s="202">
        <f ca="1">IF(AND(ISNUMBER($V76),ISNUMBER(Y$5)),IF(Y$7=1,(Y20)/(SUM(Y$10:OFFSET(Y$10,$W$5-1,0,1,1))),(1/Y20)/SUM(1/Y$10:OFFSET(Y$10,$W$5-1,0,1,1))),"")</f>
        <v>3.0872405619471584E-2</v>
      </c>
      <c r="Z76" s="202">
        <f ca="1">IF(AND(ISNUMBER($V76),ISNUMBER(Z$5)),IF(Z$7=1,(Z20)/(SUM(Z$10:OFFSET(Z$10,$W$5-1,0,1,1))),(1/Z20)/SUM(1/Z$10:OFFSET(Z$10,$W$5-1,0,1,1))),"")</f>
        <v>3.0326900354470259E-2</v>
      </c>
      <c r="AA76" s="202">
        <f ca="1">IF(AND(ISNUMBER($V76),ISNUMBER(AA$5)),IF(AA$7=1,(AA20)/(SUM(AA$10:OFFSET(AA$10,$W$5-1,0,1,1))),(1/AA20)/SUM(1/AA$10:OFFSET(AA$10,$W$5-1,0,1,1))),"")</f>
        <v>3.6576543991319301E-2</v>
      </c>
      <c r="AB76" s="202">
        <f ca="1">IF(AND(ISNUMBER($V76),ISNUMBER(AB$5)),IF(AB$7=1,(AB20)/(SUM(AB$10:OFFSET(AB$10,$W$5-1,0,1,1))),(1/AB20)/SUM(1/AB$10:OFFSET(AB$10,$W$5-1,0,1,1))),"")</f>
        <v>4.9766311460086005E-2</v>
      </c>
      <c r="AC76" s="202">
        <f ca="1">IF(AND(ISNUMBER($V76),ISNUMBER(AC$5)),IF(AC$7=1,(AC20)/(SUM(AC$10:OFFSET(AC$10,$W$5-1,0,1,1))),(1/AC20)/SUM(1/AC$10:OFFSET(AC$10,$W$5-1,0,1,1))),"")</f>
        <v>3.6086487781504556E-2</v>
      </c>
    </row>
    <row r="77" spans="1:29" ht="12.75" customHeight="1">
      <c r="A77" s="199"/>
      <c r="B77" s="197">
        <v>12</v>
      </c>
      <c r="C77" s="198" t="s">
        <v>38</v>
      </c>
      <c r="D77" s="202">
        <f ca="1">IF(AND(ISNUMBER($B77),ISNUMBER(D$5)),IF(D$7=1,(D21)/(SUM(D$10:OFFSET(D$10,$C$5-1,0,1,1))),(1/D21)/SUM(1/D$10:OFFSET(D$10,$C$5-1,0,1,1))),"")</f>
        <v>3.1681638172510386E-2</v>
      </c>
      <c r="E77" s="202">
        <f ca="1">IF(AND(ISNUMBER($B77),ISNUMBER(E$5)),IF(E$7=1,(E21)/(SUM(E$10:OFFSET(E$10,$C$5-1,0,1,1))),(1/E21)/SUM(1/E$10:OFFSET(E$10,$C$5-1,0,1,1))),"")</f>
        <v>2.0889323234791108E-2</v>
      </c>
      <c r="F77" s="202">
        <f ca="1">IF(AND(ISNUMBER($B77),ISNUMBER(F$5)),IF(F$7=1,(F21)/(SUM(F$10:OFFSET(F$10,$C$5-1,0,1,1))),(1/F21)/SUM(1/F$10:OFFSET(F$10,$C$5-1,0,1,1))),"")</f>
        <v>3.5717259179085831E-2</v>
      </c>
      <c r="G77" s="202">
        <f ca="1">IF(AND(ISNUMBER($B77),ISNUMBER(G$5)),IF(G$7=1,(G21)/(SUM(G$10:OFFSET(G$10,$C$5-1,0,1,1))),(1/G21)/SUM(1/G$10:OFFSET(G$10,$C$5-1,0,1,1))),"")</f>
        <v>4.1970630033159616E-2</v>
      </c>
      <c r="H77" s="202">
        <f ca="1">IF(AND(ISNUMBER($B77),ISNUMBER(H$5)),IF(H$7=1,(H21)/(SUM(H$10:OFFSET(H$10,$C$5-1,0,1,1))),(1/H21)/SUM(1/H$10:OFFSET(H$10,$C$5-1,0,1,1))),"")</f>
        <v>3.6897645930189647E-2</v>
      </c>
      <c r="I77" s="202">
        <f ca="1">IF(AND(ISNUMBER($B77),ISNUMBER(I$5)),IF(I$7=1,(I21)/(SUM(I$10:OFFSET(I$10,$C$5-1,0,1,1))),(1/I21)/SUM(1/I$10:OFFSET(I$10,$C$5-1,0,1,1))),"")</f>
        <v>4.9826118239597067E-2</v>
      </c>
      <c r="J77" s="187"/>
      <c r="K77" s="199"/>
      <c r="L77" s="197">
        <v>12</v>
      </c>
      <c r="M77" s="198" t="s">
        <v>38</v>
      </c>
      <c r="N77" s="202">
        <f ca="1">IF(AND(ISNUMBER($L77),ISNUMBER(N$5)),IF(N$7=1,(N21)/(SUM(N$10:OFFSET(N$10,$M$5-1,0,1,1))),(1/N21)/SUM(1/N$10:OFFSET(N$10,$M$5-1,0,1,1))),"")</f>
        <v>3.8634658664666172E-2</v>
      </c>
      <c r="O77" s="202">
        <f ca="1">IF(AND(ISNUMBER($L77),ISNUMBER(O$5)),IF(O$7=1,(O21)/(SUM(O$10:OFFSET(O$10,$M$5-1,0,1,1))),(1/O21)/SUM(1/O$10:OFFSET(O$10,$M$5-1,0,1,1))),"")</f>
        <v>1.8768521567336192E-2</v>
      </c>
      <c r="P77" s="202">
        <f ca="1">IF(AND(ISNUMBER($L77),ISNUMBER(P$5)),IF(P$7=1,(P21)/(SUM(P$10:OFFSET(P$10,$M$5-1,0,1,1))),(1/P21)/SUM(1/P$10:OFFSET(P$10,$M$5-1,0,1,1))),"")</f>
        <v>3.4778597785977861E-2</v>
      </c>
      <c r="Q77" s="202">
        <f ca="1">IF(AND(ISNUMBER($L77),ISNUMBER(Q$5)),IF(Q$7=1,(Q21)/(SUM(Q$10:OFFSET(Q$10,$M$5-1,0,1,1))),(1/Q21)/SUM(1/Q$10:OFFSET(Q$10,$M$5-1,0,1,1))),"")</f>
        <v>4.0300959958488293E-2</v>
      </c>
      <c r="R77" s="202">
        <f ca="1">IF(AND(ISNUMBER($L77),ISNUMBER(R$5)),IF(R$7=1,(R21)/(SUM(R$10:OFFSET(R$10,$M$5-1,0,1,1))),(1/R21)/SUM(1/R$10:OFFSET(R$10,$M$5-1,0,1,1))),"")</f>
        <v>3.8957101712899803E-2</v>
      </c>
      <c r="S77" s="202">
        <f ca="1">IF(AND(ISNUMBER($L77),ISNUMBER(S$5)),IF(S$7=1,(S21)/(SUM(S$10:OFFSET(S$10,$M$5-1,0,1,1))),(1/S21)/SUM(1/S$10:OFFSET(S$10,$M$5-1,0,1,1))),"")</f>
        <v>5.0496589685293768E-2</v>
      </c>
      <c r="T77" s="187"/>
      <c r="U77" s="199"/>
      <c r="V77" s="197">
        <v>12</v>
      </c>
      <c r="W77" s="198" t="s">
        <v>38</v>
      </c>
      <c r="X77" s="202">
        <f ca="1">IF(AND(ISNUMBER($V77),ISNUMBER(X$5)),IF(X$7=1,(X21)/(SUM(X$10:OFFSET(X$10,$W$5-1,0,1,1))),(1/X21)/SUM(1/X$10:OFFSET(X$10,$W$5-1,0,1,1))),"")</f>
        <v>3.5209592234857499E-2</v>
      </c>
      <c r="Y77" s="202">
        <f ca="1">IF(AND(ISNUMBER($V77),ISNUMBER(Y$5)),IF(Y$7=1,(Y21)/(SUM(Y$10:OFFSET(Y$10,$W$5-1,0,1,1))),(1/Y21)/SUM(1/Y$10:OFFSET(Y$10,$W$5-1,0,1,1))),"")</f>
        <v>1.9772214834942476E-2</v>
      </c>
      <c r="Z77" s="202">
        <f ca="1">IF(AND(ISNUMBER($V77),ISNUMBER(Z$5)),IF(Z$7=1,(Z21)/(SUM(Z$10:OFFSET(Z$10,$W$5-1,0,1,1))),(1/Z21)/SUM(1/Z$10:OFFSET(Z$10,$W$5-1,0,1,1))),"")</f>
        <v>3.5271979344448812E-2</v>
      </c>
      <c r="AA77" s="202">
        <f ca="1">IF(AND(ISNUMBER($V77),ISNUMBER(AA$5)),IF(AA$7=1,(AA21)/(SUM(AA$10:OFFSET(AA$10,$W$5-1,0,1,1))),(1/AA21)/SUM(1/AA$10:OFFSET(AA$10,$W$5-1,0,1,1))),"")</f>
        <v>4.1097748440184483E-2</v>
      </c>
      <c r="AB77" s="202">
        <f ca="1">IF(AND(ISNUMBER($V77),ISNUMBER(AB$5)),IF(AB$7=1,(AB21)/(SUM(AB$10:OFFSET(AB$10,$W$5-1,0,1,1))),(1/AB21)/SUM(1/AB$10:OFFSET(AB$10,$W$5-1,0,1,1))),"")</f>
        <v>3.7913628715647796E-2</v>
      </c>
      <c r="AC77" s="202">
        <f ca="1">IF(AND(ISNUMBER($V77),ISNUMBER(AC$5)),IF(AC$7=1,(AC21)/(SUM(AC$10:OFFSET(AC$10,$W$5-1,0,1,1))),(1/AC21)/SUM(1/AC$10:OFFSET(AC$10,$W$5-1,0,1,1))),"")</f>
        <v>5.0161715380929568E-2</v>
      </c>
    </row>
    <row r="78" spans="1:29" ht="12.75" customHeight="1">
      <c r="A78" s="199"/>
      <c r="B78" s="197">
        <v>13</v>
      </c>
      <c r="C78" s="198" t="s">
        <v>39</v>
      </c>
      <c r="D78" s="202">
        <f ca="1">IF(AND(ISNUMBER($B78),ISNUMBER(D$5)),IF(D$7=1,(D22)/(SUM(D$10:OFFSET(D$10,$C$5-1,0,1,1))),(1/D22)/SUM(1/D$10:OFFSET(D$10,$C$5-1,0,1,1))),"")</f>
        <v>3.6028204385202364E-2</v>
      </c>
      <c r="E78" s="202">
        <f ca="1">IF(AND(ISNUMBER($B78),ISNUMBER(E$5)),IF(E$7=1,(E22)/(SUM(E$10:OFFSET(E$10,$C$5-1,0,1,1))),(1/E22)/SUM(1/E$10:OFFSET(E$10,$C$5-1,0,1,1))),"")</f>
        <v>4.1778646469582216E-2</v>
      </c>
      <c r="F78" s="202">
        <f ca="1">IF(AND(ISNUMBER($B78),ISNUMBER(F$5)),IF(F$7=1,(F22)/(SUM(F$10:OFFSET(F$10,$C$5-1,0,1,1))),(1/F22)/SUM(1/F$10:OFFSET(F$10,$C$5-1,0,1,1))),"")</f>
        <v>3.330280576138539E-2</v>
      </c>
      <c r="G78" s="202">
        <f ca="1">IF(AND(ISNUMBER($B78),ISNUMBER(G$5)),IF(G$7=1,(G22)/(SUM(G$10:OFFSET(G$10,$C$5-1,0,1,1))),(1/G22)/SUM(1/G$10:OFFSET(G$10,$C$5-1,0,1,1))),"")</f>
        <v>4.4339175746091877E-2</v>
      </c>
      <c r="H78" s="202">
        <f ca="1">IF(AND(ISNUMBER($B78),ISNUMBER(H$5)),IF(H$7=1,(H22)/(SUM(H$10:OFFSET(H$10,$C$5-1,0,1,1))),(1/H22)/SUM(1/H$10:OFFSET(H$10,$C$5-1,0,1,1))),"")</f>
        <v>2.8706368533687548E-2</v>
      </c>
      <c r="I78" s="202">
        <f ca="1">IF(AND(ISNUMBER($B78),ISNUMBER(I$5)),IF(I$7=1,(I22)/(SUM(I$10:OFFSET(I$10,$C$5-1,0,1,1))),(1/I22)/SUM(1/I$10:OFFSET(I$10,$C$5-1,0,1,1))),"")</f>
        <v>2.8480633169444776E-2</v>
      </c>
      <c r="J78" s="187"/>
      <c r="K78" s="199"/>
      <c r="L78" s="197">
        <v>13</v>
      </c>
      <c r="M78" s="198" t="s">
        <v>39</v>
      </c>
      <c r="N78" s="202">
        <f ca="1">IF(AND(ISNUMBER($L78),ISNUMBER(N$5)),IF(N$7=1,(N22)/(SUM(N$10:OFFSET(N$10,$M$5-1,0,1,1))),(1/N22)/SUM(1/N$10:OFFSET(N$10,$M$5-1,0,1,1))),"")</f>
        <v>3.9009752438109536E-2</v>
      </c>
      <c r="O78" s="202">
        <f ca="1">IF(AND(ISNUMBER($L78),ISNUMBER(O$5)),IF(O$7=1,(O22)/(SUM(O$10:OFFSET(O$10,$M$5-1,0,1,1))),(1/O22)/SUM(1/O$10:OFFSET(O$10,$M$5-1,0,1,1))),"")</f>
        <v>3.7537043134672383E-2</v>
      </c>
      <c r="P78" s="202">
        <f ca="1">IF(AND(ISNUMBER($L78),ISNUMBER(P$5)),IF(P$7=1,(P22)/(SUM(P$10:OFFSET(P$10,$M$5-1,0,1,1))),(1/P22)/SUM(1/P$10:OFFSET(P$10,$M$5-1,0,1,1))),"")</f>
        <v>3.2933579335793363E-2</v>
      </c>
      <c r="Q78" s="202">
        <f ca="1">IF(AND(ISNUMBER($L78),ISNUMBER(Q$5)),IF(Q$7=1,(Q22)/(SUM(Q$10:OFFSET(Q$10,$M$5-1,0,1,1))),(1/Q22)/SUM(1/Q$10:OFFSET(Q$10,$M$5-1,0,1,1))),"")</f>
        <v>4.1771166652252882E-2</v>
      </c>
      <c r="R78" s="202">
        <f ca="1">IF(AND(ISNUMBER($L78),ISNUMBER(R$5)),IF(R$7=1,(R22)/(SUM(R$10:OFFSET(R$10,$M$5-1,0,1,1))),(1/R22)/SUM(1/R$10:OFFSET(R$10,$M$5-1,0,1,1))),"")</f>
        <v>2.9483098378050632E-2</v>
      </c>
      <c r="S78" s="202">
        <f ca="1">IF(AND(ISNUMBER($L78),ISNUMBER(S$5)),IF(S$7=1,(S22)/(SUM(S$10:OFFSET(S$10,$M$5-1,0,1,1))),(1/S22)/SUM(1/S$10:OFFSET(S$10,$M$5-1,0,1,1))),"")</f>
        <v>2.841928921861912E-2</v>
      </c>
      <c r="T78" s="187"/>
      <c r="U78" s="199"/>
      <c r="V78" s="197">
        <v>13</v>
      </c>
      <c r="W78" s="198" t="s">
        <v>39</v>
      </c>
      <c r="X78" s="202">
        <f ca="1">IF(AND(ISNUMBER($V78),ISNUMBER(X$5)),IF(X$7=1,(X22)/(SUM(X$10:OFFSET(X$10,$W$5-1,0,1,1))),(1/X22)/SUM(1/X$10:OFFSET(X$10,$W$5-1,0,1,1))),"")</f>
        <v>3.7541038207165631E-2</v>
      </c>
      <c r="Y78" s="202">
        <f ca="1">IF(AND(ISNUMBER($V78),ISNUMBER(Y$5)),IF(Y$7=1,(Y22)/(SUM(Y$10:OFFSET(Y$10,$W$5-1,0,1,1))),(1/Y22)/SUM(1/Y$10:OFFSET(Y$10,$W$5-1,0,1,1))),"")</f>
        <v>3.9544429669884952E-2</v>
      </c>
      <c r="Z78" s="202">
        <f ca="1">IF(AND(ISNUMBER($V78),ISNUMBER(Z$5)),IF(Z$7=1,(Z22)/(SUM(Z$10:OFFSET(Z$10,$W$5-1,0,1,1))),(1/Z22)/SUM(1/Z$10:OFFSET(Z$10,$W$5-1,0,1,1))),"")</f>
        <v>3.3127653056759E-2</v>
      </c>
      <c r="AA78" s="202">
        <f ca="1">IF(AND(ISNUMBER($V78),ISNUMBER(AA$5)),IF(AA$7=1,(AA22)/(SUM(AA$10:OFFSET(AA$10,$W$5-1,0,1,1))),(1/AA22)/SUM(1/AA$10:OFFSET(AA$10,$W$5-1,0,1,1))),"")</f>
        <v>4.2996654308707853E-2</v>
      </c>
      <c r="AB78" s="202">
        <f ca="1">IF(AND(ISNUMBER($V78),ISNUMBER(AB$5)),IF(AB$7=1,(AB22)/(SUM(AB$10:OFFSET(AB$10,$W$5-1,0,1,1))),(1/AB22)/SUM(1/AB$10:OFFSET(AB$10,$W$5-1,0,1,1))),"")</f>
        <v>2.9089549448495049E-2</v>
      </c>
      <c r="AC78" s="202">
        <f ca="1">IF(AND(ISNUMBER($V78),ISNUMBER(AC$5)),IF(AC$7=1,(AC22)/(SUM(AC$10:OFFSET(AC$10,$W$5-1,0,1,1))),(1/AC22)/SUM(1/AC$10:OFFSET(AC$10,$W$5-1,0,1,1))),"")</f>
        <v>2.8449928126497367E-2</v>
      </c>
    </row>
    <row r="79" spans="1:29" ht="12.75" customHeight="1">
      <c r="A79" s="199"/>
      <c r="B79" s="197">
        <v>14</v>
      </c>
      <c r="C79" s="198" t="s">
        <v>40</v>
      </c>
      <c r="D79" s="202">
        <f ca="1">IF(AND(ISNUMBER($B79),ISNUMBER(D$5)),IF(D$7=1,(D23)/(SUM(D$10:OFFSET(D$10,$C$5-1,0,1,1))),(1/D23)/SUM(1/D$10:OFFSET(D$10,$C$5-1,0,1,1))),"")</f>
        <v>7.2442770211532904E-3</v>
      </c>
      <c r="E79" s="202">
        <f ca="1">IF(AND(ISNUMBER($B79),ISNUMBER(E$5)),IF(E$7=1,(E23)/(SUM(E$10:OFFSET(E$10,$C$5-1,0,1,1))),(1/E23)/SUM(1/E$10:OFFSET(E$10,$C$5-1,0,1,1))),"")</f>
        <v>2.5164915709748353E-2</v>
      </c>
      <c r="F79" s="202">
        <f ca="1">IF(AND(ISNUMBER($B79),ISNUMBER(F$5)),IF(F$7=1,(F23)/(SUM(F$10:OFFSET(F$10,$C$5-1,0,1,1))),(1/F23)/SUM(1/F$10:OFFSET(F$10,$C$5-1,0,1,1))),"")</f>
        <v>2.5643160436266754E-2</v>
      </c>
      <c r="G79" s="202">
        <f ca="1">IF(AND(ISNUMBER($B79),ISNUMBER(G$5)),IF(G$7=1,(G23)/(SUM(G$10:OFFSET(G$10,$C$5-1,0,1,1))),(1/G23)/SUM(1/G$10:OFFSET(G$10,$C$5-1,0,1,1))),"")</f>
        <v>3.8749407863571748E-2</v>
      </c>
      <c r="H79" s="202">
        <f ca="1">IF(AND(ISNUMBER($B79),ISNUMBER(H$5)),IF(H$7=1,(H23)/(SUM(H$10:OFFSET(H$10,$C$5-1,0,1,1))),(1/H23)/SUM(1/H$10:OFFSET(H$10,$C$5-1,0,1,1))),"")</f>
        <v>1.985093351044203E-2</v>
      </c>
      <c r="I79" s="202">
        <f ca="1">IF(AND(ISNUMBER($B79),ISNUMBER(I$5)),IF(I$7=1,(I23)/(SUM(I$10:OFFSET(I$10,$C$5-1,0,1,1))),(1/I23)/SUM(1/I$10:OFFSET(I$10,$C$5-1,0,1,1))),"")</f>
        <v>4.5569013071111636E-2</v>
      </c>
      <c r="J79" s="187"/>
      <c r="K79" s="199"/>
      <c r="L79" s="197">
        <v>14</v>
      </c>
      <c r="M79" s="198" t="s">
        <v>40</v>
      </c>
      <c r="N79" s="202">
        <f ca="1">IF(AND(ISNUMBER($L79),ISNUMBER(N$5)),IF(N$7=1,(N23)/(SUM(N$10:OFFSET(N$10,$M$5-1,0,1,1))),(1/N23)/SUM(1/N$10:OFFSET(N$10,$M$5-1,0,1,1))),"")</f>
        <v>7.0330082520630166E-3</v>
      </c>
      <c r="O79" s="202">
        <f ca="1">IF(AND(ISNUMBER($L79),ISNUMBER(O$5)),IF(O$7=1,(O23)/(SUM(O$10:OFFSET(O$10,$M$5-1,0,1,1))),(1/O23)/SUM(1/O$10:OFFSET(O$10,$M$5-1,0,1,1))),"")</f>
        <v>2.2610031829656464E-2</v>
      </c>
      <c r="P79" s="202">
        <f ca="1">IF(AND(ISNUMBER($L79),ISNUMBER(P$5)),IF(P$7=1,(P23)/(SUM(P$10:OFFSET(P$10,$M$5-1,0,1,1))),(1/P23)/SUM(1/P$10:OFFSET(P$10,$M$5-1,0,1,1))),"")</f>
        <v>3.2841328413284132E-2</v>
      </c>
      <c r="Q79" s="202">
        <f ca="1">IF(AND(ISNUMBER($L79),ISNUMBER(Q$5)),IF(Q$7=1,(Q23)/(SUM(Q$10:OFFSET(Q$10,$M$5-1,0,1,1))),(1/Q23)/SUM(1/Q$10:OFFSET(Q$10,$M$5-1,0,1,1))),"")</f>
        <v>3.5371443397042297E-2</v>
      </c>
      <c r="R79" s="202">
        <f ca="1">IF(AND(ISNUMBER($L79),ISNUMBER(R$5)),IF(R$7=1,(R23)/(SUM(R$10:OFFSET(R$10,$M$5-1,0,1,1))),(1/R23)/SUM(1/R$10:OFFSET(R$10,$M$5-1,0,1,1))),"")</f>
        <v>1.447627709564954E-2</v>
      </c>
      <c r="S79" s="202">
        <f ca="1">IF(AND(ISNUMBER($L79),ISNUMBER(S$5)),IF(S$7=1,(S23)/(SUM(S$10:OFFSET(S$10,$M$5-1,0,1,1))),(1/S23)/SUM(1/S$10:OFFSET(S$10,$M$5-1,0,1,1))),"")</f>
        <v>4.5470862749790592E-2</v>
      </c>
      <c r="T79" s="187"/>
      <c r="U79" s="199"/>
      <c r="V79" s="197">
        <v>14</v>
      </c>
      <c r="W79" s="198" t="s">
        <v>40</v>
      </c>
      <c r="X79" s="202">
        <f ca="1">IF(AND(ISNUMBER($V79),ISNUMBER(X$5)),IF(X$7=1,(X23)/(SUM(X$10:OFFSET(X$10,$W$5-1,0,1,1))),(1/X23)/SUM(1/X$10:OFFSET(X$10,$W$5-1,0,1,1))),"")</f>
        <v>7.137079507065709E-3</v>
      </c>
      <c r="Y79" s="202">
        <f ca="1">IF(AND(ISNUMBER($V79),ISNUMBER(Y$5)),IF(Y$7=1,(Y23)/(SUM(Y$10:OFFSET(Y$10,$W$5-1,0,1,1))),(1/Y23)/SUM(1/Y$10:OFFSET(Y$10,$W$5-1,0,1,1))),"")</f>
        <v>2.3819159391802049E-2</v>
      </c>
      <c r="Z79" s="202">
        <f ca="1">IF(AND(ISNUMBER($V79),ISNUMBER(Z$5)),IF(Z$7=1,(Z23)/(SUM(Z$10:OFFSET(Z$10,$W$5-1,0,1,1))),(1/Z23)/SUM(1/Z$10:OFFSET(Z$10,$W$5-1,0,1,1))),"")</f>
        <v>2.9057809286245677E-2</v>
      </c>
      <c r="AA79" s="202">
        <f ca="1">IF(AND(ISNUMBER($V79),ISNUMBER(AA$5)),IF(AA$7=1,(AA23)/(SUM(AA$10:OFFSET(AA$10,$W$5-1,0,1,1))),(1/AA23)/SUM(1/AA$10:OFFSET(AA$10,$W$5-1,0,1,1))),"")</f>
        <v>3.6983452391717166E-2</v>
      </c>
      <c r="AB79" s="202">
        <f ca="1">IF(AND(ISNUMBER($V79),ISNUMBER(AB$5)),IF(AB$7=1,(AB23)/(SUM(AB$10:OFFSET(AB$10,$W$5-1,0,1,1))),(1/AB23)/SUM(1/AB$10:OFFSET(AB$10,$W$5-1,0,1,1))),"")</f>
        <v>1.7199476537670597E-2</v>
      </c>
      <c r="AC79" s="202">
        <f ca="1">IF(AND(ISNUMBER($V79),ISNUMBER(AC$5)),IF(AC$7=1,(AC23)/(SUM(AC$10:OFFSET(AC$10,$W$5-1,0,1,1))),(1/AC23)/SUM(1/AC$10:OFFSET(AC$10,$W$5-1,0,1,1))),"")</f>
        <v>4.5519885002395788E-2</v>
      </c>
    </row>
    <row r="80" spans="1:29" ht="12.75" customHeight="1">
      <c r="A80" s="199"/>
      <c r="B80" s="197">
        <v>15</v>
      </c>
      <c r="C80" s="198" t="s">
        <v>41</v>
      </c>
      <c r="D80" s="202">
        <f ca="1">IF(AND(ISNUMBER($B80),ISNUMBER(D$5)),IF(D$7=1,(D24)/(SUM(D$10:OFFSET(D$10,$C$5-1,0,1,1))),(1/D24)/SUM(1/D$10:OFFSET(D$10,$C$5-1,0,1,1))),"")</f>
        <v>3.5062300782381928E-2</v>
      </c>
      <c r="E80" s="202">
        <f ca="1">IF(AND(ISNUMBER($B80),ISNUMBER(E$5)),IF(E$7=1,(E24)/(SUM(E$10:OFFSET(E$10,$C$5-1,0,1,1))),(1/E24)/SUM(1/E$10:OFFSET(E$10,$C$5-1,0,1,1))),"")</f>
        <v>2.137796237478622E-2</v>
      </c>
      <c r="F80" s="202">
        <f ca="1">IF(AND(ISNUMBER($B80),ISNUMBER(F$5)),IF(F$7=1,(F24)/(SUM(F$10:OFFSET(F$10,$C$5-1,0,1,1))),(1/F24)/SUM(1/F$10:OFFSET(F$10,$C$5-1,0,1,1))),"")</f>
        <v>3.5217717092665052E-2</v>
      </c>
      <c r="G80" s="202">
        <f ca="1">IF(AND(ISNUMBER($B80),ISNUMBER(G$5)),IF(G$7=1,(G24)/(SUM(G$10:OFFSET(G$10,$C$5-1,0,1,1))),(1/G24)/SUM(1/G$10:OFFSET(G$10,$C$5-1,0,1,1))),"")</f>
        <v>3.5054476551397429E-2</v>
      </c>
      <c r="H80" s="202">
        <f ca="1">IF(AND(ISNUMBER($B80),ISNUMBER(H$5)),IF(H$7=1,(H24)/(SUM(H$10:OFFSET(H$10,$C$5-1,0,1,1))),(1/H24)/SUM(1/H$10:OFFSET(H$10,$C$5-1,0,1,1))),"")</f>
        <v>3.9849457604604822E-2</v>
      </c>
      <c r="I80" s="202">
        <f ca="1">IF(AND(ISNUMBER($B80),ISNUMBER(I$5)),IF(I$7=1,(I24)/(SUM(I$10:OFFSET(I$10,$C$5-1,0,1,1))),(1/I24)/SUM(1/I$10:OFFSET(I$10,$C$5-1,0,1,1))),"")</f>
        <v>3.453651516968461E-2</v>
      </c>
      <c r="J80" s="187"/>
      <c r="K80" s="199"/>
      <c r="L80" s="197">
        <v>15</v>
      </c>
      <c r="M80" s="198" t="s">
        <v>41</v>
      </c>
      <c r="N80" s="202">
        <f ca="1">IF(AND(ISNUMBER($L80),ISNUMBER(N$5)),IF(N$7=1,(N24)/(SUM(N$10:OFFSET(N$10,$M$5-1,0,1,1))),(1/N24)/SUM(1/N$10:OFFSET(N$10,$M$5-1,0,1,1))),"")</f>
        <v>3.1695423855963994E-2</v>
      </c>
      <c r="O80" s="202">
        <f ca="1">IF(AND(ISNUMBER($L80),ISNUMBER(O$5)),IF(O$7=1,(O24)/(SUM(O$10:OFFSET(O$10,$M$5-1,0,1,1))),(1/O24)/SUM(1/O$10:OFFSET(O$10,$M$5-1,0,1,1))),"")</f>
        <v>3.5232136977280219E-2</v>
      </c>
      <c r="P80" s="202">
        <f ca="1">IF(AND(ISNUMBER($L80),ISNUMBER(P$5)),IF(P$7=1,(P24)/(SUM(P$10:OFFSET(P$10,$M$5-1,0,1,1))),(1/P24)/SUM(1/P$10:OFFSET(P$10,$M$5-1,0,1,1))),"")</f>
        <v>3.6623616236162365E-2</v>
      </c>
      <c r="Q80" s="202">
        <f ca="1">IF(AND(ISNUMBER($L80),ISNUMBER(Q$5)),IF(Q$7=1,(Q24)/(SUM(Q$10:OFFSET(Q$10,$M$5-1,0,1,1))),(1/Q24)/SUM(1/Q$10:OFFSET(Q$10,$M$5-1,0,1,1))),"")</f>
        <v>3.6063305370578579E-2</v>
      </c>
      <c r="R80" s="202">
        <f ca="1">IF(AND(ISNUMBER($L80),ISNUMBER(R$5)),IF(R$7=1,(R24)/(SUM(R$10:OFFSET(R$10,$M$5-1,0,1,1))),(1/R24)/SUM(1/R$10:OFFSET(R$10,$M$5-1,0,1,1))),"")</f>
        <v>4.4868879793845691E-2</v>
      </c>
      <c r="S80" s="202">
        <f ca="1">IF(AND(ISNUMBER($L80),ISNUMBER(S$5)),IF(S$7=1,(S24)/(SUM(S$10:OFFSET(S$10,$M$5-1,0,1,1))),(1/S24)/SUM(1/S$10:OFFSET(S$10,$M$5-1,0,1,1))),"")</f>
        <v>3.4641617805432567E-2</v>
      </c>
      <c r="T80" s="187"/>
      <c r="U80" s="199"/>
      <c r="V80" s="197">
        <v>15</v>
      </c>
      <c r="W80" s="198" t="s">
        <v>41</v>
      </c>
      <c r="X80" s="202">
        <f ca="1">IF(AND(ISNUMBER($V80),ISNUMBER(X$5)),IF(X$7=1,(X24)/(SUM(X$10:OFFSET(X$10,$W$5-1,0,1,1))),(1/X24)/SUM(1/X$10:OFFSET(X$10,$W$5-1,0,1,1))),"")</f>
        <v>3.3353951563020415E-2</v>
      </c>
      <c r="Y80" s="202">
        <f ca="1">IF(AND(ISNUMBER($V80),ISNUMBER(Y$5)),IF(Y$7=1,(Y24)/(SUM(Y$10:OFFSET(Y$10,$W$5-1,0,1,1))),(1/Y24)/SUM(1/Y$10:OFFSET(Y$10,$W$5-1,0,1,1))),"")</f>
        <v>2.8675492860033531E-2</v>
      </c>
      <c r="Z80" s="202">
        <f ca="1">IF(AND(ISNUMBER($V80),ISNUMBER(Z$5)),IF(Z$7=1,(Z24)/(SUM(Z$10:OFFSET(Z$10,$W$5-1,0,1,1))),(1/Z24)/SUM(1/Z$10:OFFSET(Z$10,$W$5-1,0,1,1))),"")</f>
        <v>3.5884643998074478E-2</v>
      </c>
      <c r="AA80" s="202">
        <f ca="1">IF(AND(ISNUMBER($V80),ISNUMBER(AA$5)),IF(AA$7=1,(AA24)/(SUM(AA$10:OFFSET(AA$10,$W$5-1,0,1,1))),(1/AA24)/SUM(1/AA$10:OFFSET(AA$10,$W$5-1,0,1,1))),"")</f>
        <v>3.5581879012568964E-2</v>
      </c>
      <c r="AB80" s="202">
        <f ca="1">IF(AND(ISNUMBER($V80),ISNUMBER(AB$5)),IF(AB$7=1,(AB24)/(SUM(AB$10:OFFSET(AB$10,$W$5-1,0,1,1))),(1/AB24)/SUM(1/AB$10:OFFSET(AB$10,$W$5-1,0,1,1))),"")</f>
        <v>4.232566834922416E-2</v>
      </c>
      <c r="AC80" s="202">
        <f ca="1">IF(AND(ISNUMBER($V80),ISNUMBER(AC$5)),IF(AC$7=1,(AC24)/(SUM(AC$10:OFFSET(AC$10,$W$5-1,0,1,1))),(1/AC24)/SUM(1/AC$10:OFFSET(AC$10,$W$5-1,0,1,1))),"")</f>
        <v>3.4589123143267848E-2</v>
      </c>
    </row>
    <row r="81" spans="1:29" ht="12.75" customHeight="1">
      <c r="A81" s="199"/>
      <c r="B81" s="197">
        <v>16</v>
      </c>
      <c r="C81" s="198" t="s">
        <v>42</v>
      </c>
      <c r="D81" s="202">
        <f ca="1">IF(AND(ISNUMBER($B81),ISNUMBER(D$5)),IF(D$7=1,(D25)/(SUM(D$10:OFFSET(D$10,$C$5-1,0,1,1))),(1/D25)/SUM(1/D$10:OFFSET(D$10,$C$5-1,0,1,1))),"")</f>
        <v>3.8539553752535503E-2</v>
      </c>
      <c r="E81" s="202">
        <f ca="1">IF(AND(ISNUMBER($B81),ISNUMBER(E$5)),IF(E$7=1,(E25)/(SUM(E$10:OFFSET(E$10,$C$5-1,0,1,1))),(1/E25)/SUM(1/E$10:OFFSET(E$10,$C$5-1,0,1,1))),"")</f>
        <v>3.7625213779623745E-2</v>
      </c>
      <c r="F81" s="202">
        <f ca="1">IF(AND(ISNUMBER($B81),ISNUMBER(F$5)),IF(F$7=1,(F25)/(SUM(F$10:OFFSET(F$10,$C$5-1,0,1,1))),(1/F25)/SUM(1/F$10:OFFSET(F$10,$C$5-1,0,1,1))),"")</f>
        <v>3.3469319790192326E-2</v>
      </c>
      <c r="G81" s="202">
        <f ca="1">IF(AND(ISNUMBER($B81),ISNUMBER(G$5)),IF(G$7=1,(G25)/(SUM(G$10:OFFSET(G$10,$C$5-1,0,1,1))),(1/G25)/SUM(1/G$10:OFFSET(G$10,$C$5-1,0,1,1))),"")</f>
        <v>2.7285646612979619E-2</v>
      </c>
      <c r="H81" s="202">
        <f ca="1">IF(AND(ISNUMBER($B81),ISNUMBER(H$5)),IF(H$7=1,(H25)/(SUM(H$10:OFFSET(H$10,$C$5-1,0,1,1))),(1/H25)/SUM(1/H$10:OFFSET(H$10,$C$5-1,0,1,1))),"")</f>
        <v>3.1879566083683857E-2</v>
      </c>
      <c r="I81" s="202">
        <f ca="1">IF(AND(ISNUMBER($B81),ISNUMBER(I$5)),IF(I$7=1,(I25)/(SUM(I$10:OFFSET(I$10,$C$5-1,0,1,1))),(1/I25)/SUM(1/I$10:OFFSET(I$10,$C$5-1,0,1,1))),"")</f>
        <v>3.453651516968461E-2</v>
      </c>
      <c r="J81" s="187"/>
      <c r="K81" s="199"/>
      <c r="L81" s="197">
        <v>16</v>
      </c>
      <c r="M81" s="198" t="s">
        <v>42</v>
      </c>
      <c r="N81" s="202">
        <f ca="1">IF(AND(ISNUMBER($L81),ISNUMBER(N$5)),IF(N$7=1,(N25)/(SUM(N$10:OFFSET(N$10,$M$5-1,0,1,1))),(1/N25)/SUM(1/N$10:OFFSET(N$10,$M$5-1,0,1,1))),"")</f>
        <v>3.3477119279819958E-2</v>
      </c>
      <c r="O81" s="202">
        <f ca="1">IF(AND(ISNUMBER($L81),ISNUMBER(O$5)),IF(O$7=1,(O25)/(SUM(O$10:OFFSET(O$10,$M$5-1,0,1,1))),(1/O25)/SUM(1/O$10:OFFSET(O$10,$M$5-1,0,1,1))),"")</f>
        <v>4.0720008780594889E-2</v>
      </c>
      <c r="P81" s="202">
        <f ca="1">IF(AND(ISNUMBER($L81),ISNUMBER(P$5)),IF(P$7=1,(P25)/(SUM(P$10:OFFSET(P$10,$M$5-1,0,1,1))),(1/P25)/SUM(1/P$10:OFFSET(P$10,$M$5-1,0,1,1))),"")</f>
        <v>3.2472324723247237E-2</v>
      </c>
      <c r="Q81" s="202">
        <f ca="1">IF(AND(ISNUMBER($L81),ISNUMBER(Q$5)),IF(Q$7=1,(Q25)/(SUM(Q$10:OFFSET(Q$10,$M$5-1,0,1,1))),(1/Q25)/SUM(1/Q$10:OFFSET(Q$10,$M$5-1,0,1,1))),"")</f>
        <v>3.3122891983049386E-2</v>
      </c>
      <c r="R81" s="202">
        <f ca="1">IF(AND(ISNUMBER($L81),ISNUMBER(R$5)),IF(R$7=1,(R25)/(SUM(R$10:OFFSET(R$10,$M$5-1,0,1,1))),(1/R25)/SUM(1/R$10:OFFSET(R$10,$M$5-1,0,1,1))),"")</f>
        <v>3.5925420645748073E-2</v>
      </c>
      <c r="S81" s="202">
        <f ca="1">IF(AND(ISNUMBER($L81),ISNUMBER(S$5)),IF(S$7=1,(S25)/(SUM(S$10:OFFSET(S$10,$M$5-1,0,1,1))),(1/S25)/SUM(1/S$10:OFFSET(S$10,$M$5-1,0,1,1))),"")</f>
        <v>3.5718559291611822E-2</v>
      </c>
      <c r="T81" s="187"/>
      <c r="U81" s="199"/>
      <c r="V81" s="197">
        <v>16</v>
      </c>
      <c r="W81" s="198" t="s">
        <v>42</v>
      </c>
      <c r="X81" s="202">
        <f ca="1">IF(AND(ISNUMBER($V81),ISNUMBER(X$5)),IF(X$7=1,(X25)/(SUM(X$10:OFFSET(X$10,$W$5-1,0,1,1))),(1/X25)/SUM(1/X$10:OFFSET(X$10,$W$5-1,0,1,1))),"")</f>
        <v>3.5970880715611171E-2</v>
      </c>
      <c r="Y81" s="202">
        <f ca="1">IF(AND(ISNUMBER($V81),ISNUMBER(Y$5)),IF(Y$7=1,(Y25)/(SUM(Y$10:OFFSET(Y$10,$W$5-1,0,1,1))),(1/Y25)/SUM(1/Y$10:OFFSET(Y$10,$W$5-1,0,1,1))),"")</f>
        <v>3.9255362201537844E-2</v>
      </c>
      <c r="Z81" s="202">
        <f ca="1">IF(AND(ISNUMBER($V81),ISNUMBER(Z$5)),IF(Z$7=1,(Z25)/(SUM(Z$10:OFFSET(Z$10,$W$5-1,0,1,1))),(1/Z25)/SUM(1/Z$10:OFFSET(Z$10,$W$5-1,0,1,1))),"")</f>
        <v>3.2996367773839214E-2</v>
      </c>
      <c r="AA81" s="202">
        <f ca="1">IF(AND(ISNUMBER($V81),ISNUMBER(AA$5)),IF(AA$7=1,(AA25)/(SUM(AA$10:OFFSET(AA$10,$W$5-1,0,1,1))),(1/AA25)/SUM(1/AA$10:OFFSET(AA$10,$W$5-1,0,1,1))),"")</f>
        <v>3.0337281851885351E-2</v>
      </c>
      <c r="AB81" s="202">
        <f ca="1">IF(AND(ISNUMBER($V81),ISNUMBER(AB$5)),IF(AB$7=1,(AB25)/(SUM(AB$10:OFFSET(AB$10,$W$5-1,0,1,1))),(1/AB25)/SUM(1/AB$10:OFFSET(AB$10,$W$5-1,0,1,1))),"")</f>
        <v>3.3875490745933823E-2</v>
      </c>
      <c r="AC81" s="202">
        <f ca="1">IF(AND(ISNUMBER($V81),ISNUMBER(AC$5)),IF(AC$7=1,(AC25)/(SUM(AC$10:OFFSET(AC$10,$W$5-1,0,1,1))),(1/AC25)/SUM(1/AC$10:OFFSET(AC$10,$W$5-1,0,1,1))),"")</f>
        <v>3.5128174413033064E-2</v>
      </c>
    </row>
    <row r="82" spans="1:29" ht="14.25" customHeight="1">
      <c r="A82" s="199"/>
      <c r="B82" s="197">
        <v>17</v>
      </c>
      <c r="C82" s="198" t="s">
        <v>43</v>
      </c>
      <c r="D82" s="202">
        <f ca="1">IF(AND(ISNUMBER($B82),ISNUMBER(D$5)),IF(D$7=1,(D26)/(SUM(D$10:OFFSET(D$10,$C$5-1,0,1,1))),(1/D26)/SUM(1/D$10:OFFSET(D$10,$C$5-1,0,1,1))),"")</f>
        <v>4.7908818699893767E-2</v>
      </c>
      <c r="E82" s="202">
        <f ca="1">IF(AND(ISNUMBER($B82),ISNUMBER(E$5)),IF(E$7=1,(E26)/(SUM(E$10:OFFSET(E$10,$C$5-1,0,1,1))),(1/E26)/SUM(1/E$10:OFFSET(E$10,$C$5-1,0,1,1))),"")</f>
        <v>6.4133887124358663E-2</v>
      </c>
      <c r="F82" s="202">
        <f ca="1">IF(AND(ISNUMBER($B82),ISNUMBER(F$5)),IF(F$7=1,(F26)/(SUM(F$10:OFFSET(F$10,$C$5-1,0,1,1))),(1/F26)/SUM(1/F$10:OFFSET(F$10,$C$5-1,0,1,1))),"")</f>
        <v>5.6698026808758628E-2</v>
      </c>
      <c r="G82" s="202">
        <f ca="1">IF(AND(ISNUMBER($B82),ISNUMBER(G$5)),IF(G$7=1,(G26)/(SUM(G$10:OFFSET(G$10,$C$5-1,0,1,1))),(1/G26)/SUM(1/G$10:OFFSET(G$10,$C$5-1,0,1,1))),"")</f>
        <v>4.2728564661297944E-2</v>
      </c>
      <c r="H82" s="202">
        <f ca="1">IF(AND(ISNUMBER($B82),ISNUMBER(H$5)),IF(H$7=1,(H26)/(SUM(H$10:OFFSET(H$10,$C$5-1,0,1,1))),(1/H26)/SUM(1/H$10:OFFSET(H$10,$C$5-1,0,1,1))),"")</f>
        <v>4.7819349125525781E-2</v>
      </c>
      <c r="I82" s="202">
        <f ca="1">IF(AND(ISNUMBER($B82),ISNUMBER(I$5)),IF(I$7=1,(I26)/(SUM(I$10:OFFSET(I$10,$C$5-1,0,1,1))),(1/I26)/SUM(1/I$10:OFFSET(I$10,$C$5-1,0,1,1))),"")</f>
        <v>5.2884038853579562E-2</v>
      </c>
      <c r="J82" s="187"/>
      <c r="K82" s="199"/>
      <c r="L82" s="197">
        <v>17</v>
      </c>
      <c r="M82" s="198" t="s">
        <v>43</v>
      </c>
      <c r="N82" s="202">
        <f ca="1">IF(AND(ISNUMBER($L82),ISNUMBER(N$5)),IF(N$7=1,(N26)/(SUM(N$10:OFFSET(N$10,$M$5-1,0,1,1))),(1/N26)/SUM(1/N$10:OFFSET(N$10,$M$5-1,0,1,1))),"")</f>
        <v>5.0450112528132036E-2</v>
      </c>
      <c r="O82" s="202">
        <f ca="1">IF(AND(ISNUMBER($L82),ISNUMBER(O$5)),IF(O$7=1,(O26)/(SUM(O$10:OFFSET(O$10,$M$5-1,0,1,1))),(1/O26)/SUM(1/O$10:OFFSET(O$10,$M$5-1,0,1,1))),"")</f>
        <v>5.0817692898693888E-2</v>
      </c>
      <c r="P82" s="202">
        <f ca="1">IF(AND(ISNUMBER($L82),ISNUMBER(P$5)),IF(P$7=1,(P26)/(SUM(P$10:OFFSET(P$10,$M$5-1,0,1,1))),(1/P26)/SUM(1/P$10:OFFSET(P$10,$M$5-1,0,1,1))),"")</f>
        <v>5.3044280442804431E-2</v>
      </c>
      <c r="Q82" s="202">
        <f ca="1">IF(AND(ISNUMBER($L82),ISNUMBER(Q$5)),IF(Q$7=1,(Q26)/(SUM(Q$10:OFFSET(Q$10,$M$5-1,0,1,1))),(1/Q26)/SUM(1/Q$10:OFFSET(Q$10,$M$5-1,0,1,1))),"")</f>
        <v>3.891723601141573E-2</v>
      </c>
      <c r="R82" s="202">
        <f ca="1">IF(AND(ISNUMBER($L82),ISNUMBER(R$5)),IF(R$7=1,(R26)/(SUM(R$10:OFFSET(R$10,$M$5-1,0,1,1))),(1/R26)/SUM(1/R$10:OFFSET(R$10,$M$5-1,0,1,1))),"")</f>
        <v>5.2599666515082626E-2</v>
      </c>
      <c r="S82" s="202">
        <f ca="1">IF(AND(ISNUMBER($L82),ISNUMBER(S$5)),IF(S$7=1,(S26)/(SUM(S$10:OFFSET(S$10,$M$5-1,0,1,1))),(1/S26)/SUM(1/S$10:OFFSET(S$10,$M$5-1,0,1,1))),"")</f>
        <v>5.3248773483307407E-2</v>
      </c>
      <c r="T82" s="187"/>
      <c r="U82" s="199"/>
      <c r="V82" s="197">
        <v>17</v>
      </c>
      <c r="W82" s="198" t="s">
        <v>43</v>
      </c>
      <c r="X82" s="202">
        <f ca="1">IF(AND(ISNUMBER($V82),ISNUMBER(X$5)),IF(X$7=1,(X26)/(SUM(X$10:OFFSET(X$10,$W$5-1,0,1,1))),(1/X26)/SUM(1/X$10:OFFSET(X$10,$W$5-1,0,1,1))),"")</f>
        <v>4.9198268068706294E-2</v>
      </c>
      <c r="Y82" s="202">
        <f ca="1">IF(AND(ISNUMBER($V82),ISNUMBER(Y$5)),IF(Y$7=1,(Y26)/(SUM(Y$10:OFFSET(Y$10,$W$5-1,0,1,1))),(1/Y26)/SUM(1/Y$10:OFFSET(Y$10,$W$5-1,0,1,1))),"")</f>
        <v>5.7119731745389368E-2</v>
      </c>
      <c r="Z82" s="202">
        <f ca="1">IF(AND(ISNUMBER($V82),ISNUMBER(Z$5)),IF(Z$7=1,(Z26)/(SUM(Z$10:OFFSET(Z$10,$W$5-1,0,1,1))),(1/Z26)/SUM(1/Z$10:OFFSET(Z$10,$W$5-1,0,1,1))),"")</f>
        <v>5.4964771782416516E-2</v>
      </c>
      <c r="AA82" s="202">
        <f ca="1">IF(AND(ISNUMBER($V82),ISNUMBER(AA$5)),IF(AA$7=1,(AA26)/(SUM(AA$10:OFFSET(AA$10,$W$5-1,0,1,1))),(1/AA26)/SUM(1/AA$10:OFFSET(AA$10,$W$5-1,0,1,1))),"")</f>
        <v>4.0736052084275262E-2</v>
      </c>
      <c r="AB82" s="202">
        <f ca="1">IF(AND(ISNUMBER($V82),ISNUMBER(AB$5)),IF(AB$7=1,(AB26)/(SUM(AB$10:OFFSET(AB$10,$W$5-1,0,1,1))),(1/AB26)/SUM(1/AB$10:OFFSET(AB$10,$W$5-1,0,1,1))),"")</f>
        <v>5.0177603290334646E-2</v>
      </c>
      <c r="AC82" s="202">
        <f ca="1">IF(AND(ISNUMBER($V82),ISNUMBER(AC$5)),IF(AC$7=1,(AC26)/(SUM(AC$10:OFFSET(AC$10,$W$5-1,0,1,1))),(1/AC26)/SUM(1/AC$10:OFFSET(AC$10,$W$5-1,0,1,1))),"")</f>
        <v>5.3066602779108768E-2</v>
      </c>
    </row>
    <row r="83" spans="1:29" ht="14.25" customHeight="1">
      <c r="A83" s="199"/>
      <c r="B83" s="197">
        <v>18</v>
      </c>
      <c r="C83" s="198" t="s">
        <v>44</v>
      </c>
      <c r="D83" s="202">
        <f ca="1">IF(AND(ISNUMBER($B83),ISNUMBER(D$5)),IF(D$7=1,(D27)/(SUM(D$10:OFFSET(D$10,$C$5-1,0,1,1))),(1/D27)/SUM(1/D$10:OFFSET(D$10,$C$5-1,0,1,1))),"")</f>
        <v>4.0664541678740472E-2</v>
      </c>
      <c r="E83" s="202">
        <f ca="1">IF(AND(ISNUMBER($B83),ISNUMBER(E$5)),IF(E$7=1,(E27)/(SUM(E$10:OFFSET(E$10,$C$5-1,0,1,1))),(1/E27)/SUM(1/E$10:OFFSET(E$10,$C$5-1,0,1,1))),"")</f>
        <v>4.3122404104568773E-2</v>
      </c>
      <c r="F83" s="202">
        <f ca="1">IF(AND(ISNUMBER($B83),ISNUMBER(F$5)),IF(F$7=1,(F27)/(SUM(F$10:OFFSET(F$10,$C$5-1,0,1,1))),(1/F27)/SUM(1/F$10:OFFSET(F$10,$C$5-1,0,1,1))),"")</f>
        <v>4.5541586878694529E-2</v>
      </c>
      <c r="G83" s="202">
        <f ca="1">IF(AND(ISNUMBER($B83),ISNUMBER(G$5)),IF(G$7=1,(G27)/(SUM(G$10:OFFSET(G$10,$C$5-1,0,1,1))),(1/G27)/SUM(1/G$10:OFFSET(G$10,$C$5-1,0,1,1))),"")</f>
        <v>4.6991946944576014E-2</v>
      </c>
      <c r="H83" s="202">
        <f ca="1">IF(AND(ISNUMBER($B83),ISNUMBER(H$5)),IF(H$7=1,(H27)/(SUM(H$10:OFFSET(H$10,$C$5-1,0,1,1))),(1/H27)/SUM(1/H$10:OFFSET(H$10,$C$5-1,0,1,1))),"")</f>
        <v>3.7930780016234962E-2</v>
      </c>
      <c r="I83" s="202">
        <f ca="1">IF(AND(ISNUMBER($B83),ISNUMBER(I$5)),IF(I$7=1,(I27)/(SUM(I$10:OFFSET(I$10,$C$5-1,0,1,1))),(1/I27)/SUM(1/I$10:OFFSET(I$10,$C$5-1,0,1,1))),"")</f>
        <v>2.9739776951672861E-2</v>
      </c>
      <c r="J83" s="187"/>
      <c r="K83" s="199"/>
      <c r="L83" s="197">
        <v>18</v>
      </c>
      <c r="M83" s="198" t="s">
        <v>44</v>
      </c>
      <c r="N83" s="202">
        <f ca="1">IF(AND(ISNUMBER($L83),ISNUMBER(N$5)),IF(N$7=1,(N27)/(SUM(N$10:OFFSET(N$10,$M$5-1,0,1,1))),(1/N27)/SUM(1/N$10:OFFSET(N$10,$M$5-1,0,1,1))),"")</f>
        <v>4.2666916729182304E-2</v>
      </c>
      <c r="O83" s="202">
        <f ca="1">IF(AND(ISNUMBER($L83),ISNUMBER(O$5)),IF(O$7=1,(O27)/(SUM(O$10:OFFSET(O$10,$M$5-1,0,1,1))),(1/O27)/SUM(1/O$10:OFFSET(O$10,$M$5-1,0,1,1))),"")</f>
        <v>4.7854242124903967E-2</v>
      </c>
      <c r="P83" s="202">
        <f ca="1">IF(AND(ISNUMBER($L83),ISNUMBER(P$5)),IF(P$7=1,(P27)/(SUM(P$10:OFFSET(P$10,$M$5-1,0,1,1))),(1/P27)/SUM(1/P$10:OFFSET(P$10,$M$5-1,0,1,1))),"")</f>
        <v>4.123616236162362E-2</v>
      </c>
      <c r="Q83" s="202">
        <f ca="1">IF(AND(ISNUMBER($L83),ISNUMBER(Q$5)),IF(Q$7=1,(Q27)/(SUM(Q$10:OFFSET(Q$10,$M$5-1,0,1,1))),(1/Q27)/SUM(1/Q$10:OFFSET(Q$10,$M$5-1,0,1,1))),"")</f>
        <v>5.0938337801608592E-2</v>
      </c>
      <c r="R83" s="202">
        <f ca="1">IF(AND(ISNUMBER($L83),ISNUMBER(R$5)),IF(R$7=1,(R27)/(SUM(R$10:OFFSET(R$10,$M$5-1,0,1,1))),(1/R27)/SUM(1/R$10:OFFSET(R$10,$M$5-1,0,1,1))),"")</f>
        <v>3.8957101712899803E-2</v>
      </c>
      <c r="S83" s="202">
        <f ca="1">IF(AND(ISNUMBER($L83),ISNUMBER(S$5)),IF(S$7=1,(S27)/(SUM(S$10:OFFSET(S$10,$M$5-1,0,1,1))),(1/S27)/SUM(1/S$10:OFFSET(S$10,$M$5-1,0,1,1))),"")</f>
        <v>3.0214191695584539E-2</v>
      </c>
      <c r="T83" s="187"/>
      <c r="U83" s="199"/>
      <c r="V83" s="197">
        <v>18</v>
      </c>
      <c r="W83" s="198" t="s">
        <v>44</v>
      </c>
      <c r="X83" s="202">
        <f ca="1">IF(AND(ISNUMBER($V83),ISNUMBER(X$5)),IF(X$7=1,(X27)/(SUM(X$10:OFFSET(X$10,$W$5-1,0,1,1))),(1/X27)/SUM(1/X$10:OFFSET(X$10,$W$5-1,0,1,1))),"")</f>
        <v>4.1680544321263738E-2</v>
      </c>
      <c r="Y83" s="202">
        <f ca="1">IF(AND(ISNUMBER($V83),ISNUMBER(Y$5)),IF(Y$7=1,(Y27)/(SUM(Y$10:OFFSET(Y$10,$W$5-1,0,1,1))),(1/Y27)/SUM(1/Y$10:OFFSET(Y$10,$W$5-1,0,1,1))),"")</f>
        <v>4.5614846505174313E-2</v>
      </c>
      <c r="Z83" s="202">
        <f ca="1">IF(AND(ISNUMBER($V83),ISNUMBER(Z$5)),IF(Z$7=1,(Z27)/(SUM(Z$10:OFFSET(Z$10,$W$5-1,0,1,1))),(1/Z27)/SUM(1/Z$10:OFFSET(Z$10,$W$5-1,0,1,1))),"")</f>
        <v>4.3499190407421992E-2</v>
      </c>
      <c r="AA83" s="202">
        <f ca="1">IF(AND(ISNUMBER($V83),ISNUMBER(AA$5)),IF(AA$7=1,(AA27)/(SUM(AA$10:OFFSET(AA$10,$W$5-1,0,1,1))),(1/AA27)/SUM(1/AA$10:OFFSET(AA$10,$W$5-1,0,1,1))),"")</f>
        <v>4.9055068270187192E-2</v>
      </c>
      <c r="AB83" s="202">
        <f ca="1">IF(AND(ISNUMBER($V83),ISNUMBER(AB$5)),IF(AB$7=1,(AB27)/(SUM(AB$10:OFFSET(AB$10,$W$5-1,0,1,1))),(1/AB27)/SUM(1/AB$10:OFFSET(AB$10,$W$5-1,0,1,1))),"")</f>
        <v>3.8437091045055154E-2</v>
      </c>
      <c r="AC83" s="202">
        <f ca="1">IF(AND(ISNUMBER($V83),ISNUMBER(AC$5)),IF(AC$7=1,(AC27)/(SUM(AC$10:OFFSET(AC$10,$W$5-1,0,1,1))),(1/AC27)/SUM(1/AC$10:OFFSET(AC$10,$W$5-1,0,1,1))),"")</f>
        <v>2.9977240057498803E-2</v>
      </c>
    </row>
    <row r="84" spans="1:29" ht="14.25" customHeight="1">
      <c r="A84" s="199"/>
      <c r="B84" s="197">
        <v>19</v>
      </c>
      <c r="C84" s="198" t="s">
        <v>45</v>
      </c>
      <c r="D84" s="202">
        <f ca="1">IF(AND(ISNUMBER($B84),ISNUMBER(D$5)),IF(D$7=1,(D28)/(SUM(D$10:OFFSET(D$10,$C$5-1,0,1,1))),(1/D28)/SUM(1/D$10:OFFSET(D$10,$C$5-1,0,1,1))),"")</f>
        <v>1.6806722689075633E-2</v>
      </c>
      <c r="E84" s="202">
        <f ca="1">IF(AND(ISNUMBER($B84),ISNUMBER(E$5)),IF(E$7=1,(E28)/(SUM(E$10:OFFSET(E$10,$C$5-1,0,1,1))),(1/E28)/SUM(1/E$10:OFFSET(E$10,$C$5-1,0,1,1))),"")</f>
        <v>2.1011483019789882E-2</v>
      </c>
      <c r="F84" s="202">
        <f ca="1">IF(AND(ISNUMBER($B84),ISNUMBER(F$5)),IF(F$7=1,(F28)/(SUM(F$10:OFFSET(F$10,$C$5-1,0,1,1))),(1/F28)/SUM(1/F$10:OFFSET(F$10,$C$5-1,0,1,1))),"")</f>
        <v>2.3978020148197485E-2</v>
      </c>
      <c r="G84" s="202">
        <f ca="1">IF(AND(ISNUMBER($B84),ISNUMBER(G$5)),IF(G$7=1,(G28)/(SUM(G$10:OFFSET(G$10,$C$5-1,0,1,1))),(1/G28)/SUM(1/G$10:OFFSET(G$10,$C$5-1,0,1,1))),"")</f>
        <v>2.7096162955945038E-2</v>
      </c>
      <c r="H84" s="202">
        <f ca="1">IF(AND(ISNUMBER($B84),ISNUMBER(H$5)),IF(H$7=1,(H28)/(SUM(H$10:OFFSET(H$10,$C$5-1,0,1,1))),(1/H28)/SUM(1/H$10:OFFSET(H$10,$C$5-1,0,1,1))),"")</f>
        <v>1.9629547634860894E-2</v>
      </c>
      <c r="I84" s="202">
        <f ca="1">IF(AND(ISNUMBER($B84),ISNUMBER(I$5)),IF(I$7=1,(I28)/(SUM(I$10:OFFSET(I$10,$C$5-1,0,1,1))),(1/I28)/SUM(1/I$10:OFFSET(I$10,$C$5-1,0,1,1))),"")</f>
        <v>4.4669624655234434E-2</v>
      </c>
      <c r="J84" s="187"/>
      <c r="K84" s="199"/>
      <c r="L84" s="197">
        <v>19</v>
      </c>
      <c r="M84" s="198" t="s">
        <v>45</v>
      </c>
      <c r="N84" s="202">
        <f ca="1">IF(AND(ISNUMBER($L84),ISNUMBER(N$5)),IF(N$7=1,(N28)/(SUM(N$10:OFFSET(N$10,$M$5-1,0,1,1))),(1/N28)/SUM(1/N$10:OFFSET(N$10,$M$5-1,0,1,1))),"")</f>
        <v>1.6316579144786198E-2</v>
      </c>
      <c r="O84" s="202">
        <f ca="1">IF(AND(ISNUMBER($L84),ISNUMBER(O$5)),IF(O$7=1,(O28)/(SUM(O$10:OFFSET(O$10,$M$5-1,0,1,1))),(1/O28)/SUM(1/O$10:OFFSET(O$10,$M$5-1,0,1,1))),"")</f>
        <v>2.3488091318186809E-2</v>
      </c>
      <c r="P84" s="202">
        <f ca="1">IF(AND(ISNUMBER($L84),ISNUMBER(P$5)),IF(P$7=1,(P28)/(SUM(P$10:OFFSET(P$10,$M$5-1,0,1,1))),(1/P28)/SUM(1/P$10:OFFSET(P$10,$M$5-1,0,1,1))),"")</f>
        <v>3.3763837638376384E-2</v>
      </c>
      <c r="Q84" s="202">
        <f ca="1">IF(AND(ISNUMBER($L84),ISNUMBER(Q$5)),IF(Q$7=1,(Q28)/(SUM(Q$10:OFFSET(Q$10,$M$5-1,0,1,1))),(1/Q28)/SUM(1/Q$10:OFFSET(Q$10,$M$5-1,0,1,1))),"")</f>
        <v>2.4734065553921998E-2</v>
      </c>
      <c r="R84" s="202">
        <f ca="1">IF(AND(ISNUMBER($L84),ISNUMBER(R$5)),IF(R$7=1,(R28)/(SUM(R$10:OFFSET(R$10,$M$5-1,0,1,1))),(1/R28)/SUM(1/R$10:OFFSET(R$10,$M$5-1,0,1,1))),"")</f>
        <v>1.424890101561316E-2</v>
      </c>
      <c r="S84" s="202">
        <f ca="1">IF(AND(ISNUMBER($L84),ISNUMBER(S$5)),IF(S$7=1,(S28)/(SUM(S$10:OFFSET(S$10,$M$5-1,0,1,1))),(1/S28)/SUM(1/S$10:OFFSET(S$10,$M$5-1,0,1,1))),"")</f>
        <v>4.4693071676438913E-2</v>
      </c>
      <c r="T84" s="187"/>
      <c r="U84" s="199"/>
      <c r="V84" s="197">
        <v>19</v>
      </c>
      <c r="W84" s="198" t="s">
        <v>45</v>
      </c>
      <c r="X84" s="202">
        <f ca="1">IF(AND(ISNUMBER($V84),ISNUMBER(X$5)),IF(X$7=1,(X28)/(SUM(X$10:OFFSET(X$10,$W$5-1,0,1,1))),(1/X28)/SUM(1/X$10:OFFSET(X$10,$W$5-1,0,1,1))),"")</f>
        <v>1.6558024456392446E-2</v>
      </c>
      <c r="Y84" s="202">
        <f ca="1">IF(AND(ISNUMBER($V84),ISNUMBER(Y$5)),IF(Y$7=1,(Y28)/(SUM(Y$10:OFFSET(Y$10,$W$5-1,0,1,1))),(1/Y28)/SUM(1/Y$10:OFFSET(Y$10,$W$5-1,0,1,1))),"")</f>
        <v>2.2316008556397059E-2</v>
      </c>
      <c r="Z84" s="202">
        <f ca="1">IF(AND(ISNUMBER($V84),ISNUMBER(Z$5)),IF(Z$7=1,(Z28)/(SUM(Z$10:OFFSET(Z$10,$W$5-1,0,1,1))),(1/Z28)/SUM(1/Z$10:OFFSET(Z$10,$W$5-1,0,1,1))),"")</f>
        <v>2.8620191676513061E-2</v>
      </c>
      <c r="AA84" s="202">
        <f ca="1">IF(AND(ISNUMBER($V84),ISNUMBER(AA$5)),IF(AA$7=1,(AA28)/(SUM(AA$10:OFFSET(AA$10,$W$5-1,0,1,1))),(1/AA28)/SUM(1/AA$10:OFFSET(AA$10,$W$5-1,0,1,1))),"")</f>
        <v>2.5861289447508828E-2</v>
      </c>
      <c r="AB84" s="202">
        <f ca="1">IF(AND(ISNUMBER($V84),ISNUMBER(AB$5)),IF(AB$7=1,(AB28)/(SUM(AB$10:OFFSET(AB$10,$W$5-1,0,1,1))),(1/AB28)/SUM(1/AB$10:OFFSET(AB$10,$W$5-1,0,1,1))),"")</f>
        <v>1.6975135539353155E-2</v>
      </c>
      <c r="AC84" s="202">
        <f ca="1">IF(AND(ISNUMBER($V84),ISNUMBER(AC$5)),IF(AC$7=1,(AC28)/(SUM(AC$10:OFFSET(AC$10,$W$5-1,0,1,1))),(1/AC28)/SUM(1/AC$10:OFFSET(AC$10,$W$5-1,0,1,1))),"")</f>
        <v>4.4681360804983229E-2</v>
      </c>
    </row>
    <row r="85" spans="1:29" ht="14.25" customHeight="1">
      <c r="A85" s="199"/>
      <c r="B85" s="197">
        <v>20</v>
      </c>
      <c r="C85" s="198" t="s">
        <v>46</v>
      </c>
      <c r="D85" s="202">
        <f ca="1">IF(AND(ISNUMBER($B85),ISNUMBER(D$5)),IF(D$7=1,(D29)/(SUM(D$10:OFFSET(D$10,$C$5-1,0,1,1))),(1/D29)/SUM(1/D$10:OFFSET(D$10,$C$5-1,0,1,1))),"")</f>
        <v>4.2499758524099304E-2</v>
      </c>
      <c r="E85" s="202">
        <f ca="1">IF(AND(ISNUMBER($B85),ISNUMBER(E$5)),IF(E$7=1,(E29)/(SUM(E$10:OFFSET(E$10,$C$5-1,0,1,1))),(1/E29)/SUM(1/E$10:OFFSET(E$10,$C$5-1,0,1,1))),"")</f>
        <v>3.4937698509650623E-2</v>
      </c>
      <c r="F85" s="202">
        <f ca="1">IF(AND(ISNUMBER($B85),ISNUMBER(F$5)),IF(F$7=1,(F29)/(SUM(F$10:OFFSET(F$10,$C$5-1,0,1,1))),(1/F29)/SUM(1/F$10:OFFSET(F$10,$C$5-1,0,1,1))),"")</f>
        <v>3.4301889934226955E-2</v>
      </c>
      <c r="G85" s="202">
        <f ca="1">IF(AND(ISNUMBER($B85),ISNUMBER(G$5)),IF(G$7=1,(G29)/(SUM(G$10:OFFSET(G$10,$C$5-1,0,1,1))),(1/G29)/SUM(1/G$10:OFFSET(G$10,$C$5-1,0,1,1))),"")</f>
        <v>4.377072477498814E-2</v>
      </c>
      <c r="H85" s="202">
        <f ca="1">IF(AND(ISNUMBER($B85),ISNUMBER(H$5)),IF(H$7=1,(H29)/(SUM(H$10:OFFSET(H$10,$C$5-1,0,1,1))),(1/H29)/SUM(1/H$10:OFFSET(H$10,$C$5-1,0,1,1))),"")</f>
        <v>3.756180355693306E-2</v>
      </c>
      <c r="I85" s="202">
        <f ca="1">IF(AND(ISNUMBER($B85),ISNUMBER(I$5)),IF(I$7=1,(I29)/(SUM(I$10:OFFSET(I$10,$C$5-1,0,1,1))),(1/I29)/SUM(1/I$10:OFFSET(I$10,$C$5-1,0,1,1))),"")</f>
        <v>3.531598513011152E-2</v>
      </c>
      <c r="J85" s="187"/>
      <c r="K85" s="199"/>
      <c r="L85" s="197">
        <v>20</v>
      </c>
      <c r="M85" s="198" t="s">
        <v>46</v>
      </c>
      <c r="N85" s="202">
        <f ca="1">IF(AND(ISNUMBER($L85),ISNUMBER(N$5)),IF(N$7=1,(N29)/(SUM(N$10:OFFSET(N$10,$M$5-1,0,1,1))),(1/N29)/SUM(1/N$10:OFFSET(N$10,$M$5-1,0,1,1))),"")</f>
        <v>4.1260315078769698E-2</v>
      </c>
      <c r="O85" s="202">
        <f ca="1">IF(AND(ISNUMBER($L85),ISNUMBER(O$5)),IF(O$7=1,(O29)/(SUM(O$10:OFFSET(O$10,$M$5-1,0,1,1))),(1/O29)/SUM(1/O$10:OFFSET(O$10,$M$5-1,0,1,1))),"")</f>
        <v>3.1390626714959943E-2</v>
      </c>
      <c r="P85" s="202">
        <f ca="1">IF(AND(ISNUMBER($L85),ISNUMBER(P$5)),IF(P$7=1,(P29)/(SUM(P$10:OFFSET(P$10,$M$5-1,0,1,1))),(1/P29)/SUM(1/P$10:OFFSET(P$10,$M$5-1,0,1,1))),"")</f>
        <v>3.3487084870848706E-2</v>
      </c>
      <c r="Q85" s="202">
        <f ca="1">IF(AND(ISNUMBER($L85),ISNUMBER(Q$5)),IF(Q$7=1,(Q29)/(SUM(Q$10:OFFSET(Q$10,$M$5-1,0,1,1))),(1/Q29)/SUM(1/Q$10:OFFSET(Q$10,$M$5-1,0,1,1))),"")</f>
        <v>4.4019718066245793E-2</v>
      </c>
      <c r="R85" s="202">
        <f ca="1">IF(AND(ISNUMBER($L85),ISNUMBER(R$5)),IF(R$7=1,(R29)/(SUM(R$10:OFFSET(R$10,$M$5-1,0,1,1))),(1/R29)/SUM(1/R$10:OFFSET(R$10,$M$5-1,0,1,1))),"")</f>
        <v>3.8957101712899803E-2</v>
      </c>
      <c r="S85" s="202">
        <f ca="1">IF(AND(ISNUMBER($L85),ISNUMBER(S$5)),IF(S$7=1,(S29)/(SUM(S$10:OFFSET(S$10,$M$5-1,0,1,1))),(1/S29)/SUM(1/S$10:OFFSET(S$10,$M$5-1,0,1,1))),"")</f>
        <v>3.500059830082565E-2</v>
      </c>
      <c r="T85" s="187"/>
      <c r="U85" s="199"/>
      <c r="V85" s="197">
        <v>20</v>
      </c>
      <c r="W85" s="198" t="s">
        <v>46</v>
      </c>
      <c r="X85" s="202">
        <f ca="1">IF(AND(ISNUMBER($V85),ISNUMBER(X$5)),IF(X$7=1,(X29)/(SUM(X$10:OFFSET(X$10,$W$5-1,0,1,1))),(1/X29)/SUM(1/X$10:OFFSET(X$10,$W$5-1,0,1,1))),"")</f>
        <v>4.1870866441452159E-2</v>
      </c>
      <c r="Y85" s="202">
        <f ca="1">IF(AND(ISNUMBER($V85),ISNUMBER(Y$5)),IF(Y$7=1,(Y29)/(SUM(Y$10:OFFSET(Y$10,$W$5-1,0,1,1))),(1/Y29)/SUM(1/Y$10:OFFSET(Y$10,$W$5-1,0,1,1))),"")</f>
        <v>3.306931837890964E-2</v>
      </c>
      <c r="Z85" s="202">
        <f ca="1">IF(AND(ISNUMBER($V85),ISNUMBER(Z$5)),IF(Z$7=1,(Z29)/(SUM(Z$10:OFFSET(Z$10,$W$5-1,0,1,1))),(1/Z29)/SUM(1/Z$10:OFFSET(Z$10,$W$5-1,0,1,1))),"")</f>
        <v>3.3915364754277706E-2</v>
      </c>
      <c r="AA85" s="202">
        <f ca="1">IF(AND(ISNUMBER($V85),ISNUMBER(AA$5)),IF(AA$7=1,(AA29)/(SUM(AA$10:OFFSET(AA$10,$W$5-1,0,1,1))),(1/AA29)/SUM(1/AA$10:OFFSET(AA$10,$W$5-1,0,1,1))),"")</f>
        <v>4.3900895198480887E-2</v>
      </c>
      <c r="AB85" s="202">
        <f ca="1">IF(AND(ISNUMBER($V85),ISNUMBER(AB$5)),IF(AB$7=1,(AB29)/(SUM(AB$10:OFFSET(AB$10,$W$5-1,0,1,1))),(1/AB29)/SUM(1/AB$10:OFFSET(AB$10,$W$5-1,0,1,1))),"")</f>
        <v>3.8250140213123951E-2</v>
      </c>
      <c r="AC85" s="202">
        <f ca="1">IF(AND(ISNUMBER($V85),ISNUMBER(AC$5)),IF(AC$7=1,(AC29)/(SUM(AC$10:OFFSET(AC$10,$W$5-1,0,1,1))),(1/AC29)/SUM(1/AC$10:OFFSET(AC$10,$W$5-1,0,1,1))),"")</f>
        <v>3.5158121705797803E-2</v>
      </c>
    </row>
    <row r="86" spans="1:29" ht="14.25" customHeight="1">
      <c r="A86" s="199"/>
      <c r="B86" s="197">
        <v>21</v>
      </c>
      <c r="C86" s="198" t="s">
        <v>47</v>
      </c>
      <c r="D86" s="202">
        <f ca="1">IF(AND(ISNUMBER($B86),ISNUMBER(D$5)),IF(D$7=1,(D30)/(SUM(D$10:OFFSET(D$10,$C$5-1,0,1,1))),(1/D30)/SUM(1/D$10:OFFSET(D$10,$C$5-1,0,1,1))),"")</f>
        <v>4.8488360861586026E-2</v>
      </c>
      <c r="E86" s="202">
        <f ca="1">IF(AND(ISNUMBER($B86),ISNUMBER(E$5)),IF(E$7=1,(E30)/(SUM(E$10:OFFSET(E$10,$C$5-1,0,1,1))),(1/E30)/SUM(1/E$10:OFFSET(E$10,$C$5-1,0,1,1))),"")</f>
        <v>4.6787197654532126E-2</v>
      </c>
      <c r="F86" s="202">
        <f ca="1">IF(AND(ISNUMBER($B86),ISNUMBER(F$5)),IF(F$7=1,(F30)/(SUM(F$10:OFFSET(F$10,$C$5-1,0,1,1))),(1/F30)/SUM(1/F$10:OFFSET(F$10,$C$5-1,0,1,1))),"")</f>
        <v>5.9362251269669458E-2</v>
      </c>
      <c r="G86" s="202">
        <f ca="1">IF(AND(ISNUMBER($B86),ISNUMBER(G$5)),IF(G$7=1,(G30)/(SUM(G$10:OFFSET(G$10,$C$5-1,0,1,1))),(1/G30)/SUM(1/G$10:OFFSET(G$10,$C$5-1,0,1,1))),"")</f>
        <v>4.8223590715300781E-2</v>
      </c>
      <c r="H86" s="202">
        <f ca="1">IF(AND(ISNUMBER($B86),ISNUMBER(H$5)),IF(H$7=1,(H30)/(SUM(H$10:OFFSET(H$10,$C$5-1,0,1,1))),(1/H30)/SUM(1/H$10:OFFSET(H$10,$C$5-1,0,1,1))),"")</f>
        <v>5.0254593756918299E-2</v>
      </c>
      <c r="I86" s="202">
        <f ca="1">IF(AND(ISNUMBER($B86),ISNUMBER(I$5)),IF(I$7=1,(I30)/(SUM(I$10:OFFSET(I$10,$C$5-1,0,1,1))),(1/I30)/SUM(1/I$10:OFFSET(I$10,$C$5-1,0,1,1))),"")</f>
        <v>5.030579206139825E-2</v>
      </c>
      <c r="J86" s="187"/>
      <c r="K86" s="199"/>
      <c r="L86" s="197">
        <v>21</v>
      </c>
      <c r="M86" s="198" t="s">
        <v>47</v>
      </c>
      <c r="N86" s="202">
        <f ca="1">IF(AND(ISNUMBER($L86),ISNUMBER(N$5)),IF(N$7=1,(N30)/(SUM(N$10:OFFSET(N$10,$M$5-1,0,1,1))),(1/N30)/SUM(1/N$10:OFFSET(N$10,$M$5-1,0,1,1))),"")</f>
        <v>4.7074268567141794E-2</v>
      </c>
      <c r="O86" s="202">
        <f ca="1">IF(AND(ISNUMBER($L86),ISNUMBER(O$5)),IF(O$7=1,(O30)/(SUM(O$10:OFFSET(O$10,$M$5-1,0,1,1))),(1/O30)/SUM(1/O$10:OFFSET(O$10,$M$5-1,0,1,1))),"")</f>
        <v>4.6646910328174737E-2</v>
      </c>
      <c r="P86" s="202">
        <f ca="1">IF(AND(ISNUMBER($L86),ISNUMBER(P$5)),IF(P$7=1,(P30)/(SUM(P$10:OFFSET(P$10,$M$5-1,0,1,1))),(1/P30)/SUM(1/P$10:OFFSET(P$10,$M$5-1,0,1,1))),"")</f>
        <v>5.9870848708487093E-2</v>
      </c>
      <c r="Q86" s="202">
        <f ca="1">IF(AND(ISNUMBER($L86),ISNUMBER(Q$5)),IF(Q$7=1,(Q30)/(SUM(Q$10:OFFSET(Q$10,$M$5-1,0,1,1))),(1/Q30)/SUM(1/Q$10:OFFSET(Q$10,$M$5-1,0,1,1))),"")</f>
        <v>4.4019718066245793E-2</v>
      </c>
      <c r="R86" s="202">
        <f ca="1">IF(AND(ISNUMBER($L86),ISNUMBER(R$5)),IF(R$7=1,(R30)/(SUM(R$10:OFFSET(R$10,$M$5-1,0,1,1))),(1/R30)/SUM(1/R$10:OFFSET(R$10,$M$5-1,0,1,1))),"")</f>
        <v>4.5247839927239658E-2</v>
      </c>
      <c r="S86" s="202">
        <f ca="1">IF(AND(ISNUMBER($L86),ISNUMBER(S$5)),IF(S$7=1,(S30)/(SUM(S$10:OFFSET(S$10,$M$5-1,0,1,1))),(1/S30)/SUM(1/S$10:OFFSET(S$10,$M$5-1,0,1,1))),"")</f>
        <v>5.0616249850424788E-2</v>
      </c>
      <c r="T86" s="187"/>
      <c r="U86" s="199"/>
      <c r="V86" s="197">
        <v>21</v>
      </c>
      <c r="W86" s="198" t="s">
        <v>47</v>
      </c>
      <c r="X86" s="202">
        <f ca="1">IF(AND(ISNUMBER($V86),ISNUMBER(X$5)),IF(X$7=1,(X30)/(SUM(X$10:OFFSET(X$10,$W$5-1,0,1,1))),(1/X30)/SUM(1/X$10:OFFSET(X$10,$W$5-1,0,1,1))),"")</f>
        <v>4.7770852167293147E-2</v>
      </c>
      <c r="Y86" s="202">
        <f ca="1">IF(AND(ISNUMBER($V86),ISNUMBER(Y$5)),IF(Y$7=1,(Y30)/(SUM(Y$10:OFFSET(Y$10,$W$5-1,0,1,1))),(1/Y30)/SUM(1/Y$10:OFFSET(Y$10,$W$5-1,0,1,1))),"")</f>
        <v>4.671330288489333E-2</v>
      </c>
      <c r="Z86" s="202">
        <f ca="1">IF(AND(ISNUMBER($V86),ISNUMBER(Z$5)),IF(Z$7=1,(Z30)/(SUM(Z$10:OFFSET(Z$10,$W$5-1,0,1,1))),(1/Z30)/SUM(1/Z$10:OFFSET(Z$10,$W$5-1,0,1,1))),"")</f>
        <v>5.9603518445582239E-2</v>
      </c>
      <c r="AA86" s="202">
        <f ca="1">IF(AND(ISNUMBER($V86),ISNUMBER(AA$5)),IF(AA$7=1,(AA30)/(SUM(AA$10:OFFSET(AA$10,$W$5-1,0,1,1))),(1/AA30)/SUM(1/AA$10:OFFSET(AA$10,$W$5-1,0,1,1))),"")</f>
        <v>4.6025861289447523E-2</v>
      </c>
      <c r="AB86" s="202">
        <f ca="1">IF(AND(ISNUMBER($V86),ISNUMBER(AB$5)),IF(AB$7=1,(AB30)/(SUM(AB$10:OFFSET(AB$10,$W$5-1,0,1,1))),(1/AB30)/SUM(1/AB$10:OFFSET(AB$10,$W$5-1,0,1,1))),"")</f>
        <v>4.7784632641615261E-2</v>
      </c>
      <c r="AC86" s="202">
        <f ca="1">IF(AND(ISNUMBER($V86),ISNUMBER(AC$5)),IF(AC$7=1,(AC30)/(SUM(AC$10:OFFSET(AC$10,$W$5-1,0,1,1))),(1/AC30)/SUM(1/AC$10:OFFSET(AC$10,$W$5-1,0,1,1))),"")</f>
        <v>5.0461188308576904E-2</v>
      </c>
    </row>
    <row r="87" spans="1:29" ht="14.25" customHeight="1">
      <c r="A87" s="199"/>
      <c r="B87" s="197">
        <v>22</v>
      </c>
      <c r="C87" s="198" t="s">
        <v>48</v>
      </c>
      <c r="D87" s="202">
        <f ca="1">IF(AND(ISNUMBER($B87),ISNUMBER(D$5)),IF(D$7=1,(D31)/(SUM(D$10:OFFSET(D$10,$C$5-1,0,1,1))),(1/D31)/SUM(1/D$10:OFFSET(D$10,$C$5-1,0,1,1))),"")</f>
        <v>2.9749830966869516E-2</v>
      </c>
      <c r="E87" s="202">
        <f ca="1">IF(AND(ISNUMBER($B87),ISNUMBER(E$5)),IF(E$7=1,(E31)/(SUM(E$10:OFFSET(E$10,$C$5-1,0,1,1))),(1/E31)/SUM(1/E$10:OFFSET(E$10,$C$5-1,0,1,1))),"")</f>
        <v>7.0852675299291467E-3</v>
      </c>
      <c r="F87" s="202">
        <f ca="1">IF(AND(ISNUMBER($B87),ISNUMBER(F$5)),IF(F$7=1,(F31)/(SUM(F$10:OFFSET(F$10,$C$5-1,0,1,1))),(1/F31)/SUM(1/F$10:OFFSET(F$10,$C$5-1,0,1,1))),"")</f>
        <v>2.8723669969194902E-2</v>
      </c>
      <c r="G87" s="202">
        <f ca="1">IF(AND(ISNUMBER($B87),ISNUMBER(G$5)),IF(G$7=1,(G31)/(SUM(G$10:OFFSET(G$10,$C$5-1,0,1,1))),(1/G31)/SUM(1/G$10:OFFSET(G$10,$C$5-1,0,1,1))),"")</f>
        <v>2.3590715300805296E-2</v>
      </c>
      <c r="H87" s="202">
        <f ca="1">IF(AND(ISNUMBER($B87),ISNUMBER(H$5)),IF(H$7=1,(H31)/(SUM(H$10:OFFSET(H$10,$C$5-1,0,1,1))),(1/H31)/SUM(1/H$10:OFFSET(H$10,$C$5-1,0,1,1))),"")</f>
        <v>2.9075344992989444E-2</v>
      </c>
      <c r="I87" s="202">
        <f ca="1">IF(AND(ISNUMBER($B87),ISNUMBER(I$5)),IF(I$7=1,(I31)/(SUM(I$10:OFFSET(I$10,$C$5-1,0,1,1))),(1/I31)/SUM(1/I$10:OFFSET(I$10,$C$5-1,0,1,1))),"")</f>
        <v>2.6082264060438898E-2</v>
      </c>
      <c r="J87" s="187"/>
      <c r="K87" s="199"/>
      <c r="L87" s="197">
        <v>22</v>
      </c>
      <c r="M87" s="198" t="s">
        <v>48</v>
      </c>
      <c r="N87" s="202">
        <f ca="1">IF(AND(ISNUMBER($L87),ISNUMBER(N$5)),IF(N$7=1,(N31)/(SUM(N$10:OFFSET(N$10,$M$5-1,0,1,1))),(1/N31)/SUM(1/N$10:OFFSET(N$10,$M$5-1,0,1,1))),"")</f>
        <v>2.0723930982745692E-2</v>
      </c>
      <c r="O87" s="202">
        <f ca="1">IF(AND(ISNUMBER($L87),ISNUMBER(O$5)),IF(O$7=1,(O31)/(SUM(O$10:OFFSET(O$10,$M$5-1,0,1,1))),(1/O31)/SUM(1/O$10:OFFSET(O$10,$M$5-1,0,1,1))),"")</f>
        <v>1.163428822302711E-2</v>
      </c>
      <c r="P87" s="202">
        <f ca="1">IF(AND(ISNUMBER($L87),ISNUMBER(P$5)),IF(P$7=1,(P31)/(SUM(P$10:OFFSET(P$10,$M$5-1,0,1,1))),(1/P31)/SUM(1/P$10:OFFSET(P$10,$M$5-1,0,1,1))),"")</f>
        <v>2.7029520295202954E-2</v>
      </c>
      <c r="Q87" s="202">
        <f ca="1">IF(AND(ISNUMBER($L87),ISNUMBER(Q$5)),IF(Q$7=1,(Q31)/(SUM(Q$10:OFFSET(Q$10,$M$5-1,0,1,1))),(1/Q31)/SUM(1/Q$10:OFFSET(Q$10,$M$5-1,0,1,1))),"")</f>
        <v>2.1447721179624672E-2</v>
      </c>
      <c r="R87" s="202">
        <f ca="1">IF(AND(ISNUMBER($L87),ISNUMBER(R$5)),IF(R$7=1,(R31)/(SUM(R$10:OFFSET(R$10,$M$5-1,0,1,1))),(1/R31)/SUM(1/R$10:OFFSET(R$10,$M$5-1,0,1,1))),"")</f>
        <v>3.1150522964984089E-2</v>
      </c>
      <c r="S87" s="202">
        <f ca="1">IF(AND(ISNUMBER($L87),ISNUMBER(S$5)),IF(S$7=1,(S31)/(SUM(S$10:OFFSET(S$10,$M$5-1,0,1,1))),(1/S31)/SUM(1/S$10:OFFSET(S$10,$M$5-1,0,1,1))),"")</f>
        <v>2.8718439631446688E-2</v>
      </c>
      <c r="T87" s="187"/>
      <c r="U87" s="199"/>
      <c r="V87" s="197">
        <v>22</v>
      </c>
      <c r="W87" s="198" t="s">
        <v>48</v>
      </c>
      <c r="X87" s="202">
        <f ca="1">IF(AND(ISNUMBER($V87),ISNUMBER(X$5)),IF(X$7=1,(X31)/(SUM(X$10:OFFSET(X$10,$W$5-1,0,1,1))),(1/X31)/SUM(1/X$10:OFFSET(X$10,$W$5-1,0,1,1))),"")</f>
        <v>2.5170100394918404E-2</v>
      </c>
      <c r="Y87" s="202">
        <f ca="1">IF(AND(ISNUMBER($V87),ISNUMBER(Y$5)),IF(Y$7=1,(Y31)/(SUM(Y$10:OFFSET(Y$10,$W$5-1,0,1,1))),(1/Y31)/SUM(1/Y$10:OFFSET(Y$10,$W$5-1,0,1,1))),"")</f>
        <v>9.4814129617852797E-3</v>
      </c>
      <c r="Z87" s="202">
        <f ca="1">IF(AND(ISNUMBER($V87),ISNUMBER(Z$5)),IF(Z$7=1,(Z31)/(SUM(Z$10:OFFSET(Z$10,$W$5-1,0,1,1))),(1/Z31)/SUM(1/Z$10:OFFSET(Z$10,$W$5-1,0,1,1))),"")</f>
        <v>2.7920003500940871E-2</v>
      </c>
      <c r="AA87" s="202">
        <f ca="1">IF(AND(ISNUMBER($V87),ISNUMBER(AA$5)),IF(AA$7=1,(AA31)/(SUM(AA$10:OFFSET(AA$10,$W$5-1,0,1,1))),(1/AA31)/SUM(1/AA$10:OFFSET(AA$10,$W$5-1,0,1,1))),"")</f>
        <v>2.2470386110859941E-2</v>
      </c>
      <c r="AB87" s="202">
        <f ca="1">IF(AND(ISNUMBER($V87),ISNUMBER(AB$5)),IF(AB$7=1,(AB31)/(SUM(AB$10:OFFSET(AB$10,$W$5-1,0,1,1))),(1/AB31)/SUM(1/AB$10:OFFSET(AB$10,$W$5-1,0,1,1))),"")</f>
        <v>3.0099083940923543E-2</v>
      </c>
      <c r="AC87" s="202">
        <f ca="1">IF(AND(ISNUMBER($V87),ISNUMBER(AC$5)),IF(AC$7=1,(AC31)/(SUM(AC$10:OFFSET(AC$10,$W$5-1,0,1,1))),(1/AC31)/SUM(1/AC$10:OFFSET(AC$10,$W$5-1,0,1,1))),"")</f>
        <v>2.7401772879731674E-2</v>
      </c>
    </row>
    <row r="88" spans="1:29" ht="14.25" customHeight="1">
      <c r="A88" s="199"/>
      <c r="B88" s="197">
        <v>23</v>
      </c>
      <c r="C88" s="198" t="s">
        <v>49</v>
      </c>
      <c r="D88" s="202">
        <f ca="1">IF(AND(ISNUMBER($B88),ISNUMBER(D$5)),IF(D$7=1,(D32)/(SUM(D$10:OFFSET(D$10,$C$5-1,0,1,1))),(1/D32)/SUM(1/D$10:OFFSET(D$10,$C$5-1,0,1,1))),"")</f>
        <v>4.8584951221868067E-2</v>
      </c>
      <c r="E88" s="202">
        <f ca="1">IF(AND(ISNUMBER($B88),ISNUMBER(E$5)),IF(E$7=1,(E32)/(SUM(E$10:OFFSET(E$10,$C$5-1,0,1,1))),(1/E32)/SUM(1/E$10:OFFSET(E$10,$C$5-1,0,1,1))),"")</f>
        <v>4.2878084534571217E-2</v>
      </c>
      <c r="F88" s="202">
        <f ca="1">IF(AND(ISNUMBER($B88),ISNUMBER(F$5)),IF(F$7=1,(F32)/(SUM(F$10:OFFSET(F$10,$C$5-1,0,1,1))),(1/F32)/SUM(1/F$10:OFFSET(F$10,$C$5-1,0,1,1))),"")</f>
        <v>3.8631254683207057E-2</v>
      </c>
      <c r="G88" s="202">
        <f ca="1">IF(AND(ISNUMBER($B88),ISNUMBER(G$5)),IF(G$7=1,(G32)/(SUM(G$10:OFFSET(G$10,$C$5-1,0,1,1))),(1/G32)/SUM(1/G$10:OFFSET(G$10,$C$5-1,0,1,1))),"")</f>
        <v>4.6518237801989562E-2</v>
      </c>
      <c r="H88" s="202">
        <f ca="1">IF(AND(ISNUMBER($B88),ISNUMBER(H$5)),IF(H$7=1,(H32)/(SUM(H$10:OFFSET(H$10,$C$5-1,0,1,1))),(1/H32)/SUM(1/H$10:OFFSET(H$10,$C$5-1,0,1,1))),"")</f>
        <v>4.4055789240646445E-2</v>
      </c>
      <c r="I88" s="202">
        <f ca="1">IF(AND(ISNUMBER($B88),ISNUMBER(I$5)),IF(I$7=1,(I32)/(SUM(I$10:OFFSET(I$10,$C$5-1,0,1,1))),(1/I32)/SUM(1/I$10:OFFSET(I$10,$C$5-1,0,1,1))),"")</f>
        <v>3.4656433625134903E-2</v>
      </c>
      <c r="J88" s="187"/>
      <c r="K88" s="199"/>
      <c r="L88" s="197">
        <v>23</v>
      </c>
      <c r="M88" s="198" t="s">
        <v>49</v>
      </c>
      <c r="N88" s="202">
        <f ca="1">IF(AND(ISNUMBER($L88),ISNUMBER(N$5)),IF(N$7=1,(N32)/(SUM(N$10:OFFSET(N$10,$M$5-1,0,1,1))),(1/N32)/SUM(1/N$10:OFFSET(N$10,$M$5-1,0,1,1))),"")</f>
        <v>4.7918229557389357E-2</v>
      </c>
      <c r="O88" s="202">
        <f ca="1">IF(AND(ISNUMBER($L88),ISNUMBER(O$5)),IF(O$7=1,(O32)/(SUM(O$10:OFFSET(O$10,$M$5-1,0,1,1))),(1/O32)/SUM(1/O$10:OFFSET(O$10,$M$5-1,0,1,1))),"")</f>
        <v>4.5439578531445507E-2</v>
      </c>
      <c r="P88" s="202">
        <f ca="1">IF(AND(ISNUMBER($L88),ISNUMBER(P$5)),IF(P$7=1,(P32)/(SUM(P$10:OFFSET(P$10,$M$5-1,0,1,1))),(1/P32)/SUM(1/P$10:OFFSET(P$10,$M$5-1,0,1,1))),"")</f>
        <v>3.3763837638376384E-2</v>
      </c>
      <c r="Q88" s="202">
        <f ca="1">IF(AND(ISNUMBER($L88),ISNUMBER(Q$5)),IF(Q$7=1,(Q32)/(SUM(Q$10:OFFSET(Q$10,$M$5-1,0,1,1))),(1/Q32)/SUM(1/Q$10:OFFSET(Q$10,$M$5-1,0,1,1))),"")</f>
        <v>4.6614200467006844E-2</v>
      </c>
      <c r="R88" s="202">
        <f ca="1">IF(AND(ISNUMBER($L88),ISNUMBER(R$5)),IF(R$7=1,(R32)/(SUM(R$10:OFFSET(R$10,$M$5-1,0,1,1))),(1/R32)/SUM(1/R$10:OFFSET(R$10,$M$5-1,0,1,1))),"")</f>
        <v>4.5247839927239658E-2</v>
      </c>
      <c r="S88" s="202">
        <f ca="1">IF(AND(ISNUMBER($L88),ISNUMBER(S$5)),IF(S$7=1,(S32)/(SUM(S$10:OFFSET(S$10,$M$5-1,0,1,1))),(1/S32)/SUM(1/S$10:OFFSET(S$10,$M$5-1,0,1,1))),"")</f>
        <v>3.4222807227473971E-2</v>
      </c>
      <c r="T88" s="187"/>
      <c r="U88" s="199"/>
      <c r="V88" s="197">
        <v>23</v>
      </c>
      <c r="W88" s="198" t="s">
        <v>49</v>
      </c>
      <c r="X88" s="202">
        <f ca="1">IF(AND(ISNUMBER($V88),ISNUMBER(X$5)),IF(X$7=1,(X32)/(SUM(X$10:OFFSET(X$10,$W$5-1,0,1,1))),(1/X32)/SUM(1/X$10:OFFSET(X$10,$W$5-1,0,1,1))),"")</f>
        <v>4.8246657467764201E-2</v>
      </c>
      <c r="Y88" s="202">
        <f ca="1">IF(AND(ISNUMBER($V88),ISNUMBER(Y$5)),IF(Y$7=1,(Y32)/(SUM(Y$10:OFFSET(Y$10,$W$5-1,0,1,1))),(1/Y32)/SUM(1/Y$10:OFFSET(Y$10,$W$5-1,0,1,1))),"")</f>
        <v>4.4227322657108166E-2</v>
      </c>
      <c r="Z88" s="202">
        <f ca="1">IF(AND(ISNUMBER($V88),ISNUMBER(Z$5)),IF(Z$7=1,(Z32)/(SUM(Z$10:OFFSET(Z$10,$W$5-1,0,1,1))),(1/Z32)/SUM(1/Z$10:OFFSET(Z$10,$W$5-1,0,1,1))),"")</f>
        <v>3.6322261607807091E-2</v>
      </c>
      <c r="AA88" s="202">
        <f ca="1">IF(AND(ISNUMBER($V88),ISNUMBER(AA$5)),IF(AA$7=1,(AA32)/(SUM(AA$10:OFFSET(AA$10,$W$5-1,0,1,1))),(1/AA32)/SUM(1/AA$10:OFFSET(AA$10,$W$5-1,0,1,1))),"")</f>
        <v>4.6568405823311343E-2</v>
      </c>
      <c r="AB88" s="202">
        <f ca="1">IF(AND(ISNUMBER($V88),ISNUMBER(AB$5)),IF(AB$7=1,(AB32)/(SUM(AB$10:OFFSET(AB$10,$W$5-1,0,1,1))),(1/AB32)/SUM(1/AB$10:OFFSET(AB$10,$W$5-1,0,1,1))),"")</f>
        <v>4.4643858665171073E-2</v>
      </c>
      <c r="AC88" s="202">
        <f ca="1">IF(AND(ISNUMBER($V88),ISNUMBER(AC$5)),IF(AC$7=1,(AC32)/(SUM(AC$10:OFFSET(AC$10,$W$5-1,0,1,1))),(1/AC32)/SUM(1/AC$10:OFFSET(AC$10,$W$5-1,0,1,1))),"")</f>
        <v>3.4439386679444177E-2</v>
      </c>
    </row>
    <row r="89" spans="1:29" ht="14.25" customHeight="1">
      <c r="A89" s="199"/>
      <c r="B89" s="197">
        <v>24</v>
      </c>
      <c r="C89" s="198" t="s">
        <v>50</v>
      </c>
      <c r="D89" s="202">
        <f ca="1">IF(AND(ISNUMBER($B89),ISNUMBER(D$5)),IF(D$7=1,(D33)/(SUM(D$10:OFFSET(D$10,$C$5-1,0,1,1))),(1/D33)/SUM(1/D$10:OFFSET(D$10,$C$5-1,0,1,1))),"")</f>
        <v>2.1249879262049652E-2</v>
      </c>
      <c r="E89" s="202">
        <f ca="1">IF(AND(ISNUMBER($B89),ISNUMBER(E$5)),IF(E$7=1,(E33)/(SUM(E$10:OFFSET(E$10,$C$5-1,0,1,1))),(1/E33)/SUM(1/E$10:OFFSET(E$10,$C$5-1,0,1,1))),"")</f>
        <v>3.3105301734668947E-2</v>
      </c>
      <c r="F89" s="202">
        <f ca="1">IF(AND(ISNUMBER($B89),ISNUMBER(F$5)),IF(F$7=1,(F33)/(SUM(F$10:OFFSET(F$10,$C$5-1,0,1,1))),(1/F33)/SUM(1/F$10:OFFSET(F$10,$C$5-1,0,1,1))),"")</f>
        <v>2.7225043709932562E-2</v>
      </c>
      <c r="G89" s="202">
        <f ca="1">IF(AND(ISNUMBER($B89),ISNUMBER(G$5)),IF(G$7=1,(G33)/(SUM(G$10:OFFSET(G$10,$C$5-1,0,1,1))),(1/G33)/SUM(1/G$10:OFFSET(G$10,$C$5-1,0,1,1))),"")</f>
        <v>2.9559450497394585E-2</v>
      </c>
      <c r="H89" s="202">
        <f ca="1">IF(AND(ISNUMBER($B89),ISNUMBER(H$5)),IF(H$7=1,(H33)/(SUM(H$10:OFFSET(H$10,$C$5-1,0,1,1))),(1/H33)/SUM(1/H$10:OFFSET(H$10,$C$5-1,0,1,1))),"")</f>
        <v>2.8042210906944136E-2</v>
      </c>
      <c r="I89" s="202">
        <f ca="1">IF(AND(ISNUMBER($B89),ISNUMBER(I$5)),IF(I$7=1,(I33)/(SUM(I$10:OFFSET(I$10,$C$5-1,0,1,1))),(1/I33)/SUM(1/I$10:OFFSET(I$10,$C$5-1,0,1,1))),"")</f>
        <v>2.9260103129871682E-2</v>
      </c>
      <c r="J89" s="187"/>
      <c r="K89" s="199"/>
      <c r="L89" s="197">
        <v>24</v>
      </c>
      <c r="M89" s="198" t="s">
        <v>50</v>
      </c>
      <c r="N89" s="202">
        <f ca="1">IF(AND(ISNUMBER($L89),ISNUMBER(N$5)),IF(N$7=1,(N33)/(SUM(N$10:OFFSET(N$10,$M$5-1,0,1,1))),(1/N33)/SUM(1/N$10:OFFSET(N$10,$M$5-1,0,1,1))),"")</f>
        <v>2.0723930982745692E-2</v>
      </c>
      <c r="O89" s="202">
        <f ca="1">IF(AND(ISNUMBER($L89),ISNUMBER(O$5)),IF(O$7=1,(O33)/(SUM(O$10:OFFSET(O$10,$M$5-1,0,1,1))),(1/O33)/SUM(1/O$10:OFFSET(O$10,$M$5-1,0,1,1))),"")</f>
        <v>3.0293052354297009E-2</v>
      </c>
      <c r="P89" s="202">
        <f ca="1">IF(AND(ISNUMBER($L89),ISNUMBER(P$5)),IF(P$7=1,(P33)/(SUM(P$10:OFFSET(P$10,$M$5-1,0,1,1))),(1/P33)/SUM(1/P$10:OFFSET(P$10,$M$5-1,0,1,1))),"")</f>
        <v>2.0110701107011072E-2</v>
      </c>
      <c r="Q89" s="202">
        <f ca="1">IF(AND(ISNUMBER($L89),ISNUMBER(Q$5)),IF(Q$7=1,(Q33)/(SUM(Q$10:OFFSET(Q$10,$M$5-1,0,1,1))),(1/Q33)/SUM(1/Q$10:OFFSET(Q$10,$M$5-1,0,1,1))),"")</f>
        <v>2.6463720487762698E-2</v>
      </c>
      <c r="R89" s="202">
        <f ca="1">IF(AND(ISNUMBER($L89),ISNUMBER(R$5)),IF(R$7=1,(R33)/(SUM(R$10:OFFSET(R$10,$M$5-1,0,1,1))),(1/R33)/SUM(1/R$10:OFFSET(R$10,$M$5-1,0,1,1))),"")</f>
        <v>2.880097013794149E-2</v>
      </c>
      <c r="S89" s="202">
        <f ca="1">IF(AND(ISNUMBER($L89),ISNUMBER(S$5)),IF(S$7=1,(S33)/(SUM(S$10:OFFSET(S$10,$M$5-1,0,1,1))),(1/S33)/SUM(1/S$10:OFFSET(S$10,$M$5-1,0,1,1))),"")</f>
        <v>3.0573172190977622E-2</v>
      </c>
      <c r="T89" s="187"/>
      <c r="U89" s="199"/>
      <c r="V89" s="197">
        <v>24</v>
      </c>
      <c r="W89" s="198" t="s">
        <v>50</v>
      </c>
      <c r="X89" s="202">
        <f ca="1">IF(AND(ISNUMBER($V89),ISNUMBER(X$5)),IF(X$7=1,(X33)/(SUM(X$10:OFFSET(X$10,$W$5-1,0,1,1))),(1/X33)/SUM(1/X$10:OFFSET(X$10,$W$5-1,0,1,1))),"")</f>
        <v>2.0983013750773185E-2</v>
      </c>
      <c r="Y89" s="202">
        <f ca="1">IF(AND(ISNUMBER($V89),ISNUMBER(Y$5)),IF(Y$7=1,(Y33)/(SUM(Y$10:OFFSET(Y$10,$W$5-1,0,1,1))),(1/Y33)/SUM(1/Y$10:OFFSET(Y$10,$W$5-1,0,1,1))),"")</f>
        <v>3.1623981037174079E-2</v>
      </c>
      <c r="Z89" s="202">
        <f ca="1">IF(AND(ISNUMBER($V89),ISNUMBER(Z$5)),IF(Z$7=1,(Z33)/(SUM(Z$10:OFFSET(Z$10,$W$5-1,0,1,1))),(1/Z33)/SUM(1/Z$10:OFFSET(Z$10,$W$5-1,0,1,1))),"")</f>
        <v>2.3850159730427548E-2</v>
      </c>
      <c r="AA89" s="202">
        <f ca="1">IF(AND(ISNUMBER($V89),ISNUMBER(AA$5)),IF(AA$7=1,(AA33)/(SUM(AA$10:OFFSET(AA$10,$W$5-1,0,1,1))),(1/AA33)/SUM(1/AA$10:OFFSET(AA$10,$W$5-1,0,1,1))),"")</f>
        <v>2.7941043493986805E-2</v>
      </c>
      <c r="AB89" s="202">
        <f ca="1">IF(AND(ISNUMBER($V89),ISNUMBER(AB$5)),IF(AB$7=1,(AB33)/(SUM(AB$10:OFFSET(AB$10,$W$5-1,0,1,1))),(1/AB33)/SUM(1/AB$10:OFFSET(AB$10,$W$5-1,0,1,1))),"")</f>
        <v>2.8416526453542722E-2</v>
      </c>
      <c r="AC89" s="202">
        <f ca="1">IF(AND(ISNUMBER($V89),ISNUMBER(AC$5)),IF(AC$7=1,(AC33)/(SUM(AC$10:OFFSET(AC$10,$W$5-1,0,1,1))),(1/AC33)/SUM(1/AC$10:OFFSET(AC$10,$W$5-1,0,1,1))),"")</f>
        <v>2.9917345471969337E-2</v>
      </c>
    </row>
    <row r="90" spans="1:29" ht="14.25" customHeight="1">
      <c r="A90" s="199"/>
      <c r="B90" s="197">
        <v>25</v>
      </c>
      <c r="C90" s="198" t="s">
        <v>51</v>
      </c>
      <c r="D90" s="202">
        <f ca="1">IF(AND(ISNUMBER($B90),ISNUMBER(D$5)),IF(D$7=1,(D34)/(SUM(D$10:OFFSET(D$10,$C$5-1,0,1,1))),(1/D34)/SUM(1/D$10:OFFSET(D$10,$C$5-1,0,1,1))),"")</f>
        <v>3.1681638172510386E-2</v>
      </c>
      <c r="E90" s="202">
        <f ca="1">IF(AND(ISNUMBER($B90),ISNUMBER(E$5)),IF(E$7=1,(E34)/(SUM(E$10:OFFSET(E$10,$C$5-1,0,1,1))),(1/E34)/SUM(1/E$10:OFFSET(E$10,$C$5-1,0,1,1))),"")</f>
        <v>2.8463229904715368E-2</v>
      </c>
      <c r="F90" s="202">
        <f ca="1">IF(AND(ISNUMBER($B90),ISNUMBER(F$5)),IF(F$7=1,(F34)/(SUM(F$10:OFFSET(F$10,$C$5-1,0,1,1))),(1/F34)/SUM(1/F$10:OFFSET(F$10,$C$5-1,0,1,1))),"")</f>
        <v>3.1387894430105735E-2</v>
      </c>
      <c r="G90" s="202">
        <f ca="1">IF(AND(ISNUMBER($B90),ISNUMBER(G$5)),IF(G$7=1,(G34)/(SUM(G$10:OFFSET(G$10,$C$5-1,0,1,1))),(1/G34)/SUM(1/G$10:OFFSET(G$10,$C$5-1,0,1,1))),"")</f>
        <v>3.0980577925153945E-2</v>
      </c>
      <c r="H90" s="202">
        <f ca="1">IF(AND(ISNUMBER($B90),ISNUMBER(H$5)),IF(H$7=1,(H34)/(SUM(H$10:OFFSET(H$10,$C$5-1,0,1,1))),(1/H34)/SUM(1/H$10:OFFSET(H$10,$C$5-1,0,1,1))),"")</f>
        <v>3.756180355693306E-2</v>
      </c>
      <c r="I90" s="202">
        <f ca="1">IF(AND(ISNUMBER($B90),ISNUMBER(I$5)),IF(I$7=1,(I34)/(SUM(I$10:OFFSET(I$10,$C$5-1,0,1,1))),(1/I34)/SUM(1/I$10:OFFSET(I$10,$C$5-1,0,1,1))),"")</f>
        <v>2.6382060199064632E-2</v>
      </c>
      <c r="J90" s="187"/>
      <c r="K90" s="199"/>
      <c r="L90" s="197">
        <v>25</v>
      </c>
      <c r="M90" s="198" t="s">
        <v>51</v>
      </c>
      <c r="N90" s="202">
        <f ca="1">IF(AND(ISNUMBER($L90),ISNUMBER(N$5)),IF(N$7=1,(N34)/(SUM(N$10:OFFSET(N$10,$M$5-1,0,1,1))),(1/N34)/SUM(1/N$10:OFFSET(N$10,$M$5-1,0,1,1))),"")</f>
        <v>2.944486121530383E-2</v>
      </c>
      <c r="O90" s="202">
        <f ca="1">IF(AND(ISNUMBER($L90),ISNUMBER(O$5)),IF(O$7=1,(O34)/(SUM(O$10:OFFSET(O$10,$M$5-1,0,1,1))),(1/O34)/SUM(1/O$10:OFFSET(O$10,$M$5-1,0,1,1))),"")</f>
        <v>3.6000439029744265E-2</v>
      </c>
      <c r="P90" s="202">
        <f ca="1">IF(AND(ISNUMBER($L90),ISNUMBER(P$5)),IF(P$7=1,(P34)/(SUM(P$10:OFFSET(P$10,$M$5-1,0,1,1))),(1/P34)/SUM(1/P$10:OFFSET(P$10,$M$5-1,0,1,1))),"")</f>
        <v>2.4077490774907749E-2</v>
      </c>
      <c r="Q90" s="202">
        <f ca="1">IF(AND(ISNUMBER($L90),ISNUMBER(Q$5)),IF(Q$7=1,(Q34)/(SUM(Q$10:OFFSET(Q$10,$M$5-1,0,1,1))),(1/Q34)/SUM(1/Q$10:OFFSET(Q$10,$M$5-1,0,1,1))),"")</f>
        <v>4.2463028625789163E-2</v>
      </c>
      <c r="R90" s="202">
        <f ca="1">IF(AND(ISNUMBER($L90),ISNUMBER(R$5)),IF(R$7=1,(R34)/(SUM(R$10:OFFSET(R$10,$M$5-1,0,1,1))),(1/R34)/SUM(1/R$10:OFFSET(R$10,$M$5-1,0,1,1))),"")</f>
        <v>3.5773836592390487E-2</v>
      </c>
      <c r="S90" s="202">
        <f ca="1">IF(AND(ISNUMBER($L90),ISNUMBER(S$5)),IF(S$7=1,(S34)/(SUM(S$10:OFFSET(S$10,$M$5-1,0,1,1))),(1/S34)/SUM(1/S$10:OFFSET(S$10,$M$5-1,0,1,1))),"")</f>
        <v>2.794064855809501E-2</v>
      </c>
      <c r="T90" s="187"/>
      <c r="U90" s="199"/>
      <c r="V90" s="197">
        <v>25</v>
      </c>
      <c r="W90" s="198" t="s">
        <v>51</v>
      </c>
      <c r="X90" s="202">
        <f ca="1">IF(AND(ISNUMBER($V90),ISNUMBER(X$5)),IF(X$7=1,(X34)/(SUM(X$10:OFFSET(X$10,$W$5-1,0,1,1))),(1/X34)/SUM(1/X$10:OFFSET(X$10,$W$5-1,0,1,1))),"")</f>
        <v>3.054670029024123E-2</v>
      </c>
      <c r="Y90" s="202">
        <f ca="1">IF(AND(ISNUMBER($V90),ISNUMBER(Y$5)),IF(Y$7=1,(Y34)/(SUM(Y$10:OFFSET(Y$10,$W$5-1,0,1,1))),(1/Y34)/SUM(1/Y$10:OFFSET(Y$10,$W$5-1,0,1,1))),"")</f>
        <v>3.2433369948545988E-2</v>
      </c>
      <c r="Z90" s="202">
        <f ca="1">IF(AND(ISNUMBER($V90),ISNUMBER(Z$5)),IF(Z$7=1,(Z34)/(SUM(Z$10:OFFSET(Z$10,$W$5-1,0,1,1))),(1/Z34)/SUM(1/Z$10:OFFSET(Z$10,$W$5-1,0,1,1))),"")</f>
        <v>2.7920003500940874E-2</v>
      </c>
      <c r="AA90" s="202">
        <f ca="1">IF(AND(ISNUMBER($V90),ISNUMBER(AA$5)),IF(AA$7=1,(AA34)/(SUM(AA$10:OFFSET(AA$10,$W$5-1,0,1,1))),(1/AA34)/SUM(1/AA$10:OFFSET(AA$10,$W$5-1,0,1,1))),"")</f>
        <v>3.6983452391717173E-2</v>
      </c>
      <c r="AB90" s="202">
        <f ca="1">IF(AND(ISNUMBER($V90),ISNUMBER(AB$5)),IF(AB$7=1,(AB34)/(SUM(AB$10:OFFSET(AB$10,$W$5-1,0,1,1))),(1/AB34)/SUM(1/AB$10:OFFSET(AB$10,$W$5-1,0,1,1))),"")</f>
        <v>3.6679753224901857E-2</v>
      </c>
      <c r="AC90" s="202">
        <f ca="1">IF(AND(ISNUMBER($V90),ISNUMBER(AC$5)),IF(AC$7=1,(AC34)/(SUM(AC$10:OFFSET(AC$10,$W$5-1,0,1,1))),(1/AC34)/SUM(1/AC$10:OFFSET(AC$10,$W$5-1,0,1,1))),"")</f>
        <v>2.7162194537613801E-2</v>
      </c>
    </row>
    <row r="91" spans="1:29" ht="14.25" customHeight="1">
      <c r="A91" s="199"/>
      <c r="B91" s="197">
        <v>26</v>
      </c>
      <c r="C91" s="198" t="s">
        <v>52</v>
      </c>
      <c r="D91" s="202">
        <f ca="1">IF(AND(ISNUMBER($B91),ISNUMBER(D$5)),IF(D$7=1,(D35)/(SUM(D$10:OFFSET(D$10,$C$5-1,0,1,1))),(1/D35)/SUM(1/D$10:OFFSET(D$10,$C$5-1,0,1,1))),"")</f>
        <v>6.1141698058533769E-2</v>
      </c>
      <c r="E91" s="202">
        <f ca="1">IF(AND(ISNUMBER($B91),ISNUMBER(E$5)),IF(E$7=1,(E35)/(SUM(E$10:OFFSET(E$10,$C$5-1,0,1,1))),(1/E35)/SUM(1/E$10:OFFSET(E$10,$C$5-1,0,1,1))),"")</f>
        <v>7.6349865624236499E-2</v>
      </c>
      <c r="F91" s="202">
        <f ca="1">IF(AND(ISNUMBER($B91),ISNUMBER(F$5)),IF(F$7=1,(F35)/(SUM(F$10:OFFSET(F$10,$C$5-1,0,1,1))),(1/F35)/SUM(1/F$10:OFFSET(F$10,$C$5-1,0,1,1))),"")</f>
        <v>5.6698026808758628E-2</v>
      </c>
      <c r="G91" s="202">
        <f ca="1">IF(AND(ISNUMBER($B91),ISNUMBER(G$5)),IF(G$7=1,(G35)/(SUM(G$10:OFFSET(G$10,$C$5-1,0,1,1))),(1/G35)/SUM(1/G$10:OFFSET(G$10,$C$5-1,0,1,1))),"")</f>
        <v>6.2529606821411621E-2</v>
      </c>
      <c r="H91" s="202">
        <f ca="1">IF(AND(ISNUMBER($B91),ISNUMBER(H$5)),IF(H$7=1,(H35)/(SUM(H$10:OFFSET(H$10,$C$5-1,0,1,1))),(1/H35)/SUM(1/H$10:OFFSET(H$10,$C$5-1,0,1,1))),"")</f>
        <v>5.5346468895284474E-2</v>
      </c>
      <c r="I91" s="202">
        <f ca="1">IF(AND(ISNUMBER($B91),ISNUMBER(I$5)),IF(I$7=1,(I35)/(SUM(I$10:OFFSET(I$10,$C$5-1,0,1,1))),(1/I35)/SUM(1/I$10:OFFSET(I$10,$C$5-1,0,1,1))),"")</f>
        <v>4.4969420793860168E-2</v>
      </c>
      <c r="J91" s="187"/>
      <c r="K91" s="199"/>
      <c r="L91" s="197">
        <v>26</v>
      </c>
      <c r="M91" s="198" t="s">
        <v>52</v>
      </c>
      <c r="N91" s="202">
        <f ca="1">IF(AND(ISNUMBER($L91),ISNUMBER(N$5)),IF(N$7=1,(N35)/(SUM(N$10:OFFSET(N$10,$M$5-1,0,1,1))),(1/N35)/SUM(1/N$10:OFFSET(N$10,$M$5-1,0,1,1))),"")</f>
        <v>5.9546136534133542E-2</v>
      </c>
      <c r="O91" s="202">
        <f ca="1">IF(AND(ISNUMBER($L91),ISNUMBER(O$5)),IF(O$7=1,(O35)/(SUM(O$10:OFFSET(O$10,$M$5-1,0,1,1))),(1/O35)/SUM(1/O$10:OFFSET(O$10,$M$5-1,0,1,1))),"")</f>
        <v>7.7708264734935792E-2</v>
      </c>
      <c r="P91" s="202">
        <f ca="1">IF(AND(ISNUMBER($L91),ISNUMBER(P$5)),IF(P$7=1,(P35)/(SUM(P$10:OFFSET(P$10,$M$5-1,0,1,1))),(1/P35)/SUM(1/P$10:OFFSET(P$10,$M$5-1,0,1,1))),"")</f>
        <v>5.9778597785977855E-2</v>
      </c>
      <c r="Q91" s="202">
        <f ca="1">IF(AND(ISNUMBER($L91),ISNUMBER(Q$5)),IF(Q$7=1,(Q35)/(SUM(Q$10:OFFSET(Q$10,$M$5-1,0,1,1))),(1/Q35)/SUM(1/Q$10:OFFSET(Q$10,$M$5-1,0,1,1))),"")</f>
        <v>5.9067715990659873E-2</v>
      </c>
      <c r="R91" s="202">
        <f ca="1">IF(AND(ISNUMBER($L91),ISNUMBER(R$5)),IF(R$7=1,(R35)/(SUM(R$10:OFFSET(R$10,$M$5-1,0,1,1))),(1/R35)/SUM(1/R$10:OFFSET(R$10,$M$5-1,0,1,1))),"")</f>
        <v>4.7370016674245875E-2</v>
      </c>
      <c r="S91" s="202">
        <f ca="1">IF(AND(ISNUMBER($L91),ISNUMBER(S$5)),IF(S$7=1,(S35)/(SUM(S$10:OFFSET(S$10,$M$5-1,0,1,1))),(1/S35)/SUM(1/S$10:OFFSET(S$10,$M$5-1,0,1,1))),"")</f>
        <v>4.3675960272825172E-2</v>
      </c>
      <c r="T91" s="187"/>
      <c r="U91" s="199"/>
      <c r="V91" s="197">
        <v>26</v>
      </c>
      <c r="W91" s="198" t="s">
        <v>52</v>
      </c>
      <c r="X91" s="202">
        <f ca="1">IF(AND(ISNUMBER($V91),ISNUMBER(X$5)),IF(X$7=1,(X35)/(SUM(X$10:OFFSET(X$10,$W$5-1,0,1,1))),(1/X35)/SUM(1/X$10:OFFSET(X$10,$W$5-1,0,1,1))),"")</f>
        <v>6.0332112099728795E-2</v>
      </c>
      <c r="Y91" s="202">
        <f ca="1">IF(AND(ISNUMBER($V91),ISNUMBER(Y$5)),IF(Y$7=1,(Y35)/(SUM(Y$10:OFFSET(Y$10,$W$5-1,0,1,1))),(1/Y35)/SUM(1/Y$10:OFFSET(Y$10,$W$5-1,0,1,1))),"")</f>
        <v>7.7065387061340127E-2</v>
      </c>
      <c r="Z91" s="202">
        <f ca="1">IF(AND(ISNUMBER($V91),ISNUMBER(Z$5)),IF(Z$7=1,(Z35)/(SUM(Z$10:OFFSET(Z$10,$W$5-1,0,1,1))),(1/Z35)/SUM(1/Z$10:OFFSET(Z$10,$W$5-1,0,1,1))),"")</f>
        <v>5.81593803334646E-2</v>
      </c>
      <c r="AA91" s="202">
        <f ca="1">IF(AND(ISNUMBER($V91),ISNUMBER(AA$5)),IF(AA$7=1,(AA35)/(SUM(AA$10:OFFSET(AA$10,$W$5-1,0,1,1))),(1/AA35)/SUM(1/AA$10:OFFSET(AA$10,$W$5-1,0,1,1))),"")</f>
        <v>6.0719775748259361E-2</v>
      </c>
      <c r="AB91" s="202">
        <f ca="1">IF(AND(ISNUMBER($V91),ISNUMBER(AB$5)),IF(AB$7=1,(AB35)/(SUM(AB$10:OFFSET(AB$10,$W$5-1,0,1,1))),(1/AB35)/SUM(1/AB$10:OFFSET(AB$10,$W$5-1,0,1,1))),"")</f>
        <v>5.1411478781080586E-2</v>
      </c>
      <c r="AC91" s="202">
        <f ca="1">IF(AND(ISNUMBER($V91),ISNUMBER(AC$5)),IF(AC$7=1,(AC35)/(SUM(AC$10:OFFSET(AC$10,$W$5-1,0,1,1))),(1/AC35)/SUM(1/AC$10:OFFSET(AC$10,$W$5-1,0,1,1))),"")</f>
        <v>4.4321993291806423E-2</v>
      </c>
    </row>
    <row r="92" spans="1:29" ht="14.25" customHeight="1" thickBot="1">
      <c r="A92" s="199"/>
      <c r="B92" s="197">
        <v>27</v>
      </c>
      <c r="C92" s="198" t="s">
        <v>53</v>
      </c>
      <c r="D92" s="202">
        <f ca="1">IF(AND(ISNUMBER($B92),ISNUMBER(D$5)),IF(D$7=1,(D36)/(SUM(D$10:OFFSET(D$10,$C$5-1,0,1,1))),(1/D36)/SUM(1/D$10:OFFSET(D$10,$C$5-1,0,1,1))),"")</f>
        <v>3.4965710422099887E-2</v>
      </c>
      <c r="E92" s="202">
        <f ca="1">IF(AND(ISNUMBER($B92),ISNUMBER(E$5)),IF(E$7=1,(E36)/(SUM(E$10:OFFSET(E$10,$C$5-1,0,1,1))),(1/E36)/SUM(1/E$10:OFFSET(E$10,$C$5-1,0,1,1))),"")</f>
        <v>2.4431956999755679E-2</v>
      </c>
      <c r="F92" s="202">
        <f ca="1">IF(AND(ISNUMBER($B92),ISNUMBER(F$5)),IF(F$7=1,(F36)/(SUM(F$10:OFFSET(F$10,$C$5-1,0,1,1))),(1/F36)/SUM(1/F$10:OFFSET(F$10,$C$5-1,0,1,1))),"")</f>
        <v>2.9722754142036466E-2</v>
      </c>
      <c r="G92" s="202">
        <f ca="1">IF(AND(ISNUMBER($B92),ISNUMBER(G$5)),IF(G$7=1,(G36)/(SUM(G$10:OFFSET(G$10,$C$5-1,0,1,1))),(1/G36)/SUM(1/G$10:OFFSET(G$10,$C$5-1,0,1,1))),"")</f>
        <v>2.3117006158218843E-2</v>
      </c>
      <c r="H92" s="202">
        <f ca="1">IF(AND(ISNUMBER($B92),ISNUMBER(H$5)),IF(H$7=1,(H36)/(SUM(H$10:OFFSET(H$10,$C$5-1,0,1,1))),(1/H36)/SUM(1/H$10:OFFSET(H$10,$C$5-1,0,1,1))),"")</f>
        <v>4.228470223599734E-2</v>
      </c>
      <c r="I92" s="202">
        <f ca="1">IF(AND(ISNUMBER($B92),ISNUMBER(I$5)),IF(I$7=1,(I36)/(SUM(I$10:OFFSET(I$10,$C$5-1,0,1,1))),(1/I36)/SUM(1/I$10:OFFSET(I$10,$C$5-1,0,1,1))),"")</f>
        <v>3.1598513011152414E-2</v>
      </c>
      <c r="J92" s="187"/>
      <c r="K92" s="199"/>
      <c r="L92" s="197">
        <v>27</v>
      </c>
      <c r="M92" s="198" t="s">
        <v>53</v>
      </c>
      <c r="N92" s="202">
        <f ca="1">IF(AND(ISNUMBER($L92),ISNUMBER(N$5)),IF(N$7=1,(N36)/(SUM(N$10:OFFSET(N$10,$M$5-1,0,1,1))),(1/N36)/SUM(1/N$10:OFFSET(N$10,$M$5-1,0,1,1))),"")</f>
        <v>3.8072018004501135E-2</v>
      </c>
      <c r="O92" s="202">
        <f ca="1">IF(AND(ISNUMBER($L92),ISNUMBER(O$5)),IF(O$7=1,(O36)/(SUM(O$10:OFFSET(O$10,$M$5-1,0,1,1))),(1/O36)/SUM(1/O$10:OFFSET(O$10,$M$5-1,0,1,1))),"")</f>
        <v>2.0305125672264297E-2</v>
      </c>
      <c r="P92" s="202">
        <f ca="1">IF(AND(ISNUMBER($L92),ISNUMBER(P$5)),IF(P$7=1,(P36)/(SUM(P$10:OFFSET(P$10,$M$5-1,0,1,1))),(1/P36)/SUM(1/P$10:OFFSET(P$10,$M$5-1,0,1,1))),"")</f>
        <v>2.6383763837638376E-2</v>
      </c>
      <c r="Q92" s="202">
        <f ca="1">IF(AND(ISNUMBER($L92),ISNUMBER(Q$5)),IF(Q$7=1,(Q36)/(SUM(Q$10:OFFSET(Q$10,$M$5-1,0,1,1))),(1/Q36)/SUM(1/Q$10:OFFSET(Q$10,$M$5-1,0,1,1))),"")</f>
        <v>2.6204272247686594E-2</v>
      </c>
      <c r="R92" s="202">
        <f ca="1">IF(AND(ISNUMBER($L92),ISNUMBER(R$5)),IF(R$7=1,(R36)/(SUM(R$10:OFFSET(R$10,$M$5-1,0,1,1))),(1/R36)/SUM(1/R$10:OFFSET(R$10,$M$5-1,0,1,1))),"")</f>
        <v>4.759739275428225E-2</v>
      </c>
      <c r="S92" s="202">
        <f ca="1">IF(AND(ISNUMBER($L92),ISNUMBER(S$5)),IF(S$7=1,(S36)/(SUM(S$10:OFFSET(S$10,$M$5-1,0,1,1))),(1/S36)/SUM(1/S$10:OFFSET(S$10,$M$5-1,0,1,1))),"")</f>
        <v>3.1889434007418928E-2</v>
      </c>
      <c r="T92" s="187"/>
      <c r="U92" s="199"/>
      <c r="V92" s="197">
        <v>27</v>
      </c>
      <c r="W92" s="198" t="s">
        <v>53</v>
      </c>
      <c r="X92" s="202">
        <f ca="1">IF(AND(ISNUMBER($V92),ISNUMBER(X$5)),IF(X$7=1,(X36)/(SUM(X$10:OFFSET(X$10,$W$5-1,0,1,1))),(1/X36)/SUM(1/X$10:OFFSET(X$10,$W$5-1,0,1,1))),"")</f>
        <v>3.6541847076176436E-2</v>
      </c>
      <c r="Y92" s="202">
        <f ca="1">IF(AND(ISNUMBER($V92),ISNUMBER(Y$5)),IF(Y$7=1,(Y36)/(SUM(Y$10:OFFSET(Y$10,$W$5-1,0,1,1))),(1/Y36)/SUM(1/Y$10:OFFSET(Y$10,$W$5-1,0,1,1))),"")</f>
        <v>2.2258195062727641E-2</v>
      </c>
      <c r="Z92" s="202">
        <f ca="1">IF(AND(ISNUMBER($V92),ISNUMBER(Z$5)),IF(Z$7=1,(Z36)/(SUM(Z$10:OFFSET(Z$10,$W$5-1,0,1,1))),(1/Z36)/SUM(1/Z$10:OFFSET(Z$10,$W$5-1,0,1,1))),"")</f>
        <v>2.8138812305807188E-2</v>
      </c>
      <c r="AA92" s="202">
        <f ca="1">IF(AND(ISNUMBER($V92),ISNUMBER(AA$5)),IF(AA$7=1,(AA36)/(SUM(AA$10:OFFSET(AA$10,$W$5-1,0,1,1))),(1/AA36)/SUM(1/AA$10:OFFSET(AA$10,$W$5-1,0,1,1))),"")</f>
        <v>2.4730988335292532E-2</v>
      </c>
      <c r="AB92" s="202">
        <f ca="1">IF(AND(ISNUMBER($V92),ISNUMBER(AB$5)),IF(AB$7=1,(AB36)/(SUM(AB$10:OFFSET(AB$10,$W$5-1,0,1,1))),(1/AB36)/SUM(1/AB$10:OFFSET(AB$10,$W$5-1,0,1,1))),"")</f>
        <v>4.4905589829874748E-2</v>
      </c>
      <c r="AC92" s="202">
        <f ca="1">IF(AND(ISNUMBER($V92),ISNUMBER(AC$5)),IF(AC$7=1,(AC36)/(SUM(AC$10:OFFSET(AC$10,$W$5-1,0,1,1))),(1/AC36)/SUM(1/AC$10:OFFSET(AC$10,$W$5-1,0,1,1))),"")</f>
        <v>3.1744130330618112E-2</v>
      </c>
    </row>
    <row r="93" spans="1:29" ht="14.25" hidden="1" customHeight="1">
      <c r="A93" s="187"/>
      <c r="B93" s="187"/>
      <c r="C93" s="187"/>
      <c r="D93" s="202" t="str">
        <f ca="1">IF(AND(ISNUMBER($B93),ISNUMBER(D$5)),IF(D$7=1,(D37)/(SUM(D$10:OFFSET(D$10,$C$5-1,0,1,1))),(1/D37)/SUM(1/D$10:OFFSET(D$10,$C$5-1,0,1,1))),"")</f>
        <v/>
      </c>
      <c r="E93" s="202" t="str">
        <f ca="1">IF(AND(ISNUMBER($B93),ISNUMBER(E$5)),IF(E$7=1,(E37)/(SUM(E$10:OFFSET(E$10,$C$5-1,0,1,1))),(1/E37)/SUM(1/E$10:OFFSET(E$10,$C$5-1,0,1,1))),"")</f>
        <v/>
      </c>
      <c r="F93" s="202" t="str">
        <f ca="1">IF(AND(ISNUMBER($B93),ISNUMBER(F$5)),IF(F$7=1,(F37)/(SUM(F$10:OFFSET(F$10,$C$5-1,0,1,1))),(1/F37)/SUM(1/F$10:OFFSET(F$10,$C$5-1,0,1,1))),"")</f>
        <v/>
      </c>
      <c r="G93" s="202" t="str">
        <f ca="1">IF(AND(ISNUMBER($B93),ISNUMBER(G$5)),IF(G$7=1,(G37)/(SUM(G$10:OFFSET(G$10,$C$5-1,0,1,1))),(1/G37)/SUM(1/G$10:OFFSET(G$10,$C$5-1,0,1,1))),"")</f>
        <v/>
      </c>
      <c r="H93" s="202" t="str">
        <f ca="1">IF(AND(ISNUMBER($B93),ISNUMBER(H$5)),IF(H$7=1,(H37)/(SUM(H$10:OFFSET(H$10,$C$5-1,0,1,1))),(1/H37)/SUM(1/H$10:OFFSET(H$10,$C$5-1,0,1,1))),"")</f>
        <v/>
      </c>
      <c r="I93" s="202" t="str">
        <f ca="1">IF(AND(ISNUMBER($B93),ISNUMBER(I$5)),IF(I$7=1,(I37)/(SUM(I$10:OFFSET(I$10,$C$5-1,0,1,1))),(1/I37)/SUM(1/I$10:OFFSET(I$10,$C$5-1,0,1,1))),"")</f>
        <v/>
      </c>
      <c r="J93" s="187"/>
      <c r="K93" s="187"/>
      <c r="L93" s="187"/>
      <c r="M93" s="187"/>
      <c r="N93" s="202" t="str">
        <f ca="1">IF(AND(ISNUMBER($L93),ISNUMBER(N$5)),IF(N$7=1,(N37)/(SUM(N$10:OFFSET(N$10,$M$5-1,0,1,1))),(1/N37)/SUM(1/N$10:OFFSET(N$10,$M$5-1,0,1,1))),"")</f>
        <v/>
      </c>
      <c r="O93" s="202" t="str">
        <f ca="1">IF(AND(ISNUMBER($L93),ISNUMBER(O$5)),IF(O$7=1,(O37)/(SUM(O$10:OFFSET(O$10,$M$5-1,0,1,1))),(1/O37)/SUM(1/O$10:OFFSET(O$10,$M$5-1,0,1,1))),"")</f>
        <v/>
      </c>
      <c r="P93" s="202" t="str">
        <f ca="1">IF(AND(ISNUMBER($L93),ISNUMBER(P$5)),IF(P$7=1,(P37)/(SUM(P$10:OFFSET(P$10,$M$5-1,0,1,1))),(1/P37)/SUM(1/P$10:OFFSET(P$10,$M$5-1,0,1,1))),"")</f>
        <v/>
      </c>
      <c r="Q93" s="202" t="str">
        <f ca="1">IF(AND(ISNUMBER($L93),ISNUMBER(Q$5)),IF(Q$7=1,(Q37)/(SUM(Q$10:OFFSET(Q$10,$M$5-1,0,1,1))),(1/Q37)/SUM(1/Q$10:OFFSET(Q$10,$M$5-1,0,1,1))),"")</f>
        <v/>
      </c>
      <c r="R93" s="202" t="str">
        <f ca="1">IF(AND(ISNUMBER($L93),ISNUMBER(R$5)),IF(R$7=1,(R37)/(SUM(R$10:OFFSET(R$10,$M$5-1,0,1,1))),(1/R37)/SUM(1/R$10:OFFSET(R$10,$M$5-1,0,1,1))),"")</f>
        <v/>
      </c>
      <c r="S93" s="202" t="str">
        <f ca="1">IF(AND(ISNUMBER($L93),ISNUMBER(S$5)),IF(S$7=1,(S37)/(SUM(S$10:OFFSET(S$10,$M$5-1,0,1,1))),(1/S37)/SUM(1/S$10:OFFSET(S$10,$M$5-1,0,1,1))),"")</f>
        <v/>
      </c>
      <c r="T93" s="187"/>
      <c r="U93" s="187"/>
      <c r="V93" s="187"/>
      <c r="W93" s="187"/>
      <c r="X93" s="202" t="str">
        <f ca="1">IF(AND(ISNUMBER($V93),ISNUMBER(X$5)),IF(X$7=1,(X37)/(SUM(X$10:OFFSET(X$10,$W$5-1,0,1,1))),(1/X37)/SUM(1/X$10:OFFSET(X$10,$W$5-1,0,1,1))),"")</f>
        <v/>
      </c>
      <c r="Y93" s="202" t="str">
        <f ca="1">IF(AND(ISNUMBER($V93),ISNUMBER(Y$5)),IF(Y$7=1,(Y37)/(SUM(Y$10:OFFSET(Y$10,$W$5-1,0,1,1))),(1/Y37)/SUM(1/Y$10:OFFSET(Y$10,$W$5-1,0,1,1))),"")</f>
        <v/>
      </c>
      <c r="Z93" s="202" t="str">
        <f ca="1">IF(AND(ISNUMBER($V93),ISNUMBER(Z$5)),IF(Z$7=1,(Z37)/(SUM(Z$10:OFFSET(Z$10,$W$5-1,0,1,1))),(1/Z37)/SUM(1/Z$10:OFFSET(Z$10,$W$5-1,0,1,1))),"")</f>
        <v/>
      </c>
      <c r="AA93" s="202" t="str">
        <f ca="1">IF(AND(ISNUMBER($V93),ISNUMBER(AA$5)),IF(AA$7=1,(AA37)/(SUM(AA$10:OFFSET(AA$10,$W$5-1,0,1,1))),(1/AA37)/SUM(1/AA$10:OFFSET(AA$10,$W$5-1,0,1,1))),"")</f>
        <v/>
      </c>
      <c r="AB93" s="202" t="str">
        <f ca="1">IF(AND(ISNUMBER($V93),ISNUMBER(AB$5)),IF(AB$7=1,(AB37)/(SUM(AB$10:OFFSET(AB$10,$W$5-1,0,1,1))),(1/AB37)/SUM(1/AB$10:OFFSET(AB$10,$W$5-1,0,1,1))),"")</f>
        <v/>
      </c>
      <c r="AC93" s="202" t="str">
        <f ca="1">IF(AND(ISNUMBER($V93),ISNUMBER(AC$5)),IF(AC$7=1,(AC37)/(SUM(AC$10:OFFSET(AC$10,$W$5-1,0,1,1))),(1/AC37)/SUM(1/AC$10:OFFSET(AC$10,$W$5-1,0,1,1))),"")</f>
        <v/>
      </c>
    </row>
    <row r="94" spans="1:29" ht="14.25" hidden="1" customHeight="1">
      <c r="A94" s="187"/>
      <c r="B94" s="187"/>
      <c r="C94" s="187"/>
      <c r="D94" s="202" t="str">
        <f ca="1">IF(AND(ISNUMBER($B94),ISNUMBER(D$5)),IF(D$7=1,(D38)/(SUM(D$10:OFFSET(D$10,$C$5-1,0,1,1))),(1/D38)/SUM(1/D$10:OFFSET(D$10,$C$5-1,0,1,1))),"")</f>
        <v/>
      </c>
      <c r="E94" s="202" t="str">
        <f ca="1">IF(AND(ISNUMBER($B94),ISNUMBER(E$5)),IF(E$7=1,(E38)/(SUM(E$10:OFFSET(E$10,$C$5-1,0,1,1))),(1/E38)/SUM(1/E$10:OFFSET(E$10,$C$5-1,0,1,1))),"")</f>
        <v/>
      </c>
      <c r="F94" s="202" t="str">
        <f ca="1">IF(AND(ISNUMBER($B94),ISNUMBER(F$5)),IF(F$7=1,(F38)/(SUM(F$10:OFFSET(F$10,$C$5-1,0,1,1))),(1/F38)/SUM(1/F$10:OFFSET(F$10,$C$5-1,0,1,1))),"")</f>
        <v/>
      </c>
      <c r="G94" s="202" t="str">
        <f ca="1">IF(AND(ISNUMBER($B94),ISNUMBER(G$5)),IF(G$7=1,(G38)/(SUM(G$10:OFFSET(G$10,$C$5-1,0,1,1))),(1/G38)/SUM(1/G$10:OFFSET(G$10,$C$5-1,0,1,1))),"")</f>
        <v/>
      </c>
      <c r="H94" s="202" t="str">
        <f ca="1">IF(AND(ISNUMBER($B94),ISNUMBER(H$5)),IF(H$7=1,(H38)/(SUM(H$10:OFFSET(H$10,$C$5-1,0,1,1))),(1/H38)/SUM(1/H$10:OFFSET(H$10,$C$5-1,0,1,1))),"")</f>
        <v/>
      </c>
      <c r="I94" s="202" t="str">
        <f ca="1">IF(AND(ISNUMBER($B94),ISNUMBER(I$5)),IF(I$7=1,(I38)/(SUM(I$10:OFFSET(I$10,$C$5-1,0,1,1))),(1/I38)/SUM(1/I$10:OFFSET(I$10,$C$5-1,0,1,1))),"")</f>
        <v/>
      </c>
      <c r="J94" s="187"/>
      <c r="K94" s="187"/>
      <c r="L94" s="187"/>
      <c r="M94" s="187"/>
      <c r="N94" s="202" t="str">
        <f ca="1">IF(AND(ISNUMBER($L94),ISNUMBER(N$5)),IF(N$7=1,(N38)/(SUM(N$10:OFFSET(N$10,$M$5-1,0,1,1))),(1/N38)/SUM(1/N$10:OFFSET(N$10,$M$5-1,0,1,1))),"")</f>
        <v/>
      </c>
      <c r="O94" s="202" t="str">
        <f ca="1">IF(AND(ISNUMBER($L94),ISNUMBER(O$5)),IF(O$7=1,(O38)/(SUM(O$10:OFFSET(O$10,$M$5-1,0,1,1))),(1/O38)/SUM(1/O$10:OFFSET(O$10,$M$5-1,0,1,1))),"")</f>
        <v/>
      </c>
      <c r="P94" s="202" t="str">
        <f ca="1">IF(AND(ISNUMBER($L94),ISNUMBER(P$5)),IF(P$7=1,(P38)/(SUM(P$10:OFFSET(P$10,$M$5-1,0,1,1))),(1/P38)/SUM(1/P$10:OFFSET(P$10,$M$5-1,0,1,1))),"")</f>
        <v/>
      </c>
      <c r="Q94" s="202" t="str">
        <f ca="1">IF(AND(ISNUMBER($L94),ISNUMBER(Q$5)),IF(Q$7=1,(Q38)/(SUM(Q$10:OFFSET(Q$10,$M$5-1,0,1,1))),(1/Q38)/SUM(1/Q$10:OFFSET(Q$10,$M$5-1,0,1,1))),"")</f>
        <v/>
      </c>
      <c r="R94" s="202" t="str">
        <f ca="1">IF(AND(ISNUMBER($L94),ISNUMBER(R$5)),IF(R$7=1,(R38)/(SUM(R$10:OFFSET(R$10,$M$5-1,0,1,1))),(1/R38)/SUM(1/R$10:OFFSET(R$10,$M$5-1,0,1,1))),"")</f>
        <v/>
      </c>
      <c r="S94" s="202" t="str">
        <f ca="1">IF(AND(ISNUMBER($L94),ISNUMBER(S$5)),IF(S$7=1,(S38)/(SUM(S$10:OFFSET(S$10,$M$5-1,0,1,1))),(1/S38)/SUM(1/S$10:OFFSET(S$10,$M$5-1,0,1,1))),"")</f>
        <v/>
      </c>
      <c r="T94" s="187"/>
      <c r="U94" s="187"/>
      <c r="V94" s="187"/>
      <c r="W94" s="187"/>
      <c r="X94" s="202" t="str">
        <f ca="1">IF(AND(ISNUMBER($V94),ISNUMBER(X$5)),IF(X$7=1,(X38)/(SUM(X$10:OFFSET(X$10,$W$5-1,0,1,1))),(1/X38)/SUM(1/X$10:OFFSET(X$10,$W$5-1,0,1,1))),"")</f>
        <v/>
      </c>
      <c r="Y94" s="202" t="str">
        <f ca="1">IF(AND(ISNUMBER($V94),ISNUMBER(Y$5)),IF(Y$7=1,(Y38)/(SUM(Y$10:OFFSET(Y$10,$W$5-1,0,1,1))),(1/Y38)/SUM(1/Y$10:OFFSET(Y$10,$W$5-1,0,1,1))),"")</f>
        <v/>
      </c>
      <c r="Z94" s="202" t="str">
        <f ca="1">IF(AND(ISNUMBER($V94),ISNUMBER(Z$5)),IF(Z$7=1,(Z38)/(SUM(Z$10:OFFSET(Z$10,$W$5-1,0,1,1))),(1/Z38)/SUM(1/Z$10:OFFSET(Z$10,$W$5-1,0,1,1))),"")</f>
        <v/>
      </c>
      <c r="AA94" s="202" t="str">
        <f ca="1">IF(AND(ISNUMBER($V94),ISNUMBER(AA$5)),IF(AA$7=1,(AA38)/(SUM(AA$10:OFFSET(AA$10,$W$5-1,0,1,1))),(1/AA38)/SUM(1/AA$10:OFFSET(AA$10,$W$5-1,0,1,1))),"")</f>
        <v/>
      </c>
      <c r="AB94" s="202" t="str">
        <f ca="1">IF(AND(ISNUMBER($V94),ISNUMBER(AB$5)),IF(AB$7=1,(AB38)/(SUM(AB$10:OFFSET(AB$10,$W$5-1,0,1,1))),(1/AB38)/SUM(1/AB$10:OFFSET(AB$10,$W$5-1,0,1,1))),"")</f>
        <v/>
      </c>
      <c r="AC94" s="202" t="str">
        <f ca="1">IF(AND(ISNUMBER($V94),ISNUMBER(AC$5)),IF(AC$7=1,(AC38)/(SUM(AC$10:OFFSET(AC$10,$W$5-1,0,1,1))),(1/AC38)/SUM(1/AC$10:OFFSET(AC$10,$W$5-1,0,1,1))),"")</f>
        <v/>
      </c>
    </row>
    <row r="95" spans="1:29" ht="14.25" hidden="1" customHeight="1">
      <c r="A95" s="187"/>
      <c r="B95" s="187"/>
      <c r="C95" s="187"/>
      <c r="D95" s="202" t="str">
        <f ca="1">IF(AND(ISNUMBER($B95),ISNUMBER(D$5)),IF(D$7=1,(D39)/(SUM(D$10:OFFSET(D$10,$C$5-1,0,1,1))),(1/D39)/SUM(1/D$10:OFFSET(D$10,$C$5-1,0,1,1))),"")</f>
        <v/>
      </c>
      <c r="E95" s="202" t="str">
        <f ca="1">IF(AND(ISNUMBER($B95),ISNUMBER(E$5)),IF(E$7=1,(E39)/(SUM(E$10:OFFSET(E$10,$C$5-1,0,1,1))),(1/E39)/SUM(1/E$10:OFFSET(E$10,$C$5-1,0,1,1))),"")</f>
        <v/>
      </c>
      <c r="F95" s="202" t="str">
        <f ca="1">IF(AND(ISNUMBER($B95),ISNUMBER(F$5)),IF(F$7=1,(F39)/(SUM(F$10:OFFSET(F$10,$C$5-1,0,1,1))),(1/F39)/SUM(1/F$10:OFFSET(F$10,$C$5-1,0,1,1))),"")</f>
        <v/>
      </c>
      <c r="G95" s="202" t="str">
        <f ca="1">IF(AND(ISNUMBER($B95),ISNUMBER(G$5)),IF(G$7=1,(G39)/(SUM(G$10:OFFSET(G$10,$C$5-1,0,1,1))),(1/G39)/SUM(1/G$10:OFFSET(G$10,$C$5-1,0,1,1))),"")</f>
        <v/>
      </c>
      <c r="H95" s="202" t="str">
        <f ca="1">IF(AND(ISNUMBER($B95),ISNUMBER(H$5)),IF(H$7=1,(H39)/(SUM(H$10:OFFSET(H$10,$C$5-1,0,1,1))),(1/H39)/SUM(1/H$10:OFFSET(H$10,$C$5-1,0,1,1))),"")</f>
        <v/>
      </c>
      <c r="I95" s="202" t="str">
        <f ca="1">IF(AND(ISNUMBER($B95),ISNUMBER(I$5)),IF(I$7=1,(I39)/(SUM(I$10:OFFSET(I$10,$C$5-1,0,1,1))),(1/I39)/SUM(1/I$10:OFFSET(I$10,$C$5-1,0,1,1))),"")</f>
        <v/>
      </c>
      <c r="J95" s="187"/>
      <c r="K95" s="187"/>
      <c r="L95" s="187"/>
      <c r="M95" s="187"/>
      <c r="N95" s="202" t="str">
        <f ca="1">IF(AND(ISNUMBER($L95),ISNUMBER(N$5)),IF(N$7=1,(N39)/(SUM(N$10:OFFSET(N$10,$M$5-1,0,1,1))),(1/N39)/SUM(1/N$10:OFFSET(N$10,$M$5-1,0,1,1))),"")</f>
        <v/>
      </c>
      <c r="O95" s="202" t="str">
        <f ca="1">IF(AND(ISNUMBER($L95),ISNUMBER(O$5)),IF(O$7=1,(O39)/(SUM(O$10:OFFSET(O$10,$M$5-1,0,1,1))),(1/O39)/SUM(1/O$10:OFFSET(O$10,$M$5-1,0,1,1))),"")</f>
        <v/>
      </c>
      <c r="P95" s="202" t="str">
        <f ca="1">IF(AND(ISNUMBER($L95),ISNUMBER(P$5)),IF(P$7=1,(P39)/(SUM(P$10:OFFSET(P$10,$M$5-1,0,1,1))),(1/P39)/SUM(1/P$10:OFFSET(P$10,$M$5-1,0,1,1))),"")</f>
        <v/>
      </c>
      <c r="Q95" s="202" t="str">
        <f ca="1">IF(AND(ISNUMBER($L95),ISNUMBER(Q$5)),IF(Q$7=1,(Q39)/(SUM(Q$10:OFFSET(Q$10,$M$5-1,0,1,1))),(1/Q39)/SUM(1/Q$10:OFFSET(Q$10,$M$5-1,0,1,1))),"")</f>
        <v/>
      </c>
      <c r="R95" s="202" t="str">
        <f ca="1">IF(AND(ISNUMBER($L95),ISNUMBER(R$5)),IF(R$7=1,(R39)/(SUM(R$10:OFFSET(R$10,$M$5-1,0,1,1))),(1/R39)/SUM(1/R$10:OFFSET(R$10,$M$5-1,0,1,1))),"")</f>
        <v/>
      </c>
      <c r="S95" s="202" t="str">
        <f ca="1">IF(AND(ISNUMBER($L95),ISNUMBER(S$5)),IF(S$7=1,(S39)/(SUM(S$10:OFFSET(S$10,$M$5-1,0,1,1))),(1/S39)/SUM(1/S$10:OFFSET(S$10,$M$5-1,0,1,1))),"")</f>
        <v/>
      </c>
      <c r="T95" s="187"/>
      <c r="U95" s="187"/>
      <c r="V95" s="187"/>
      <c r="W95" s="187"/>
      <c r="X95" s="202" t="str">
        <f ca="1">IF(AND(ISNUMBER($V95),ISNUMBER(X$5)),IF(X$7=1,(X39)/(SUM(X$10:OFFSET(X$10,$W$5-1,0,1,1))),(1/X39)/SUM(1/X$10:OFFSET(X$10,$W$5-1,0,1,1))),"")</f>
        <v/>
      </c>
      <c r="Y95" s="202" t="str">
        <f ca="1">IF(AND(ISNUMBER($V95),ISNUMBER(Y$5)),IF(Y$7=1,(Y39)/(SUM(Y$10:OFFSET(Y$10,$W$5-1,0,1,1))),(1/Y39)/SUM(1/Y$10:OFFSET(Y$10,$W$5-1,0,1,1))),"")</f>
        <v/>
      </c>
      <c r="Z95" s="202" t="str">
        <f ca="1">IF(AND(ISNUMBER($V95),ISNUMBER(Z$5)),IF(Z$7=1,(Z39)/(SUM(Z$10:OFFSET(Z$10,$W$5-1,0,1,1))),(1/Z39)/SUM(1/Z$10:OFFSET(Z$10,$W$5-1,0,1,1))),"")</f>
        <v/>
      </c>
      <c r="AA95" s="202" t="str">
        <f ca="1">IF(AND(ISNUMBER($V95),ISNUMBER(AA$5)),IF(AA$7=1,(AA39)/(SUM(AA$10:OFFSET(AA$10,$W$5-1,0,1,1))),(1/AA39)/SUM(1/AA$10:OFFSET(AA$10,$W$5-1,0,1,1))),"")</f>
        <v/>
      </c>
      <c r="AB95" s="202" t="str">
        <f ca="1">IF(AND(ISNUMBER($V95),ISNUMBER(AB$5)),IF(AB$7=1,(AB39)/(SUM(AB$10:OFFSET(AB$10,$W$5-1,0,1,1))),(1/AB39)/SUM(1/AB$10:OFFSET(AB$10,$W$5-1,0,1,1))),"")</f>
        <v/>
      </c>
      <c r="AC95" s="202" t="str">
        <f ca="1">IF(AND(ISNUMBER($V95),ISNUMBER(AC$5)),IF(AC$7=1,(AC39)/(SUM(AC$10:OFFSET(AC$10,$W$5-1,0,1,1))),(1/AC39)/SUM(1/AC$10:OFFSET(AC$10,$W$5-1,0,1,1))),"")</f>
        <v/>
      </c>
    </row>
    <row r="96" spans="1:29" ht="14.25" hidden="1" customHeight="1">
      <c r="A96" s="187"/>
      <c r="B96" s="187"/>
      <c r="C96" s="187"/>
      <c r="D96" s="202" t="str">
        <f ca="1">IF(AND(ISNUMBER($B96),ISNUMBER(D$5)),IF(D$7=1,(D40)/(SUM(D$10:OFFSET(D$10,$C$5-1,0,1,1))),(1/D40)/SUM(1/D$10:OFFSET(D$10,$C$5-1,0,1,1))),"")</f>
        <v/>
      </c>
      <c r="E96" s="202" t="str">
        <f ca="1">IF(AND(ISNUMBER($B96),ISNUMBER(E$5)),IF(E$7=1,(E40)/(SUM(E$10:OFFSET(E$10,$C$5-1,0,1,1))),(1/E40)/SUM(1/E$10:OFFSET(E$10,$C$5-1,0,1,1))),"")</f>
        <v/>
      </c>
      <c r="F96" s="202" t="str">
        <f ca="1">IF(AND(ISNUMBER($B96),ISNUMBER(F$5)),IF(F$7=1,(F40)/(SUM(F$10:OFFSET(F$10,$C$5-1,0,1,1))),(1/F40)/SUM(1/F$10:OFFSET(F$10,$C$5-1,0,1,1))),"")</f>
        <v/>
      </c>
      <c r="G96" s="202" t="str">
        <f ca="1">IF(AND(ISNUMBER($B96),ISNUMBER(G$5)),IF(G$7=1,(G40)/(SUM(G$10:OFFSET(G$10,$C$5-1,0,1,1))),(1/G40)/SUM(1/G$10:OFFSET(G$10,$C$5-1,0,1,1))),"")</f>
        <v/>
      </c>
      <c r="H96" s="202" t="str">
        <f ca="1">IF(AND(ISNUMBER($B96),ISNUMBER(H$5)),IF(H$7=1,(H40)/(SUM(H$10:OFFSET(H$10,$C$5-1,0,1,1))),(1/H40)/SUM(1/H$10:OFFSET(H$10,$C$5-1,0,1,1))),"")</f>
        <v/>
      </c>
      <c r="I96" s="202" t="str">
        <f ca="1">IF(AND(ISNUMBER($B96),ISNUMBER(I$5)),IF(I$7=1,(I40)/(SUM(I$10:OFFSET(I$10,$C$5-1,0,1,1))),(1/I40)/SUM(1/I$10:OFFSET(I$10,$C$5-1,0,1,1))),"")</f>
        <v/>
      </c>
      <c r="J96" s="187"/>
      <c r="K96" s="187"/>
      <c r="L96" s="187"/>
      <c r="M96" s="187"/>
      <c r="N96" s="202" t="str">
        <f ca="1">IF(AND(ISNUMBER($L96),ISNUMBER(N$5)),IF(N$7=1,(N40)/(SUM(N$10:OFFSET(N$10,$M$5-1,0,1,1))),(1/N40)/SUM(1/N$10:OFFSET(N$10,$M$5-1,0,1,1))),"")</f>
        <v/>
      </c>
      <c r="O96" s="202" t="str">
        <f ca="1">IF(AND(ISNUMBER($L96),ISNUMBER(O$5)),IF(O$7=1,(O40)/(SUM(O$10:OFFSET(O$10,$M$5-1,0,1,1))),(1/O40)/SUM(1/O$10:OFFSET(O$10,$M$5-1,0,1,1))),"")</f>
        <v/>
      </c>
      <c r="P96" s="202" t="str">
        <f ca="1">IF(AND(ISNUMBER($L96),ISNUMBER(P$5)),IF(P$7=1,(P40)/(SUM(P$10:OFFSET(P$10,$M$5-1,0,1,1))),(1/P40)/SUM(1/P$10:OFFSET(P$10,$M$5-1,0,1,1))),"")</f>
        <v/>
      </c>
      <c r="Q96" s="202" t="str">
        <f ca="1">IF(AND(ISNUMBER($L96),ISNUMBER(Q$5)),IF(Q$7=1,(Q40)/(SUM(Q$10:OFFSET(Q$10,$M$5-1,0,1,1))),(1/Q40)/SUM(1/Q$10:OFFSET(Q$10,$M$5-1,0,1,1))),"")</f>
        <v/>
      </c>
      <c r="R96" s="202" t="str">
        <f ca="1">IF(AND(ISNUMBER($L96),ISNUMBER(R$5)),IF(R$7=1,(R40)/(SUM(R$10:OFFSET(R$10,$M$5-1,0,1,1))),(1/R40)/SUM(1/R$10:OFFSET(R$10,$M$5-1,0,1,1))),"")</f>
        <v/>
      </c>
      <c r="S96" s="202" t="str">
        <f ca="1">IF(AND(ISNUMBER($L96),ISNUMBER(S$5)),IF(S$7=1,(S40)/(SUM(S$10:OFFSET(S$10,$M$5-1,0,1,1))),(1/S40)/SUM(1/S$10:OFFSET(S$10,$M$5-1,0,1,1))),"")</f>
        <v/>
      </c>
      <c r="T96" s="187"/>
      <c r="U96" s="187"/>
      <c r="V96" s="187"/>
      <c r="W96" s="187"/>
      <c r="X96" s="202" t="str">
        <f ca="1">IF(AND(ISNUMBER($V96),ISNUMBER(X$5)),IF(X$7=1,(X40)/(SUM(X$10:OFFSET(X$10,$W$5-1,0,1,1))),(1/X40)/SUM(1/X$10:OFFSET(X$10,$W$5-1,0,1,1))),"")</f>
        <v/>
      </c>
      <c r="Y96" s="202" t="str">
        <f ca="1">IF(AND(ISNUMBER($V96),ISNUMBER(Y$5)),IF(Y$7=1,(Y40)/(SUM(Y$10:OFFSET(Y$10,$W$5-1,0,1,1))),(1/Y40)/SUM(1/Y$10:OFFSET(Y$10,$W$5-1,0,1,1))),"")</f>
        <v/>
      </c>
      <c r="Z96" s="202" t="str">
        <f ca="1">IF(AND(ISNUMBER($V96),ISNUMBER(Z$5)),IF(Z$7=1,(Z40)/(SUM(Z$10:OFFSET(Z$10,$W$5-1,0,1,1))),(1/Z40)/SUM(1/Z$10:OFFSET(Z$10,$W$5-1,0,1,1))),"")</f>
        <v/>
      </c>
      <c r="AA96" s="202" t="str">
        <f ca="1">IF(AND(ISNUMBER($V96),ISNUMBER(AA$5)),IF(AA$7=1,(AA40)/(SUM(AA$10:OFFSET(AA$10,$W$5-1,0,1,1))),(1/AA40)/SUM(1/AA$10:OFFSET(AA$10,$W$5-1,0,1,1))),"")</f>
        <v/>
      </c>
      <c r="AB96" s="202" t="str">
        <f ca="1">IF(AND(ISNUMBER($V96),ISNUMBER(AB$5)),IF(AB$7=1,(AB40)/(SUM(AB$10:OFFSET(AB$10,$W$5-1,0,1,1))),(1/AB40)/SUM(1/AB$10:OFFSET(AB$10,$W$5-1,0,1,1))),"")</f>
        <v/>
      </c>
      <c r="AC96" s="202" t="str">
        <f ca="1">IF(AND(ISNUMBER($V96),ISNUMBER(AC$5)),IF(AC$7=1,(AC40)/(SUM(AC$10:OFFSET(AC$10,$W$5-1,0,1,1))),(1/AC40)/SUM(1/AC$10:OFFSET(AC$10,$W$5-1,0,1,1))),"")</f>
        <v/>
      </c>
    </row>
    <row r="97" spans="1:29" ht="14.25" hidden="1" customHeight="1">
      <c r="A97" s="199"/>
      <c r="B97" s="187"/>
      <c r="C97" s="187"/>
      <c r="D97" s="202" t="str">
        <f ca="1">IF(AND(ISNUMBER($B97),ISNUMBER(D$5)),IF(D$7=1,(D41)/(SUM(D$10:OFFSET(D$10,$C$5-1,0,1,1))),(1/D41)/SUM(1/D$10:OFFSET(D$10,$C$5-1,0,1,1))),"")</f>
        <v/>
      </c>
      <c r="E97" s="202" t="str">
        <f ca="1">IF(AND(ISNUMBER($B97),ISNUMBER(E$5)),IF(E$7=1,(E41)/(SUM(E$10:OFFSET(E$10,$C$5-1,0,1,1))),(1/E41)/SUM(1/E$10:OFFSET(E$10,$C$5-1,0,1,1))),"")</f>
        <v/>
      </c>
      <c r="F97" s="202" t="str">
        <f ca="1">IF(AND(ISNUMBER($B97),ISNUMBER(F$5)),IF(F$7=1,(F41)/(SUM(F$10:OFFSET(F$10,$C$5-1,0,1,1))),(1/F41)/SUM(1/F$10:OFFSET(F$10,$C$5-1,0,1,1))),"")</f>
        <v/>
      </c>
      <c r="G97" s="202" t="str">
        <f ca="1">IF(AND(ISNUMBER($B97),ISNUMBER(G$5)),IF(G$7=1,(G41)/(SUM(G$10:OFFSET(G$10,$C$5-1,0,1,1))),(1/G41)/SUM(1/G$10:OFFSET(G$10,$C$5-1,0,1,1))),"")</f>
        <v/>
      </c>
      <c r="H97" s="202" t="str">
        <f ca="1">IF(AND(ISNUMBER($B97),ISNUMBER(H$5)),IF(H$7=1,(H41)/(SUM(H$10:OFFSET(H$10,$C$5-1,0,1,1))),(1/H41)/SUM(1/H$10:OFFSET(H$10,$C$5-1,0,1,1))),"")</f>
        <v/>
      </c>
      <c r="I97" s="202" t="str">
        <f ca="1">IF(AND(ISNUMBER($B97),ISNUMBER(I$5)),IF(I$7=1,(I41)/(SUM(I$10:OFFSET(I$10,$C$5-1,0,1,1))),(1/I41)/SUM(1/I$10:OFFSET(I$10,$C$5-1,0,1,1))),"")</f>
        <v/>
      </c>
      <c r="J97" s="187"/>
      <c r="K97" s="199"/>
      <c r="L97" s="187"/>
      <c r="M97" s="187"/>
      <c r="N97" s="202" t="str">
        <f ca="1">IF(AND(ISNUMBER($L97),ISNUMBER(N$5)),IF(N$7=1,(N41)/(SUM(N$10:OFFSET(N$10,$M$5-1,0,1,1))),(1/N41)/SUM(1/N$10:OFFSET(N$10,$M$5-1,0,1,1))),"")</f>
        <v/>
      </c>
      <c r="O97" s="202" t="str">
        <f ca="1">IF(AND(ISNUMBER($L97),ISNUMBER(O$5)),IF(O$7=1,(O41)/(SUM(O$10:OFFSET(O$10,$M$5-1,0,1,1))),(1/O41)/SUM(1/O$10:OFFSET(O$10,$M$5-1,0,1,1))),"")</f>
        <v/>
      </c>
      <c r="P97" s="202" t="str">
        <f ca="1">IF(AND(ISNUMBER($L97),ISNUMBER(P$5)),IF(P$7=1,(P41)/(SUM(P$10:OFFSET(P$10,$M$5-1,0,1,1))),(1/P41)/SUM(1/P$10:OFFSET(P$10,$M$5-1,0,1,1))),"")</f>
        <v/>
      </c>
      <c r="Q97" s="202" t="str">
        <f ca="1">IF(AND(ISNUMBER($L97),ISNUMBER(Q$5)),IF(Q$7=1,(Q41)/(SUM(Q$10:OFFSET(Q$10,$M$5-1,0,1,1))),(1/Q41)/SUM(1/Q$10:OFFSET(Q$10,$M$5-1,0,1,1))),"")</f>
        <v/>
      </c>
      <c r="R97" s="202" t="str">
        <f ca="1">IF(AND(ISNUMBER($L97),ISNUMBER(R$5)),IF(R$7=1,(R41)/(SUM(R$10:OFFSET(R$10,$M$5-1,0,1,1))),(1/R41)/SUM(1/R$10:OFFSET(R$10,$M$5-1,0,1,1))),"")</f>
        <v/>
      </c>
      <c r="S97" s="202" t="str">
        <f ca="1">IF(AND(ISNUMBER($L97),ISNUMBER(S$5)),IF(S$7=1,(S41)/(SUM(S$10:OFFSET(S$10,$M$5-1,0,1,1))),(1/S41)/SUM(1/S$10:OFFSET(S$10,$M$5-1,0,1,1))),"")</f>
        <v/>
      </c>
      <c r="T97" s="187"/>
      <c r="U97" s="199"/>
      <c r="V97" s="187"/>
      <c r="W97" s="187"/>
      <c r="X97" s="202" t="str">
        <f ca="1">IF(AND(ISNUMBER($V97),ISNUMBER(X$5)),IF(X$7=1,(X41)/(SUM(X$10:OFFSET(X$10,$W$5-1,0,1,1))),(1/X41)/SUM(1/X$10:OFFSET(X$10,$W$5-1,0,1,1))),"")</f>
        <v/>
      </c>
      <c r="Y97" s="202" t="str">
        <f ca="1">IF(AND(ISNUMBER($V97),ISNUMBER(Y$5)),IF(Y$7=1,(Y41)/(SUM(Y$10:OFFSET(Y$10,$W$5-1,0,1,1))),(1/Y41)/SUM(1/Y$10:OFFSET(Y$10,$W$5-1,0,1,1))),"")</f>
        <v/>
      </c>
      <c r="Z97" s="202" t="str">
        <f ca="1">IF(AND(ISNUMBER($V97),ISNUMBER(Z$5)),IF(Z$7=1,(Z41)/(SUM(Z$10:OFFSET(Z$10,$W$5-1,0,1,1))),(1/Z41)/SUM(1/Z$10:OFFSET(Z$10,$W$5-1,0,1,1))),"")</f>
        <v/>
      </c>
      <c r="AA97" s="202" t="str">
        <f ca="1">IF(AND(ISNUMBER($V97),ISNUMBER(AA$5)),IF(AA$7=1,(AA41)/(SUM(AA$10:OFFSET(AA$10,$W$5-1,0,1,1))),(1/AA41)/SUM(1/AA$10:OFFSET(AA$10,$W$5-1,0,1,1))),"")</f>
        <v/>
      </c>
      <c r="AB97" s="202" t="str">
        <f ca="1">IF(AND(ISNUMBER($V97),ISNUMBER(AB$5)),IF(AB$7=1,(AB41)/(SUM(AB$10:OFFSET(AB$10,$W$5-1,0,1,1))),(1/AB41)/SUM(1/AB$10:OFFSET(AB$10,$W$5-1,0,1,1))),"")</f>
        <v/>
      </c>
      <c r="AC97" s="202" t="str">
        <f ca="1">IF(AND(ISNUMBER($V97),ISNUMBER(AC$5)),IF(AC$7=1,(AC41)/(SUM(AC$10:OFFSET(AC$10,$W$5-1,0,1,1))),(1/AC41)/SUM(1/AC$10:OFFSET(AC$10,$W$5-1,0,1,1))),"")</f>
        <v/>
      </c>
    </row>
    <row r="98" spans="1:29" ht="14.25" hidden="1" customHeight="1">
      <c r="A98" s="199"/>
      <c r="B98" s="197"/>
      <c r="C98" s="198"/>
      <c r="D98" s="202" t="str">
        <f ca="1">IF(AND(ISNUMBER($B98),ISNUMBER(D$5)),IF(D$7=1,(D42)/(SUM(D$10:OFFSET(D$10,$C$5-1,0,1,1))),(1/D42)/SUM(1/D$10:OFFSET(D$10,$C$5-1,0,1,1))),"")</f>
        <v/>
      </c>
      <c r="E98" s="202" t="str">
        <f ca="1">IF(AND(ISNUMBER($B98),ISNUMBER(E$5)),IF(E$7=1,(E42)/(SUM(E$10:OFFSET(E$10,$C$5-1,0,1,1))),(1/E42)/SUM(1/E$10:OFFSET(E$10,$C$5-1,0,1,1))),"")</f>
        <v/>
      </c>
      <c r="F98" s="202" t="str">
        <f ca="1">IF(AND(ISNUMBER($B98),ISNUMBER(F$5)),IF(F$7=1,(F42)/(SUM(F$10:OFFSET(F$10,$C$5-1,0,1,1))),(1/F42)/SUM(1/F$10:OFFSET(F$10,$C$5-1,0,1,1))),"")</f>
        <v/>
      </c>
      <c r="G98" s="202" t="str">
        <f ca="1">IF(AND(ISNUMBER($B98),ISNUMBER(G$5)),IF(G$7=1,(G42)/(SUM(G$10:OFFSET(G$10,$C$5-1,0,1,1))),(1/G42)/SUM(1/G$10:OFFSET(G$10,$C$5-1,0,1,1))),"")</f>
        <v/>
      </c>
      <c r="H98" s="202" t="str">
        <f ca="1">IF(AND(ISNUMBER($B98),ISNUMBER(H$5)),IF(H$7=1,(H42)/(SUM(H$10:OFFSET(H$10,$C$5-1,0,1,1))),(1/H42)/SUM(1/H$10:OFFSET(H$10,$C$5-1,0,1,1))),"")</f>
        <v/>
      </c>
      <c r="I98" s="202" t="str">
        <f ca="1">IF(AND(ISNUMBER($B98),ISNUMBER(I$5)),IF(I$7=1,(I42)/(SUM(I$10:OFFSET(I$10,$C$5-1,0,1,1))),(1/I42)/SUM(1/I$10:OFFSET(I$10,$C$5-1,0,1,1))),"")</f>
        <v/>
      </c>
      <c r="J98" s="187"/>
      <c r="K98" s="199"/>
      <c r="L98" s="197"/>
      <c r="M98" s="198"/>
      <c r="N98" s="202" t="str">
        <f ca="1">IF(AND(ISNUMBER($L98),ISNUMBER(N$5)),IF(N$7=1,(N42)/(SUM(N$10:OFFSET(N$10,$M$5-1,0,1,1))),(1/N42)/SUM(1/N$10:OFFSET(N$10,$M$5-1,0,1,1))),"")</f>
        <v/>
      </c>
      <c r="O98" s="202" t="str">
        <f ca="1">IF(AND(ISNUMBER($L98),ISNUMBER(O$5)),IF(O$7=1,(O42)/(SUM(O$10:OFFSET(O$10,$M$5-1,0,1,1))),(1/O42)/SUM(1/O$10:OFFSET(O$10,$M$5-1,0,1,1))),"")</f>
        <v/>
      </c>
      <c r="P98" s="202" t="str">
        <f ca="1">IF(AND(ISNUMBER($L98),ISNUMBER(P$5)),IF(P$7=1,(P42)/(SUM(P$10:OFFSET(P$10,$M$5-1,0,1,1))),(1/P42)/SUM(1/P$10:OFFSET(P$10,$M$5-1,0,1,1))),"")</f>
        <v/>
      </c>
      <c r="Q98" s="202" t="str">
        <f ca="1">IF(AND(ISNUMBER($L98),ISNUMBER(Q$5)),IF(Q$7=1,(Q42)/(SUM(Q$10:OFFSET(Q$10,$M$5-1,0,1,1))),(1/Q42)/SUM(1/Q$10:OFFSET(Q$10,$M$5-1,0,1,1))),"")</f>
        <v/>
      </c>
      <c r="R98" s="202" t="str">
        <f ca="1">IF(AND(ISNUMBER($L98),ISNUMBER(R$5)),IF(R$7=1,(R42)/(SUM(R$10:OFFSET(R$10,$M$5-1,0,1,1))),(1/R42)/SUM(1/R$10:OFFSET(R$10,$M$5-1,0,1,1))),"")</f>
        <v/>
      </c>
      <c r="S98" s="202" t="str">
        <f ca="1">IF(AND(ISNUMBER($L98),ISNUMBER(S$5)),IF(S$7=1,(S42)/(SUM(S$10:OFFSET(S$10,$M$5-1,0,1,1))),(1/S42)/SUM(1/S$10:OFFSET(S$10,$M$5-1,0,1,1))),"")</f>
        <v/>
      </c>
      <c r="T98" s="187"/>
      <c r="U98" s="199"/>
      <c r="V98" s="197"/>
      <c r="W98" s="198"/>
      <c r="X98" s="202" t="str">
        <f ca="1">IF(AND(ISNUMBER($V98),ISNUMBER(X$5)),IF(X$7=1,(X42)/(SUM(X$10:OFFSET(X$10,$W$5-1,0,1,1))),(1/X42)/SUM(1/X$10:OFFSET(X$10,$W$5-1,0,1,1))),"")</f>
        <v/>
      </c>
      <c r="Y98" s="202" t="str">
        <f ca="1">IF(AND(ISNUMBER($V98),ISNUMBER(Y$5)),IF(Y$7=1,(Y42)/(SUM(Y$10:OFFSET(Y$10,$W$5-1,0,1,1))),(1/Y42)/SUM(1/Y$10:OFFSET(Y$10,$W$5-1,0,1,1))),"")</f>
        <v/>
      </c>
      <c r="Z98" s="202" t="str">
        <f ca="1">IF(AND(ISNUMBER($V98),ISNUMBER(Z$5)),IF(Z$7=1,(Z42)/(SUM(Z$10:OFFSET(Z$10,$W$5-1,0,1,1))),(1/Z42)/SUM(1/Z$10:OFFSET(Z$10,$W$5-1,0,1,1))),"")</f>
        <v/>
      </c>
      <c r="AA98" s="202" t="str">
        <f ca="1">IF(AND(ISNUMBER($V98),ISNUMBER(AA$5)),IF(AA$7=1,(AA42)/(SUM(AA$10:OFFSET(AA$10,$W$5-1,0,1,1))),(1/AA42)/SUM(1/AA$10:OFFSET(AA$10,$W$5-1,0,1,1))),"")</f>
        <v/>
      </c>
      <c r="AB98" s="202" t="str">
        <f ca="1">IF(AND(ISNUMBER($V98),ISNUMBER(AB$5)),IF(AB$7=1,(AB42)/(SUM(AB$10:OFFSET(AB$10,$W$5-1,0,1,1))),(1/AB42)/SUM(1/AB$10:OFFSET(AB$10,$W$5-1,0,1,1))),"")</f>
        <v/>
      </c>
      <c r="AC98" s="202" t="str">
        <f ca="1">IF(AND(ISNUMBER($V98),ISNUMBER(AC$5)),IF(AC$7=1,(AC42)/(SUM(AC$10:OFFSET(AC$10,$W$5-1,0,1,1))),(1/AC42)/SUM(1/AC$10:OFFSET(AC$10,$W$5-1,0,1,1))),"")</f>
        <v/>
      </c>
    </row>
    <row r="99" spans="1:29" ht="14.25" hidden="1" customHeight="1">
      <c r="A99" s="199"/>
      <c r="B99" s="197"/>
      <c r="C99" s="198"/>
      <c r="D99" s="202" t="str">
        <f ca="1">IF(AND(ISNUMBER($B99),ISNUMBER(D$5)),IF(D$7=1,(D43)/(SUM(D$10:OFFSET(D$10,$C$5-1,0,1,1))),(1/D43)/SUM(1/D$10:OFFSET(D$10,$C$5-1,0,1,1))),"")</f>
        <v/>
      </c>
      <c r="E99" s="202" t="str">
        <f ca="1">IF(AND(ISNUMBER($B99),ISNUMBER(E$5)),IF(E$7=1,(E43)/(SUM(E$10:OFFSET(E$10,$C$5-1,0,1,1))),(1/E43)/SUM(1/E$10:OFFSET(E$10,$C$5-1,0,1,1))),"")</f>
        <v/>
      </c>
      <c r="F99" s="202" t="str">
        <f ca="1">IF(AND(ISNUMBER($B99),ISNUMBER(F$5)),IF(F$7=1,(F43)/(SUM(F$10:OFFSET(F$10,$C$5-1,0,1,1))),(1/F43)/SUM(1/F$10:OFFSET(F$10,$C$5-1,0,1,1))),"")</f>
        <v/>
      </c>
      <c r="G99" s="202" t="str">
        <f ca="1">IF(AND(ISNUMBER($B99),ISNUMBER(G$5)),IF(G$7=1,(G43)/(SUM(G$10:OFFSET(G$10,$C$5-1,0,1,1))),(1/G43)/SUM(1/G$10:OFFSET(G$10,$C$5-1,0,1,1))),"")</f>
        <v/>
      </c>
      <c r="H99" s="202" t="str">
        <f ca="1">IF(AND(ISNUMBER($B99),ISNUMBER(H$5)),IF(H$7=1,(H43)/(SUM(H$10:OFFSET(H$10,$C$5-1,0,1,1))),(1/H43)/SUM(1/H$10:OFFSET(H$10,$C$5-1,0,1,1))),"")</f>
        <v/>
      </c>
      <c r="I99" s="202" t="str">
        <f ca="1">IF(AND(ISNUMBER($B99),ISNUMBER(I$5)),IF(I$7=1,(I43)/(SUM(I$10:OFFSET(I$10,$C$5-1,0,1,1))),(1/I43)/SUM(1/I$10:OFFSET(I$10,$C$5-1,0,1,1))),"")</f>
        <v/>
      </c>
      <c r="J99" s="187"/>
      <c r="K99" s="199"/>
      <c r="L99" s="197"/>
      <c r="M99" s="198"/>
      <c r="N99" s="202" t="str">
        <f ca="1">IF(AND(ISNUMBER($L99),ISNUMBER(N$5)),IF(N$7=1,(N43)/(SUM(N$10:OFFSET(N$10,$M$5-1,0,1,1))),(1/N43)/SUM(1/N$10:OFFSET(N$10,$M$5-1,0,1,1))),"")</f>
        <v/>
      </c>
      <c r="O99" s="202" t="str">
        <f ca="1">IF(AND(ISNUMBER($L99),ISNUMBER(O$5)),IF(O$7=1,(O43)/(SUM(O$10:OFFSET(O$10,$M$5-1,0,1,1))),(1/O43)/SUM(1/O$10:OFFSET(O$10,$M$5-1,0,1,1))),"")</f>
        <v/>
      </c>
      <c r="P99" s="202" t="str">
        <f ca="1">IF(AND(ISNUMBER($L99),ISNUMBER(P$5)),IF(P$7=1,(P43)/(SUM(P$10:OFFSET(P$10,$M$5-1,0,1,1))),(1/P43)/SUM(1/P$10:OFFSET(P$10,$M$5-1,0,1,1))),"")</f>
        <v/>
      </c>
      <c r="Q99" s="202" t="str">
        <f ca="1">IF(AND(ISNUMBER($L99),ISNUMBER(Q$5)),IF(Q$7=1,(Q43)/(SUM(Q$10:OFFSET(Q$10,$M$5-1,0,1,1))),(1/Q43)/SUM(1/Q$10:OFFSET(Q$10,$M$5-1,0,1,1))),"")</f>
        <v/>
      </c>
      <c r="R99" s="202" t="str">
        <f ca="1">IF(AND(ISNUMBER($L99),ISNUMBER(R$5)),IF(R$7=1,(R43)/(SUM(R$10:OFFSET(R$10,$M$5-1,0,1,1))),(1/R43)/SUM(1/R$10:OFFSET(R$10,$M$5-1,0,1,1))),"")</f>
        <v/>
      </c>
      <c r="S99" s="202" t="str">
        <f ca="1">IF(AND(ISNUMBER($L99),ISNUMBER(S$5)),IF(S$7=1,(S43)/(SUM(S$10:OFFSET(S$10,$M$5-1,0,1,1))),(1/S43)/SUM(1/S$10:OFFSET(S$10,$M$5-1,0,1,1))),"")</f>
        <v/>
      </c>
      <c r="T99" s="187"/>
      <c r="U99" s="199"/>
      <c r="V99" s="197"/>
      <c r="W99" s="198"/>
      <c r="X99" s="202" t="str">
        <f ca="1">IF(AND(ISNUMBER($V99),ISNUMBER(X$5)),IF(X$7=1,(X43)/(SUM(X$10:OFFSET(X$10,$W$5-1,0,1,1))),(1/X43)/SUM(1/X$10:OFFSET(X$10,$W$5-1,0,1,1))),"")</f>
        <v/>
      </c>
      <c r="Y99" s="202" t="str">
        <f ca="1">IF(AND(ISNUMBER($V99),ISNUMBER(Y$5)),IF(Y$7=1,(Y43)/(SUM(Y$10:OFFSET(Y$10,$W$5-1,0,1,1))),(1/Y43)/SUM(1/Y$10:OFFSET(Y$10,$W$5-1,0,1,1))),"")</f>
        <v/>
      </c>
      <c r="Z99" s="202" t="str">
        <f ca="1">IF(AND(ISNUMBER($V99),ISNUMBER(Z$5)),IF(Z$7=1,(Z43)/(SUM(Z$10:OFFSET(Z$10,$W$5-1,0,1,1))),(1/Z43)/SUM(1/Z$10:OFFSET(Z$10,$W$5-1,0,1,1))),"")</f>
        <v/>
      </c>
      <c r="AA99" s="202" t="str">
        <f ca="1">IF(AND(ISNUMBER($V99),ISNUMBER(AA$5)),IF(AA$7=1,(AA43)/(SUM(AA$10:OFFSET(AA$10,$W$5-1,0,1,1))),(1/AA43)/SUM(1/AA$10:OFFSET(AA$10,$W$5-1,0,1,1))),"")</f>
        <v/>
      </c>
      <c r="AB99" s="202" t="str">
        <f ca="1">IF(AND(ISNUMBER($V99),ISNUMBER(AB$5)),IF(AB$7=1,(AB43)/(SUM(AB$10:OFFSET(AB$10,$W$5-1,0,1,1))),(1/AB43)/SUM(1/AB$10:OFFSET(AB$10,$W$5-1,0,1,1))),"")</f>
        <v/>
      </c>
      <c r="AC99" s="202" t="str">
        <f ca="1">IF(AND(ISNUMBER($V99),ISNUMBER(AC$5)),IF(AC$7=1,(AC43)/(SUM(AC$10:OFFSET(AC$10,$W$5-1,0,1,1))),(1/AC43)/SUM(1/AC$10:OFFSET(AC$10,$W$5-1,0,1,1))),"")</f>
        <v/>
      </c>
    </row>
    <row r="100" spans="1:29" ht="14.25" hidden="1" customHeight="1">
      <c r="A100" s="199"/>
      <c r="B100" s="197"/>
      <c r="C100" s="198"/>
      <c r="D100" s="202" t="str">
        <f ca="1">IF(AND(ISNUMBER($B100),ISNUMBER(D$5)),IF(D$7=1,(D44)/(SUM(D$10:OFFSET(D$10,$C$5-1,0,1,1))),(1/D44)/SUM(1/D$10:OFFSET(D$10,$C$5-1,0,1,1))),"")</f>
        <v/>
      </c>
      <c r="E100" s="202" t="str">
        <f ca="1">IF(AND(ISNUMBER($B100),ISNUMBER(E$5)),IF(E$7=1,(E44)/(SUM(E$10:OFFSET(E$10,$C$5-1,0,1,1))),(1/E44)/SUM(1/E$10:OFFSET(E$10,$C$5-1,0,1,1))),"")</f>
        <v/>
      </c>
      <c r="F100" s="202" t="str">
        <f ca="1">IF(AND(ISNUMBER($B100),ISNUMBER(F$5)),IF(F$7=1,(F44)/(SUM(F$10:OFFSET(F$10,$C$5-1,0,1,1))),(1/F44)/SUM(1/F$10:OFFSET(F$10,$C$5-1,0,1,1))),"")</f>
        <v/>
      </c>
      <c r="G100" s="202" t="str">
        <f ca="1">IF(AND(ISNUMBER($B100),ISNUMBER(G$5)),IF(G$7=1,(G44)/(SUM(G$10:OFFSET(G$10,$C$5-1,0,1,1))),(1/G44)/SUM(1/G$10:OFFSET(G$10,$C$5-1,0,1,1))),"")</f>
        <v/>
      </c>
      <c r="H100" s="202" t="str">
        <f ca="1">IF(AND(ISNUMBER($B100),ISNUMBER(H$5)),IF(H$7=1,(H44)/(SUM(H$10:OFFSET(H$10,$C$5-1,0,1,1))),(1/H44)/SUM(1/H$10:OFFSET(H$10,$C$5-1,0,1,1))),"")</f>
        <v/>
      </c>
      <c r="I100" s="202" t="str">
        <f ca="1">IF(AND(ISNUMBER($B100),ISNUMBER(I$5)),IF(I$7=1,(I44)/(SUM(I$10:OFFSET(I$10,$C$5-1,0,1,1))),(1/I44)/SUM(1/I$10:OFFSET(I$10,$C$5-1,0,1,1))),"")</f>
        <v/>
      </c>
      <c r="J100" s="187"/>
      <c r="K100" s="199"/>
      <c r="L100" s="197"/>
      <c r="M100" s="198"/>
      <c r="N100" s="202" t="str">
        <f ca="1">IF(AND(ISNUMBER($L100),ISNUMBER(N$5)),IF(N$7=1,(N44)/(SUM(N$10:OFFSET(N$10,$M$5-1,0,1,1))),(1/N44)/SUM(1/N$10:OFFSET(N$10,$M$5-1,0,1,1))),"")</f>
        <v/>
      </c>
      <c r="O100" s="202" t="str">
        <f ca="1">IF(AND(ISNUMBER($L100),ISNUMBER(O$5)),IF(O$7=1,(O44)/(SUM(O$10:OFFSET(O$10,$M$5-1,0,1,1))),(1/O44)/SUM(1/O$10:OFFSET(O$10,$M$5-1,0,1,1))),"")</f>
        <v/>
      </c>
      <c r="P100" s="202" t="str">
        <f ca="1">IF(AND(ISNUMBER($L100),ISNUMBER(P$5)),IF(P$7=1,(P44)/(SUM(P$10:OFFSET(P$10,$M$5-1,0,1,1))),(1/P44)/SUM(1/P$10:OFFSET(P$10,$M$5-1,0,1,1))),"")</f>
        <v/>
      </c>
      <c r="Q100" s="202" t="str">
        <f ca="1">IF(AND(ISNUMBER($L100),ISNUMBER(Q$5)),IF(Q$7=1,(Q44)/(SUM(Q$10:OFFSET(Q$10,$M$5-1,0,1,1))),(1/Q44)/SUM(1/Q$10:OFFSET(Q$10,$M$5-1,0,1,1))),"")</f>
        <v/>
      </c>
      <c r="R100" s="202" t="str">
        <f ca="1">IF(AND(ISNUMBER($L100),ISNUMBER(R$5)),IF(R$7=1,(R44)/(SUM(R$10:OFFSET(R$10,$M$5-1,0,1,1))),(1/R44)/SUM(1/R$10:OFFSET(R$10,$M$5-1,0,1,1))),"")</f>
        <v/>
      </c>
      <c r="S100" s="202" t="str">
        <f ca="1">IF(AND(ISNUMBER($L100),ISNUMBER(S$5)),IF(S$7=1,(S44)/(SUM(S$10:OFFSET(S$10,$M$5-1,0,1,1))),(1/S44)/SUM(1/S$10:OFFSET(S$10,$M$5-1,0,1,1))),"")</f>
        <v/>
      </c>
      <c r="T100" s="187"/>
      <c r="U100" s="199"/>
      <c r="V100" s="197"/>
      <c r="W100" s="198"/>
      <c r="X100" s="202" t="str">
        <f ca="1">IF(AND(ISNUMBER($V100),ISNUMBER(X$5)),IF(X$7=1,(X44)/(SUM(X$10:OFFSET(X$10,$W$5-1,0,1,1))),(1/X44)/SUM(1/X$10:OFFSET(X$10,$W$5-1,0,1,1))),"")</f>
        <v/>
      </c>
      <c r="Y100" s="202" t="str">
        <f ca="1">IF(AND(ISNUMBER($V100),ISNUMBER(Y$5)),IF(Y$7=1,(Y44)/(SUM(Y$10:OFFSET(Y$10,$W$5-1,0,1,1))),(1/Y44)/SUM(1/Y$10:OFFSET(Y$10,$W$5-1,0,1,1))),"")</f>
        <v/>
      </c>
      <c r="Z100" s="202" t="str">
        <f ca="1">IF(AND(ISNUMBER($V100),ISNUMBER(Z$5)),IF(Z$7=1,(Z44)/(SUM(Z$10:OFFSET(Z$10,$W$5-1,0,1,1))),(1/Z44)/SUM(1/Z$10:OFFSET(Z$10,$W$5-1,0,1,1))),"")</f>
        <v/>
      </c>
      <c r="AA100" s="202" t="str">
        <f ca="1">IF(AND(ISNUMBER($V100),ISNUMBER(AA$5)),IF(AA$7=1,(AA44)/(SUM(AA$10:OFFSET(AA$10,$W$5-1,0,1,1))),(1/AA44)/SUM(1/AA$10:OFFSET(AA$10,$W$5-1,0,1,1))),"")</f>
        <v/>
      </c>
      <c r="AB100" s="202" t="str">
        <f ca="1">IF(AND(ISNUMBER($V100),ISNUMBER(AB$5)),IF(AB$7=1,(AB44)/(SUM(AB$10:OFFSET(AB$10,$W$5-1,0,1,1))),(1/AB44)/SUM(1/AB$10:OFFSET(AB$10,$W$5-1,0,1,1))),"")</f>
        <v/>
      </c>
      <c r="AC100" s="202" t="str">
        <f ca="1">IF(AND(ISNUMBER($V100),ISNUMBER(AC$5)),IF(AC$7=1,(AC44)/(SUM(AC$10:OFFSET(AC$10,$W$5-1,0,1,1))),(1/AC44)/SUM(1/AC$10:OFFSET(AC$10,$W$5-1,0,1,1))),"")</f>
        <v/>
      </c>
    </row>
    <row r="101" spans="1:29" ht="14.25" hidden="1" customHeight="1">
      <c r="A101" s="199"/>
      <c r="B101" s="197"/>
      <c r="C101" s="198"/>
      <c r="D101" s="202" t="str">
        <f ca="1">IF(AND(ISNUMBER($B101),ISNUMBER(D$5)),IF(D$7=1,(D45)/(SUM(D$10:OFFSET(D$10,$C$5-1,0,1,1))),(1/D45)/SUM(1/D$10:OFFSET(D$10,$C$5-1,0,1,1))),"")</f>
        <v/>
      </c>
      <c r="E101" s="202" t="str">
        <f ca="1">IF(AND(ISNUMBER($B101),ISNUMBER(E$5)),IF(E$7=1,(E45)/(SUM(E$10:OFFSET(E$10,$C$5-1,0,1,1))),(1/E45)/SUM(1/E$10:OFFSET(E$10,$C$5-1,0,1,1))),"")</f>
        <v/>
      </c>
      <c r="F101" s="202" t="str">
        <f ca="1">IF(AND(ISNUMBER($B101),ISNUMBER(F$5)),IF(F$7=1,(F45)/(SUM(F$10:OFFSET(F$10,$C$5-1,0,1,1))),(1/F45)/SUM(1/F$10:OFFSET(F$10,$C$5-1,0,1,1))),"")</f>
        <v/>
      </c>
      <c r="G101" s="202" t="str">
        <f ca="1">IF(AND(ISNUMBER($B101),ISNUMBER(G$5)),IF(G$7=1,(G45)/(SUM(G$10:OFFSET(G$10,$C$5-1,0,1,1))),(1/G45)/SUM(1/G$10:OFFSET(G$10,$C$5-1,0,1,1))),"")</f>
        <v/>
      </c>
      <c r="H101" s="202" t="str">
        <f ca="1">IF(AND(ISNUMBER($B101),ISNUMBER(H$5)),IF(H$7=1,(H45)/(SUM(H$10:OFFSET(H$10,$C$5-1,0,1,1))),(1/H45)/SUM(1/H$10:OFFSET(H$10,$C$5-1,0,1,1))),"")</f>
        <v/>
      </c>
      <c r="I101" s="202" t="str">
        <f ca="1">IF(AND(ISNUMBER($B101),ISNUMBER(I$5)),IF(I$7=1,(I45)/(SUM(I$10:OFFSET(I$10,$C$5-1,0,1,1))),(1/I45)/SUM(1/I$10:OFFSET(I$10,$C$5-1,0,1,1))),"")</f>
        <v/>
      </c>
      <c r="J101" s="187"/>
      <c r="K101" s="199"/>
      <c r="L101" s="197"/>
      <c r="M101" s="198"/>
      <c r="N101" s="202" t="str">
        <f ca="1">IF(AND(ISNUMBER($L101),ISNUMBER(N$5)),IF(N$7=1,(N45)/(SUM(N$10:OFFSET(N$10,$M$5-1,0,1,1))),(1/N45)/SUM(1/N$10:OFFSET(N$10,$M$5-1,0,1,1))),"")</f>
        <v/>
      </c>
      <c r="O101" s="202" t="str">
        <f ca="1">IF(AND(ISNUMBER($L101),ISNUMBER(O$5)),IF(O$7=1,(O45)/(SUM(O$10:OFFSET(O$10,$M$5-1,0,1,1))),(1/O45)/SUM(1/O$10:OFFSET(O$10,$M$5-1,0,1,1))),"")</f>
        <v/>
      </c>
      <c r="P101" s="202" t="str">
        <f ca="1">IF(AND(ISNUMBER($L101),ISNUMBER(P$5)),IF(P$7=1,(P45)/(SUM(P$10:OFFSET(P$10,$M$5-1,0,1,1))),(1/P45)/SUM(1/P$10:OFFSET(P$10,$M$5-1,0,1,1))),"")</f>
        <v/>
      </c>
      <c r="Q101" s="202" t="str">
        <f ca="1">IF(AND(ISNUMBER($L101),ISNUMBER(Q$5)),IF(Q$7=1,(Q45)/(SUM(Q$10:OFFSET(Q$10,$M$5-1,0,1,1))),(1/Q45)/SUM(1/Q$10:OFFSET(Q$10,$M$5-1,0,1,1))),"")</f>
        <v/>
      </c>
      <c r="R101" s="202" t="str">
        <f ca="1">IF(AND(ISNUMBER($L101),ISNUMBER(R$5)),IF(R$7=1,(R45)/(SUM(R$10:OFFSET(R$10,$M$5-1,0,1,1))),(1/R45)/SUM(1/R$10:OFFSET(R$10,$M$5-1,0,1,1))),"")</f>
        <v/>
      </c>
      <c r="S101" s="202" t="str">
        <f ca="1">IF(AND(ISNUMBER($L101),ISNUMBER(S$5)),IF(S$7=1,(S45)/(SUM(S$10:OFFSET(S$10,$M$5-1,0,1,1))),(1/S45)/SUM(1/S$10:OFFSET(S$10,$M$5-1,0,1,1))),"")</f>
        <v/>
      </c>
      <c r="T101" s="187"/>
      <c r="U101" s="199"/>
      <c r="V101" s="197"/>
      <c r="W101" s="198"/>
      <c r="X101" s="202" t="str">
        <f ca="1">IF(AND(ISNUMBER($V101),ISNUMBER(X$5)),IF(X$7=1,(X45)/(SUM(X$10:OFFSET(X$10,$W$5-1,0,1,1))),(1/X45)/SUM(1/X$10:OFFSET(X$10,$W$5-1,0,1,1))),"")</f>
        <v/>
      </c>
      <c r="Y101" s="202" t="str">
        <f ca="1">IF(AND(ISNUMBER($V101),ISNUMBER(Y$5)),IF(Y$7=1,(Y45)/(SUM(Y$10:OFFSET(Y$10,$W$5-1,0,1,1))),(1/Y45)/SUM(1/Y$10:OFFSET(Y$10,$W$5-1,0,1,1))),"")</f>
        <v/>
      </c>
      <c r="Z101" s="202" t="str">
        <f ca="1">IF(AND(ISNUMBER($V101),ISNUMBER(Z$5)),IF(Z$7=1,(Z45)/(SUM(Z$10:OFFSET(Z$10,$W$5-1,0,1,1))),(1/Z45)/SUM(1/Z$10:OFFSET(Z$10,$W$5-1,0,1,1))),"")</f>
        <v/>
      </c>
      <c r="AA101" s="202" t="str">
        <f ca="1">IF(AND(ISNUMBER($V101),ISNUMBER(AA$5)),IF(AA$7=1,(AA45)/(SUM(AA$10:OFFSET(AA$10,$W$5-1,0,1,1))),(1/AA45)/SUM(1/AA$10:OFFSET(AA$10,$W$5-1,0,1,1))),"")</f>
        <v/>
      </c>
      <c r="AB101" s="202" t="str">
        <f ca="1">IF(AND(ISNUMBER($V101),ISNUMBER(AB$5)),IF(AB$7=1,(AB45)/(SUM(AB$10:OFFSET(AB$10,$W$5-1,0,1,1))),(1/AB45)/SUM(1/AB$10:OFFSET(AB$10,$W$5-1,0,1,1))),"")</f>
        <v/>
      </c>
      <c r="AC101" s="202" t="str">
        <f ca="1">IF(AND(ISNUMBER($V101),ISNUMBER(AC$5)),IF(AC$7=1,(AC45)/(SUM(AC$10:OFFSET(AC$10,$W$5-1,0,1,1))),(1/AC45)/SUM(1/AC$10:OFFSET(AC$10,$W$5-1,0,1,1))),"")</f>
        <v/>
      </c>
    </row>
    <row r="102" spans="1:29" ht="14.25" hidden="1" customHeight="1">
      <c r="A102" s="199"/>
      <c r="B102" s="197"/>
      <c r="C102" s="198"/>
      <c r="D102" s="202" t="str">
        <f ca="1">IF(AND(ISNUMBER($B102),ISNUMBER(D$5)),IF(D$7=1,(D46)/(SUM(D$10:OFFSET(D$10,$C$5-1,0,1,1))),(1/D46)/SUM(1/D$10:OFFSET(D$10,$C$5-1,0,1,1))),"")</f>
        <v/>
      </c>
      <c r="E102" s="202" t="str">
        <f ca="1">IF(AND(ISNUMBER($B102),ISNUMBER(E$5)),IF(E$7=1,(E46)/(SUM(E$10:OFFSET(E$10,$C$5-1,0,1,1))),(1/E46)/SUM(1/E$10:OFFSET(E$10,$C$5-1,0,1,1))),"")</f>
        <v/>
      </c>
      <c r="F102" s="202" t="str">
        <f ca="1">IF(AND(ISNUMBER($B102),ISNUMBER(F$5)),IF(F$7=1,(F46)/(SUM(F$10:OFFSET(F$10,$C$5-1,0,1,1))),(1/F46)/SUM(1/F$10:OFFSET(F$10,$C$5-1,0,1,1))),"")</f>
        <v/>
      </c>
      <c r="G102" s="202" t="str">
        <f ca="1">IF(AND(ISNUMBER($B102),ISNUMBER(G$5)),IF(G$7=1,(G46)/(SUM(G$10:OFFSET(G$10,$C$5-1,0,1,1))),(1/G46)/SUM(1/G$10:OFFSET(G$10,$C$5-1,0,1,1))),"")</f>
        <v/>
      </c>
      <c r="H102" s="202" t="str">
        <f ca="1">IF(AND(ISNUMBER($B102),ISNUMBER(H$5)),IF(H$7=1,(H46)/(SUM(H$10:OFFSET(H$10,$C$5-1,0,1,1))),(1/H46)/SUM(1/H$10:OFFSET(H$10,$C$5-1,0,1,1))),"")</f>
        <v/>
      </c>
      <c r="I102" s="202" t="str">
        <f ca="1">IF(AND(ISNUMBER($B102),ISNUMBER(I$5)),IF(I$7=1,(I46)/(SUM(I$10:OFFSET(I$10,$C$5-1,0,1,1))),(1/I46)/SUM(1/I$10:OFFSET(I$10,$C$5-1,0,1,1))),"")</f>
        <v/>
      </c>
      <c r="J102" s="187"/>
      <c r="K102" s="199"/>
      <c r="L102" s="197"/>
      <c r="M102" s="198"/>
      <c r="N102" s="202" t="str">
        <f ca="1">IF(AND(ISNUMBER($L102),ISNUMBER(N$5)),IF(N$7=1,(N46)/(SUM(N$10:OFFSET(N$10,$M$5-1,0,1,1))),(1/N46)/SUM(1/N$10:OFFSET(N$10,$M$5-1,0,1,1))),"")</f>
        <v/>
      </c>
      <c r="O102" s="202" t="str">
        <f ca="1">IF(AND(ISNUMBER($L102),ISNUMBER(O$5)),IF(O$7=1,(O46)/(SUM(O$10:OFFSET(O$10,$M$5-1,0,1,1))),(1/O46)/SUM(1/O$10:OFFSET(O$10,$M$5-1,0,1,1))),"")</f>
        <v/>
      </c>
      <c r="P102" s="202" t="str">
        <f ca="1">IF(AND(ISNUMBER($L102),ISNUMBER(P$5)),IF(P$7=1,(P46)/(SUM(P$10:OFFSET(P$10,$M$5-1,0,1,1))),(1/P46)/SUM(1/P$10:OFFSET(P$10,$M$5-1,0,1,1))),"")</f>
        <v/>
      </c>
      <c r="Q102" s="202" t="str">
        <f ca="1">IF(AND(ISNUMBER($L102),ISNUMBER(Q$5)),IF(Q$7=1,(Q46)/(SUM(Q$10:OFFSET(Q$10,$M$5-1,0,1,1))),(1/Q46)/SUM(1/Q$10:OFFSET(Q$10,$M$5-1,0,1,1))),"")</f>
        <v/>
      </c>
      <c r="R102" s="202" t="str">
        <f ca="1">IF(AND(ISNUMBER($L102),ISNUMBER(R$5)),IF(R$7=1,(R46)/(SUM(R$10:OFFSET(R$10,$M$5-1,0,1,1))),(1/R46)/SUM(1/R$10:OFFSET(R$10,$M$5-1,0,1,1))),"")</f>
        <v/>
      </c>
      <c r="S102" s="202" t="str">
        <f ca="1">IF(AND(ISNUMBER($L102),ISNUMBER(S$5)),IF(S$7=1,(S46)/(SUM(S$10:OFFSET(S$10,$M$5-1,0,1,1))),(1/S46)/SUM(1/S$10:OFFSET(S$10,$M$5-1,0,1,1))),"")</f>
        <v/>
      </c>
      <c r="T102" s="187"/>
      <c r="U102" s="199"/>
      <c r="V102" s="197"/>
      <c r="W102" s="198"/>
      <c r="X102" s="202" t="str">
        <f ca="1">IF(AND(ISNUMBER($V102),ISNUMBER(X$5)),IF(X$7=1,(X46)/(SUM(X$10:OFFSET(X$10,$W$5-1,0,1,1))),(1/X46)/SUM(1/X$10:OFFSET(X$10,$W$5-1,0,1,1))),"")</f>
        <v/>
      </c>
      <c r="Y102" s="202" t="str">
        <f ca="1">IF(AND(ISNUMBER($V102),ISNUMBER(Y$5)),IF(Y$7=1,(Y46)/(SUM(Y$10:OFFSET(Y$10,$W$5-1,0,1,1))),(1/Y46)/SUM(1/Y$10:OFFSET(Y$10,$W$5-1,0,1,1))),"")</f>
        <v/>
      </c>
      <c r="Z102" s="202" t="str">
        <f ca="1">IF(AND(ISNUMBER($V102),ISNUMBER(Z$5)),IF(Z$7=1,(Z46)/(SUM(Z$10:OFFSET(Z$10,$W$5-1,0,1,1))),(1/Z46)/SUM(1/Z$10:OFFSET(Z$10,$W$5-1,0,1,1))),"")</f>
        <v/>
      </c>
      <c r="AA102" s="202" t="str">
        <f ca="1">IF(AND(ISNUMBER($V102),ISNUMBER(AA$5)),IF(AA$7=1,(AA46)/(SUM(AA$10:OFFSET(AA$10,$W$5-1,0,1,1))),(1/AA46)/SUM(1/AA$10:OFFSET(AA$10,$W$5-1,0,1,1))),"")</f>
        <v/>
      </c>
      <c r="AB102" s="202" t="str">
        <f ca="1">IF(AND(ISNUMBER($V102),ISNUMBER(AB$5)),IF(AB$7=1,(AB46)/(SUM(AB$10:OFFSET(AB$10,$W$5-1,0,1,1))),(1/AB46)/SUM(1/AB$10:OFFSET(AB$10,$W$5-1,0,1,1))),"")</f>
        <v/>
      </c>
      <c r="AC102" s="202" t="str">
        <f ca="1">IF(AND(ISNUMBER($V102),ISNUMBER(AC$5)),IF(AC$7=1,(AC46)/(SUM(AC$10:OFFSET(AC$10,$W$5-1,0,1,1))),(1/AC46)/SUM(1/AC$10:OFFSET(AC$10,$W$5-1,0,1,1))),"")</f>
        <v/>
      </c>
    </row>
    <row r="103" spans="1:29" ht="14.25" hidden="1" customHeight="1">
      <c r="A103" s="199"/>
      <c r="B103" s="197"/>
      <c r="C103" s="198"/>
      <c r="D103" s="202" t="str">
        <f ca="1">IF(AND(ISNUMBER($B103),ISNUMBER(D$5)),IF(D$7=1,(D47)/(SUM(D$10:OFFSET(D$10,$C$5-1,0,1,1))),(1/D47)/SUM(1/D$10:OFFSET(D$10,$C$5-1,0,1,1))),"")</f>
        <v/>
      </c>
      <c r="E103" s="202" t="str">
        <f ca="1">IF(AND(ISNUMBER($B103),ISNUMBER(E$5)),IF(E$7=1,(E47)/(SUM(E$10:OFFSET(E$10,$C$5-1,0,1,1))),(1/E47)/SUM(1/E$10:OFFSET(E$10,$C$5-1,0,1,1))),"")</f>
        <v/>
      </c>
      <c r="F103" s="202" t="str">
        <f ca="1">IF(AND(ISNUMBER($B103),ISNUMBER(F$5)),IF(F$7=1,(F47)/(SUM(F$10:OFFSET(F$10,$C$5-1,0,1,1))),(1/F47)/SUM(1/F$10:OFFSET(F$10,$C$5-1,0,1,1))),"")</f>
        <v/>
      </c>
      <c r="G103" s="202" t="str">
        <f ca="1">IF(AND(ISNUMBER($B103),ISNUMBER(G$5)),IF(G$7=1,(G47)/(SUM(G$10:OFFSET(G$10,$C$5-1,0,1,1))),(1/G47)/SUM(1/G$10:OFFSET(G$10,$C$5-1,0,1,1))),"")</f>
        <v/>
      </c>
      <c r="H103" s="202" t="str">
        <f ca="1">IF(AND(ISNUMBER($B103),ISNUMBER(H$5)),IF(H$7=1,(H47)/(SUM(H$10:OFFSET(H$10,$C$5-1,0,1,1))),(1/H47)/SUM(1/H$10:OFFSET(H$10,$C$5-1,0,1,1))),"")</f>
        <v/>
      </c>
      <c r="I103" s="202" t="str">
        <f ca="1">IF(AND(ISNUMBER($B103),ISNUMBER(I$5)),IF(I$7=1,(I47)/(SUM(I$10:OFFSET(I$10,$C$5-1,0,1,1))),(1/I47)/SUM(1/I$10:OFFSET(I$10,$C$5-1,0,1,1))),"")</f>
        <v/>
      </c>
      <c r="J103" s="187"/>
      <c r="K103" s="199"/>
      <c r="L103" s="197"/>
      <c r="M103" s="198"/>
      <c r="N103" s="202" t="str">
        <f ca="1">IF(AND(ISNUMBER($L103),ISNUMBER(N$5)),IF(N$7=1,(N47)/(SUM(N$10:OFFSET(N$10,$M$5-1,0,1,1))),(1/N47)/SUM(1/N$10:OFFSET(N$10,$M$5-1,0,1,1))),"")</f>
        <v/>
      </c>
      <c r="O103" s="202" t="str">
        <f ca="1">IF(AND(ISNUMBER($L103),ISNUMBER(O$5)),IF(O$7=1,(O47)/(SUM(O$10:OFFSET(O$10,$M$5-1,0,1,1))),(1/O47)/SUM(1/O$10:OFFSET(O$10,$M$5-1,0,1,1))),"")</f>
        <v/>
      </c>
      <c r="P103" s="202" t="str">
        <f ca="1">IF(AND(ISNUMBER($L103),ISNUMBER(P$5)),IF(P$7=1,(P47)/(SUM(P$10:OFFSET(P$10,$M$5-1,0,1,1))),(1/P47)/SUM(1/P$10:OFFSET(P$10,$M$5-1,0,1,1))),"")</f>
        <v/>
      </c>
      <c r="Q103" s="202" t="str">
        <f ca="1">IF(AND(ISNUMBER($L103),ISNUMBER(Q$5)),IF(Q$7=1,(Q47)/(SUM(Q$10:OFFSET(Q$10,$M$5-1,0,1,1))),(1/Q47)/SUM(1/Q$10:OFFSET(Q$10,$M$5-1,0,1,1))),"")</f>
        <v/>
      </c>
      <c r="R103" s="202" t="str">
        <f ca="1">IF(AND(ISNUMBER($L103),ISNUMBER(R$5)),IF(R$7=1,(R47)/(SUM(R$10:OFFSET(R$10,$M$5-1,0,1,1))),(1/R47)/SUM(1/R$10:OFFSET(R$10,$M$5-1,0,1,1))),"")</f>
        <v/>
      </c>
      <c r="S103" s="202" t="str">
        <f ca="1">IF(AND(ISNUMBER($L103),ISNUMBER(S$5)),IF(S$7=1,(S47)/(SUM(S$10:OFFSET(S$10,$M$5-1,0,1,1))),(1/S47)/SUM(1/S$10:OFFSET(S$10,$M$5-1,0,1,1))),"")</f>
        <v/>
      </c>
      <c r="T103" s="187"/>
      <c r="U103" s="199"/>
      <c r="V103" s="197"/>
      <c r="W103" s="198"/>
      <c r="X103" s="202" t="str">
        <f ca="1">IF(AND(ISNUMBER($V103),ISNUMBER(X$5)),IF(X$7=1,(X47)/(SUM(X$10:OFFSET(X$10,$W$5-1,0,1,1))),(1/X47)/SUM(1/X$10:OFFSET(X$10,$W$5-1,0,1,1))),"")</f>
        <v/>
      </c>
      <c r="Y103" s="202" t="str">
        <f ca="1">IF(AND(ISNUMBER($V103),ISNUMBER(Y$5)),IF(Y$7=1,(Y47)/(SUM(Y$10:OFFSET(Y$10,$W$5-1,0,1,1))),(1/Y47)/SUM(1/Y$10:OFFSET(Y$10,$W$5-1,0,1,1))),"")</f>
        <v/>
      </c>
      <c r="Z103" s="202" t="str">
        <f ca="1">IF(AND(ISNUMBER($V103),ISNUMBER(Z$5)),IF(Z$7=1,(Z47)/(SUM(Z$10:OFFSET(Z$10,$W$5-1,0,1,1))),(1/Z47)/SUM(1/Z$10:OFFSET(Z$10,$W$5-1,0,1,1))),"")</f>
        <v/>
      </c>
      <c r="AA103" s="202" t="str">
        <f ca="1">IF(AND(ISNUMBER($V103),ISNUMBER(AA$5)),IF(AA$7=1,(AA47)/(SUM(AA$10:OFFSET(AA$10,$W$5-1,0,1,1))),(1/AA47)/SUM(1/AA$10:OFFSET(AA$10,$W$5-1,0,1,1))),"")</f>
        <v/>
      </c>
      <c r="AB103" s="202" t="str">
        <f ca="1">IF(AND(ISNUMBER($V103),ISNUMBER(AB$5)),IF(AB$7=1,(AB47)/(SUM(AB$10:OFFSET(AB$10,$W$5-1,0,1,1))),(1/AB47)/SUM(1/AB$10:OFFSET(AB$10,$W$5-1,0,1,1))),"")</f>
        <v/>
      </c>
      <c r="AC103" s="202" t="str">
        <f ca="1">IF(AND(ISNUMBER($V103),ISNUMBER(AC$5)),IF(AC$7=1,(AC47)/(SUM(AC$10:OFFSET(AC$10,$W$5-1,0,1,1))),(1/AC47)/SUM(1/AC$10:OFFSET(AC$10,$W$5-1,0,1,1))),"")</f>
        <v/>
      </c>
    </row>
    <row r="104" spans="1:29" ht="14.25" hidden="1" customHeight="1">
      <c r="A104" s="199"/>
      <c r="B104" s="197"/>
      <c r="C104" s="198"/>
      <c r="D104" s="202" t="str">
        <f ca="1">IF(AND(ISNUMBER($B104),ISNUMBER(D$5)),IF(D$7=1,(D48)/(SUM(D$10:OFFSET(D$10,$C$5-1,0,1,1))),(1/D48)/SUM(1/D$10:OFFSET(D$10,$C$5-1,0,1,1))),"")</f>
        <v/>
      </c>
      <c r="E104" s="202" t="str">
        <f ca="1">IF(AND(ISNUMBER($B104),ISNUMBER(E$5)),IF(E$7=1,(E48)/(SUM(E$10:OFFSET(E$10,$C$5-1,0,1,1))),(1/E48)/SUM(1/E$10:OFFSET(E$10,$C$5-1,0,1,1))),"")</f>
        <v/>
      </c>
      <c r="F104" s="202" t="str">
        <f ca="1">IF(AND(ISNUMBER($B104),ISNUMBER(F$5)),IF(F$7=1,(F48)/(SUM(F$10:OFFSET(F$10,$C$5-1,0,1,1))),(1/F48)/SUM(1/F$10:OFFSET(F$10,$C$5-1,0,1,1))),"")</f>
        <v/>
      </c>
      <c r="G104" s="202" t="str">
        <f ca="1">IF(AND(ISNUMBER($B104),ISNUMBER(G$5)),IF(G$7=1,(G48)/(SUM(G$10:OFFSET(G$10,$C$5-1,0,1,1))),(1/G48)/SUM(1/G$10:OFFSET(G$10,$C$5-1,0,1,1))),"")</f>
        <v/>
      </c>
      <c r="H104" s="202" t="str">
        <f ca="1">IF(AND(ISNUMBER($B104),ISNUMBER(H$5)),IF(H$7=1,(H48)/(SUM(H$10:OFFSET(H$10,$C$5-1,0,1,1))),(1/H48)/SUM(1/H$10:OFFSET(H$10,$C$5-1,0,1,1))),"")</f>
        <v/>
      </c>
      <c r="I104" s="202" t="str">
        <f ca="1">IF(AND(ISNUMBER($B104),ISNUMBER(I$5)),IF(I$7=1,(I48)/(SUM(I$10:OFFSET(I$10,$C$5-1,0,1,1))),(1/I48)/SUM(1/I$10:OFFSET(I$10,$C$5-1,0,1,1))),"")</f>
        <v/>
      </c>
      <c r="J104" s="187"/>
      <c r="K104" s="199"/>
      <c r="L104" s="197"/>
      <c r="M104" s="198"/>
      <c r="N104" s="202" t="str">
        <f ca="1">IF(AND(ISNUMBER($L104),ISNUMBER(N$5)),IF(N$7=1,(N48)/(SUM(N$10:OFFSET(N$10,$M$5-1,0,1,1))),(1/N48)/SUM(1/N$10:OFFSET(N$10,$M$5-1,0,1,1))),"")</f>
        <v/>
      </c>
      <c r="O104" s="202" t="str">
        <f ca="1">IF(AND(ISNUMBER($L104),ISNUMBER(O$5)),IF(O$7=1,(O48)/(SUM(O$10:OFFSET(O$10,$M$5-1,0,1,1))),(1/O48)/SUM(1/O$10:OFFSET(O$10,$M$5-1,0,1,1))),"")</f>
        <v/>
      </c>
      <c r="P104" s="202" t="str">
        <f ca="1">IF(AND(ISNUMBER($L104),ISNUMBER(P$5)),IF(P$7=1,(P48)/(SUM(P$10:OFFSET(P$10,$M$5-1,0,1,1))),(1/P48)/SUM(1/P$10:OFFSET(P$10,$M$5-1,0,1,1))),"")</f>
        <v/>
      </c>
      <c r="Q104" s="202" t="str">
        <f ca="1">IF(AND(ISNUMBER($L104),ISNUMBER(Q$5)),IF(Q$7=1,(Q48)/(SUM(Q$10:OFFSET(Q$10,$M$5-1,0,1,1))),(1/Q48)/SUM(1/Q$10:OFFSET(Q$10,$M$5-1,0,1,1))),"")</f>
        <v/>
      </c>
      <c r="R104" s="202" t="str">
        <f ca="1">IF(AND(ISNUMBER($L104),ISNUMBER(R$5)),IF(R$7=1,(R48)/(SUM(R$10:OFFSET(R$10,$M$5-1,0,1,1))),(1/R48)/SUM(1/R$10:OFFSET(R$10,$M$5-1,0,1,1))),"")</f>
        <v/>
      </c>
      <c r="S104" s="202" t="str">
        <f ca="1">IF(AND(ISNUMBER($L104),ISNUMBER(S$5)),IF(S$7=1,(S48)/(SUM(S$10:OFFSET(S$10,$M$5-1,0,1,1))),(1/S48)/SUM(1/S$10:OFFSET(S$10,$M$5-1,0,1,1))),"")</f>
        <v/>
      </c>
      <c r="T104" s="187"/>
      <c r="U104" s="199"/>
      <c r="V104" s="197"/>
      <c r="W104" s="198"/>
      <c r="X104" s="202" t="str">
        <f ca="1">IF(AND(ISNUMBER($V104),ISNUMBER(X$5)),IF(X$7=1,(X48)/(SUM(X$10:OFFSET(X$10,$W$5-1,0,1,1))),(1/X48)/SUM(1/X$10:OFFSET(X$10,$W$5-1,0,1,1))),"")</f>
        <v/>
      </c>
      <c r="Y104" s="202" t="str">
        <f ca="1">IF(AND(ISNUMBER($V104),ISNUMBER(Y$5)),IF(Y$7=1,(Y48)/(SUM(Y$10:OFFSET(Y$10,$W$5-1,0,1,1))),(1/Y48)/SUM(1/Y$10:OFFSET(Y$10,$W$5-1,0,1,1))),"")</f>
        <v/>
      </c>
      <c r="Z104" s="202" t="str">
        <f ca="1">IF(AND(ISNUMBER($V104),ISNUMBER(Z$5)),IF(Z$7=1,(Z48)/(SUM(Z$10:OFFSET(Z$10,$W$5-1,0,1,1))),(1/Z48)/SUM(1/Z$10:OFFSET(Z$10,$W$5-1,0,1,1))),"")</f>
        <v/>
      </c>
      <c r="AA104" s="202" t="str">
        <f ca="1">IF(AND(ISNUMBER($V104),ISNUMBER(AA$5)),IF(AA$7=1,(AA48)/(SUM(AA$10:OFFSET(AA$10,$W$5-1,0,1,1))),(1/AA48)/SUM(1/AA$10:OFFSET(AA$10,$W$5-1,0,1,1))),"")</f>
        <v/>
      </c>
      <c r="AB104" s="202" t="str">
        <f ca="1">IF(AND(ISNUMBER($V104),ISNUMBER(AB$5)),IF(AB$7=1,(AB48)/(SUM(AB$10:OFFSET(AB$10,$W$5-1,0,1,1))),(1/AB48)/SUM(1/AB$10:OFFSET(AB$10,$W$5-1,0,1,1))),"")</f>
        <v/>
      </c>
      <c r="AC104" s="202" t="str">
        <f ca="1">IF(AND(ISNUMBER($V104),ISNUMBER(AC$5)),IF(AC$7=1,(AC48)/(SUM(AC$10:OFFSET(AC$10,$W$5-1,0,1,1))),(1/AC48)/SUM(1/AC$10:OFFSET(AC$10,$W$5-1,0,1,1))),"")</f>
        <v/>
      </c>
    </row>
    <row r="105" spans="1:29" ht="14.25" hidden="1" customHeight="1">
      <c r="A105" s="199"/>
      <c r="B105" s="197"/>
      <c r="C105" s="198"/>
      <c r="D105" s="202" t="str">
        <f ca="1">IF(AND(ISNUMBER($B105),ISNUMBER(D$5)),IF(D$7=1,(D49)/(SUM(D$10:OFFSET(D$10,$C$5-1,0,1,1))),(1/D49)/SUM(1/D$10:OFFSET(D$10,$C$5-1,0,1,1))),"")</f>
        <v/>
      </c>
      <c r="E105" s="202" t="str">
        <f ca="1">IF(AND(ISNUMBER($B105),ISNUMBER(E$5)),IF(E$7=1,(E49)/(SUM(E$10:OFFSET(E$10,$C$5-1,0,1,1))),(1/E49)/SUM(1/E$10:OFFSET(E$10,$C$5-1,0,1,1))),"")</f>
        <v/>
      </c>
      <c r="F105" s="202" t="str">
        <f ca="1">IF(AND(ISNUMBER($B105),ISNUMBER(F$5)),IF(F$7=1,(F49)/(SUM(F$10:OFFSET(F$10,$C$5-1,0,1,1))),(1/F49)/SUM(1/F$10:OFFSET(F$10,$C$5-1,0,1,1))),"")</f>
        <v/>
      </c>
      <c r="G105" s="202" t="str">
        <f ca="1">IF(AND(ISNUMBER($B105),ISNUMBER(G$5)),IF(G$7=1,(G49)/(SUM(G$10:OFFSET(G$10,$C$5-1,0,1,1))),(1/G49)/SUM(1/G$10:OFFSET(G$10,$C$5-1,0,1,1))),"")</f>
        <v/>
      </c>
      <c r="H105" s="202" t="str">
        <f ca="1">IF(AND(ISNUMBER($B105),ISNUMBER(H$5)),IF(H$7=1,(H49)/(SUM(H$10:OFFSET(H$10,$C$5-1,0,1,1))),(1/H49)/SUM(1/H$10:OFFSET(H$10,$C$5-1,0,1,1))),"")</f>
        <v/>
      </c>
      <c r="I105" s="202" t="str">
        <f ca="1">IF(AND(ISNUMBER($B105),ISNUMBER(I$5)),IF(I$7=1,(I49)/(SUM(I$10:OFFSET(I$10,$C$5-1,0,1,1))),(1/I49)/SUM(1/I$10:OFFSET(I$10,$C$5-1,0,1,1))),"")</f>
        <v/>
      </c>
      <c r="J105" s="187"/>
      <c r="K105" s="199"/>
      <c r="L105" s="197"/>
      <c r="M105" s="198"/>
      <c r="N105" s="202" t="str">
        <f ca="1">IF(AND(ISNUMBER($L105),ISNUMBER(N$5)),IF(N$7=1,(N49)/(SUM(N$10:OFFSET(N$10,$M$5-1,0,1,1))),(1/N49)/SUM(1/N$10:OFFSET(N$10,$M$5-1,0,1,1))),"")</f>
        <v/>
      </c>
      <c r="O105" s="202" t="str">
        <f ca="1">IF(AND(ISNUMBER($L105),ISNUMBER(O$5)),IF(O$7=1,(O49)/(SUM(O$10:OFFSET(O$10,$M$5-1,0,1,1))),(1/O49)/SUM(1/O$10:OFFSET(O$10,$M$5-1,0,1,1))),"")</f>
        <v/>
      </c>
      <c r="P105" s="202" t="str">
        <f ca="1">IF(AND(ISNUMBER($L105),ISNUMBER(P$5)),IF(P$7=1,(P49)/(SUM(P$10:OFFSET(P$10,$M$5-1,0,1,1))),(1/P49)/SUM(1/P$10:OFFSET(P$10,$M$5-1,0,1,1))),"")</f>
        <v/>
      </c>
      <c r="Q105" s="202" t="str">
        <f ca="1">IF(AND(ISNUMBER($L105),ISNUMBER(Q$5)),IF(Q$7=1,(Q49)/(SUM(Q$10:OFFSET(Q$10,$M$5-1,0,1,1))),(1/Q49)/SUM(1/Q$10:OFFSET(Q$10,$M$5-1,0,1,1))),"")</f>
        <v/>
      </c>
      <c r="R105" s="202" t="str">
        <f ca="1">IF(AND(ISNUMBER($L105),ISNUMBER(R$5)),IF(R$7=1,(R49)/(SUM(R$10:OFFSET(R$10,$M$5-1,0,1,1))),(1/R49)/SUM(1/R$10:OFFSET(R$10,$M$5-1,0,1,1))),"")</f>
        <v/>
      </c>
      <c r="S105" s="202" t="str">
        <f ca="1">IF(AND(ISNUMBER($L105),ISNUMBER(S$5)),IF(S$7=1,(S49)/(SUM(S$10:OFFSET(S$10,$M$5-1,0,1,1))),(1/S49)/SUM(1/S$10:OFFSET(S$10,$M$5-1,0,1,1))),"")</f>
        <v/>
      </c>
      <c r="T105" s="187"/>
      <c r="U105" s="199"/>
      <c r="V105" s="197"/>
      <c r="W105" s="198"/>
      <c r="X105" s="202" t="str">
        <f ca="1">IF(AND(ISNUMBER($V105),ISNUMBER(X$5)),IF(X$7=1,(X49)/(SUM(X$10:OFFSET(X$10,$W$5-1,0,1,1))),(1/X49)/SUM(1/X$10:OFFSET(X$10,$W$5-1,0,1,1))),"")</f>
        <v/>
      </c>
      <c r="Y105" s="202" t="str">
        <f ca="1">IF(AND(ISNUMBER($V105),ISNUMBER(Y$5)),IF(Y$7=1,(Y49)/(SUM(Y$10:OFFSET(Y$10,$W$5-1,0,1,1))),(1/Y49)/SUM(1/Y$10:OFFSET(Y$10,$W$5-1,0,1,1))),"")</f>
        <v/>
      </c>
      <c r="Z105" s="202" t="str">
        <f ca="1">IF(AND(ISNUMBER($V105),ISNUMBER(Z$5)),IF(Z$7=1,(Z49)/(SUM(Z$10:OFFSET(Z$10,$W$5-1,0,1,1))),(1/Z49)/SUM(1/Z$10:OFFSET(Z$10,$W$5-1,0,1,1))),"")</f>
        <v/>
      </c>
      <c r="AA105" s="202" t="str">
        <f ca="1">IF(AND(ISNUMBER($V105),ISNUMBER(AA$5)),IF(AA$7=1,(AA49)/(SUM(AA$10:OFFSET(AA$10,$W$5-1,0,1,1))),(1/AA49)/SUM(1/AA$10:OFFSET(AA$10,$W$5-1,0,1,1))),"")</f>
        <v/>
      </c>
      <c r="AB105" s="202" t="str">
        <f ca="1">IF(AND(ISNUMBER($V105),ISNUMBER(AB$5)),IF(AB$7=1,(AB49)/(SUM(AB$10:OFFSET(AB$10,$W$5-1,0,1,1))),(1/AB49)/SUM(1/AB$10:OFFSET(AB$10,$W$5-1,0,1,1))),"")</f>
        <v/>
      </c>
      <c r="AC105" s="202" t="str">
        <f ca="1">IF(AND(ISNUMBER($V105),ISNUMBER(AC$5)),IF(AC$7=1,(AC49)/(SUM(AC$10:OFFSET(AC$10,$W$5-1,0,1,1))),(1/AC49)/SUM(1/AC$10:OFFSET(AC$10,$W$5-1,0,1,1))),"")</f>
        <v/>
      </c>
    </row>
    <row r="106" spans="1:29" ht="14.25" hidden="1" customHeight="1">
      <c r="A106" s="199"/>
      <c r="B106" s="197"/>
      <c r="C106" s="198"/>
      <c r="D106" s="202" t="str">
        <f ca="1">IF(AND(ISNUMBER($B106),ISNUMBER(D$5)),IF(D$7=1,(D50)/(SUM(D$10:OFFSET(D$10,$C$5-1,0,1,1))),(1/D50)/SUM(1/D$10:OFFSET(D$10,$C$5-1,0,1,1))),"")</f>
        <v/>
      </c>
      <c r="E106" s="202" t="str">
        <f ca="1">IF(AND(ISNUMBER($B106),ISNUMBER(E$5)),IF(E$7=1,(E50)/(SUM(E$10:OFFSET(E$10,$C$5-1,0,1,1))),(1/E50)/SUM(1/E$10:OFFSET(E$10,$C$5-1,0,1,1))),"")</f>
        <v/>
      </c>
      <c r="F106" s="202" t="str">
        <f ca="1">IF(AND(ISNUMBER($B106),ISNUMBER(F$5)),IF(F$7=1,(F50)/(SUM(F$10:OFFSET(F$10,$C$5-1,0,1,1))),(1/F50)/SUM(1/F$10:OFFSET(F$10,$C$5-1,0,1,1))),"")</f>
        <v/>
      </c>
      <c r="G106" s="202" t="str">
        <f ca="1">IF(AND(ISNUMBER($B106),ISNUMBER(G$5)),IF(G$7=1,(G50)/(SUM(G$10:OFFSET(G$10,$C$5-1,0,1,1))),(1/G50)/SUM(1/G$10:OFFSET(G$10,$C$5-1,0,1,1))),"")</f>
        <v/>
      </c>
      <c r="H106" s="202" t="str">
        <f ca="1">IF(AND(ISNUMBER($B106),ISNUMBER(H$5)),IF(H$7=1,(H50)/(SUM(H$10:OFFSET(H$10,$C$5-1,0,1,1))),(1/H50)/SUM(1/H$10:OFFSET(H$10,$C$5-1,0,1,1))),"")</f>
        <v/>
      </c>
      <c r="I106" s="202" t="str">
        <f ca="1">IF(AND(ISNUMBER($B106),ISNUMBER(I$5)),IF(I$7=1,(I50)/(SUM(I$10:OFFSET(I$10,$C$5-1,0,1,1))),(1/I50)/SUM(1/I$10:OFFSET(I$10,$C$5-1,0,1,1))),"")</f>
        <v/>
      </c>
      <c r="J106" s="187"/>
      <c r="K106" s="199"/>
      <c r="L106" s="197"/>
      <c r="M106" s="198"/>
      <c r="N106" s="202" t="str">
        <f ca="1">IF(AND(ISNUMBER($L106),ISNUMBER(N$5)),IF(N$7=1,(N50)/(SUM(N$10:OFFSET(N$10,$M$5-1,0,1,1))),(1/N50)/SUM(1/N$10:OFFSET(N$10,$M$5-1,0,1,1))),"")</f>
        <v/>
      </c>
      <c r="O106" s="202" t="str">
        <f ca="1">IF(AND(ISNUMBER($L106),ISNUMBER(O$5)),IF(O$7=1,(O50)/(SUM(O$10:OFFSET(O$10,$M$5-1,0,1,1))),(1/O50)/SUM(1/O$10:OFFSET(O$10,$M$5-1,0,1,1))),"")</f>
        <v/>
      </c>
      <c r="P106" s="202" t="str">
        <f ca="1">IF(AND(ISNUMBER($L106),ISNUMBER(P$5)),IF(P$7=1,(P50)/(SUM(P$10:OFFSET(P$10,$M$5-1,0,1,1))),(1/P50)/SUM(1/P$10:OFFSET(P$10,$M$5-1,0,1,1))),"")</f>
        <v/>
      </c>
      <c r="Q106" s="202" t="str">
        <f ca="1">IF(AND(ISNUMBER($L106),ISNUMBER(Q$5)),IF(Q$7=1,(Q50)/(SUM(Q$10:OFFSET(Q$10,$M$5-1,0,1,1))),(1/Q50)/SUM(1/Q$10:OFFSET(Q$10,$M$5-1,0,1,1))),"")</f>
        <v/>
      </c>
      <c r="R106" s="202" t="str">
        <f ca="1">IF(AND(ISNUMBER($L106),ISNUMBER(R$5)),IF(R$7=1,(R50)/(SUM(R$10:OFFSET(R$10,$M$5-1,0,1,1))),(1/R50)/SUM(1/R$10:OFFSET(R$10,$M$5-1,0,1,1))),"")</f>
        <v/>
      </c>
      <c r="S106" s="202" t="str">
        <f ca="1">IF(AND(ISNUMBER($L106),ISNUMBER(S$5)),IF(S$7=1,(S50)/(SUM(S$10:OFFSET(S$10,$M$5-1,0,1,1))),(1/S50)/SUM(1/S$10:OFFSET(S$10,$M$5-1,0,1,1))),"")</f>
        <v/>
      </c>
      <c r="T106" s="187"/>
      <c r="U106" s="199"/>
      <c r="V106" s="197"/>
      <c r="W106" s="198"/>
      <c r="X106" s="202" t="str">
        <f ca="1">IF(AND(ISNUMBER($V106),ISNUMBER(X$5)),IF(X$7=1,(X50)/(SUM(X$10:OFFSET(X$10,$W$5-1,0,1,1))),(1/X50)/SUM(1/X$10:OFFSET(X$10,$W$5-1,0,1,1))),"")</f>
        <v/>
      </c>
      <c r="Y106" s="202" t="str">
        <f ca="1">IF(AND(ISNUMBER($V106),ISNUMBER(Y$5)),IF(Y$7=1,(Y50)/(SUM(Y$10:OFFSET(Y$10,$W$5-1,0,1,1))),(1/Y50)/SUM(1/Y$10:OFFSET(Y$10,$W$5-1,0,1,1))),"")</f>
        <v/>
      </c>
      <c r="Z106" s="202" t="str">
        <f ca="1">IF(AND(ISNUMBER($V106),ISNUMBER(Z$5)),IF(Z$7=1,(Z50)/(SUM(Z$10:OFFSET(Z$10,$W$5-1,0,1,1))),(1/Z50)/SUM(1/Z$10:OFFSET(Z$10,$W$5-1,0,1,1))),"")</f>
        <v/>
      </c>
      <c r="AA106" s="202" t="str">
        <f ca="1">IF(AND(ISNUMBER($V106),ISNUMBER(AA$5)),IF(AA$7=1,(AA50)/(SUM(AA$10:OFFSET(AA$10,$W$5-1,0,1,1))),(1/AA50)/SUM(1/AA$10:OFFSET(AA$10,$W$5-1,0,1,1))),"")</f>
        <v/>
      </c>
      <c r="AB106" s="202" t="str">
        <f ca="1">IF(AND(ISNUMBER($V106),ISNUMBER(AB$5)),IF(AB$7=1,(AB50)/(SUM(AB$10:OFFSET(AB$10,$W$5-1,0,1,1))),(1/AB50)/SUM(1/AB$10:OFFSET(AB$10,$W$5-1,0,1,1))),"")</f>
        <v/>
      </c>
      <c r="AC106" s="202" t="str">
        <f ca="1">IF(AND(ISNUMBER($V106),ISNUMBER(AC$5)),IF(AC$7=1,(AC50)/(SUM(AC$10:OFFSET(AC$10,$W$5-1,0,1,1))),(1/AC50)/SUM(1/AC$10:OFFSET(AC$10,$W$5-1,0,1,1))),"")</f>
        <v/>
      </c>
    </row>
    <row r="107" spans="1:29" ht="14.25" hidden="1" customHeight="1">
      <c r="A107" s="199"/>
      <c r="B107" s="197"/>
      <c r="C107" s="198"/>
      <c r="D107" s="202" t="str">
        <f ca="1">IF(AND(ISNUMBER($B107),ISNUMBER(D$5)),IF(D$7=1,(D51)/(SUM(D$10:OFFSET(D$10,$C$5-1,0,1,1))),(1/D51)/SUM(1/D$10:OFFSET(D$10,$C$5-1,0,1,1))),"")</f>
        <v/>
      </c>
      <c r="E107" s="202" t="str">
        <f ca="1">IF(AND(ISNUMBER($B107),ISNUMBER(E$5)),IF(E$7=1,(E51)/(SUM(E$10:OFFSET(E$10,$C$5-1,0,1,1))),(1/E51)/SUM(1/E$10:OFFSET(E$10,$C$5-1,0,1,1))),"")</f>
        <v/>
      </c>
      <c r="F107" s="202" t="str">
        <f ca="1">IF(AND(ISNUMBER($B107),ISNUMBER(F$5)),IF(F$7=1,(F51)/(SUM(F$10:OFFSET(F$10,$C$5-1,0,1,1))),(1/F51)/SUM(1/F$10:OFFSET(F$10,$C$5-1,0,1,1))),"")</f>
        <v/>
      </c>
      <c r="G107" s="202" t="str">
        <f ca="1">IF(AND(ISNUMBER($B107),ISNUMBER(G$5)),IF(G$7=1,(G51)/(SUM(G$10:OFFSET(G$10,$C$5-1,0,1,1))),(1/G51)/SUM(1/G$10:OFFSET(G$10,$C$5-1,0,1,1))),"")</f>
        <v/>
      </c>
      <c r="H107" s="202" t="str">
        <f ca="1">IF(AND(ISNUMBER($B107),ISNUMBER(H$5)),IF(H$7=1,(H51)/(SUM(H$10:OFFSET(H$10,$C$5-1,0,1,1))),(1/H51)/SUM(1/H$10:OFFSET(H$10,$C$5-1,0,1,1))),"")</f>
        <v/>
      </c>
      <c r="I107" s="202" t="str">
        <f ca="1">IF(AND(ISNUMBER($B107),ISNUMBER(I$5)),IF(I$7=1,(I51)/(SUM(I$10:OFFSET(I$10,$C$5-1,0,1,1))),(1/I51)/SUM(1/I$10:OFFSET(I$10,$C$5-1,0,1,1))),"")</f>
        <v/>
      </c>
      <c r="J107" s="187"/>
      <c r="K107" s="199"/>
      <c r="L107" s="197"/>
      <c r="M107" s="198"/>
      <c r="N107" s="202" t="str">
        <f ca="1">IF(AND(ISNUMBER($L107),ISNUMBER(N$5)),IF(N$7=1,(N51)/(SUM(N$10:OFFSET(N$10,$M$5-1,0,1,1))),(1/N51)/SUM(1/N$10:OFFSET(N$10,$M$5-1,0,1,1))),"")</f>
        <v/>
      </c>
      <c r="O107" s="202" t="str">
        <f ca="1">IF(AND(ISNUMBER($L107),ISNUMBER(O$5)),IF(O$7=1,(O51)/(SUM(O$10:OFFSET(O$10,$M$5-1,0,1,1))),(1/O51)/SUM(1/O$10:OFFSET(O$10,$M$5-1,0,1,1))),"")</f>
        <v/>
      </c>
      <c r="P107" s="202" t="str">
        <f ca="1">IF(AND(ISNUMBER($L107),ISNUMBER(P$5)),IF(P$7=1,(P51)/(SUM(P$10:OFFSET(P$10,$M$5-1,0,1,1))),(1/P51)/SUM(1/P$10:OFFSET(P$10,$M$5-1,0,1,1))),"")</f>
        <v/>
      </c>
      <c r="Q107" s="202" t="str">
        <f ca="1">IF(AND(ISNUMBER($L107),ISNUMBER(Q$5)),IF(Q$7=1,(Q51)/(SUM(Q$10:OFFSET(Q$10,$M$5-1,0,1,1))),(1/Q51)/SUM(1/Q$10:OFFSET(Q$10,$M$5-1,0,1,1))),"")</f>
        <v/>
      </c>
      <c r="R107" s="202" t="str">
        <f ca="1">IF(AND(ISNUMBER($L107),ISNUMBER(R$5)),IF(R$7=1,(R51)/(SUM(R$10:OFFSET(R$10,$M$5-1,0,1,1))),(1/R51)/SUM(1/R$10:OFFSET(R$10,$M$5-1,0,1,1))),"")</f>
        <v/>
      </c>
      <c r="S107" s="202" t="str">
        <f ca="1">IF(AND(ISNUMBER($L107),ISNUMBER(S$5)),IF(S$7=1,(S51)/(SUM(S$10:OFFSET(S$10,$M$5-1,0,1,1))),(1/S51)/SUM(1/S$10:OFFSET(S$10,$M$5-1,0,1,1))),"")</f>
        <v/>
      </c>
      <c r="T107" s="187"/>
      <c r="U107" s="199"/>
      <c r="V107" s="197"/>
      <c r="W107" s="198"/>
      <c r="X107" s="202" t="str">
        <f ca="1">IF(AND(ISNUMBER($V107),ISNUMBER(X$5)),IF(X$7=1,(X51)/(SUM(X$10:OFFSET(X$10,$W$5-1,0,1,1))),(1/X51)/SUM(1/X$10:OFFSET(X$10,$W$5-1,0,1,1))),"")</f>
        <v/>
      </c>
      <c r="Y107" s="202" t="str">
        <f ca="1">IF(AND(ISNUMBER($V107),ISNUMBER(Y$5)),IF(Y$7=1,(Y51)/(SUM(Y$10:OFFSET(Y$10,$W$5-1,0,1,1))),(1/Y51)/SUM(1/Y$10:OFFSET(Y$10,$W$5-1,0,1,1))),"")</f>
        <v/>
      </c>
      <c r="Z107" s="202" t="str">
        <f ca="1">IF(AND(ISNUMBER($V107),ISNUMBER(Z$5)),IF(Z$7=1,(Z51)/(SUM(Z$10:OFFSET(Z$10,$W$5-1,0,1,1))),(1/Z51)/SUM(1/Z$10:OFFSET(Z$10,$W$5-1,0,1,1))),"")</f>
        <v/>
      </c>
      <c r="AA107" s="202" t="str">
        <f ca="1">IF(AND(ISNUMBER($V107),ISNUMBER(AA$5)),IF(AA$7=1,(AA51)/(SUM(AA$10:OFFSET(AA$10,$W$5-1,0,1,1))),(1/AA51)/SUM(1/AA$10:OFFSET(AA$10,$W$5-1,0,1,1))),"")</f>
        <v/>
      </c>
      <c r="AB107" s="202" t="str">
        <f ca="1">IF(AND(ISNUMBER($V107),ISNUMBER(AB$5)),IF(AB$7=1,(AB51)/(SUM(AB$10:OFFSET(AB$10,$W$5-1,0,1,1))),(1/AB51)/SUM(1/AB$10:OFFSET(AB$10,$W$5-1,0,1,1))),"")</f>
        <v/>
      </c>
      <c r="AC107" s="202" t="str">
        <f ca="1">IF(AND(ISNUMBER($V107),ISNUMBER(AC$5)),IF(AC$7=1,(AC51)/(SUM(AC$10:OFFSET(AC$10,$W$5-1,0,1,1))),(1/AC51)/SUM(1/AC$10:OFFSET(AC$10,$W$5-1,0,1,1))),"")</f>
        <v/>
      </c>
    </row>
    <row r="108" spans="1:29" ht="14.25" hidden="1" customHeight="1">
      <c r="A108" s="199"/>
      <c r="B108" s="197"/>
      <c r="C108" s="198"/>
      <c r="D108" s="202" t="str">
        <f ca="1">IF(AND(ISNUMBER($B108),ISNUMBER(D$5)),IF(D$7=1,(D52)/(SUM(D$10:OFFSET(D$10,$C$5-1,0,1,1))),(1/D52)/SUM(1/D$10:OFFSET(D$10,$C$5-1,0,1,1))),"")</f>
        <v/>
      </c>
      <c r="E108" s="202" t="str">
        <f ca="1">IF(AND(ISNUMBER($B108),ISNUMBER(E$5)),IF(E$7=1,(E52)/(SUM(E$10:OFFSET(E$10,$C$5-1,0,1,1))),(1/E52)/SUM(1/E$10:OFFSET(E$10,$C$5-1,0,1,1))),"")</f>
        <v/>
      </c>
      <c r="F108" s="202" t="str">
        <f ca="1">IF(AND(ISNUMBER($B108),ISNUMBER(F$5)),IF(F$7=1,(F52)/(SUM(F$10:OFFSET(F$10,$C$5-1,0,1,1))),(1/F52)/SUM(1/F$10:OFFSET(F$10,$C$5-1,0,1,1))),"")</f>
        <v/>
      </c>
      <c r="G108" s="202" t="str">
        <f ca="1">IF(AND(ISNUMBER($B108),ISNUMBER(G$5)),IF(G$7=1,(G52)/(SUM(G$10:OFFSET(G$10,$C$5-1,0,1,1))),(1/G52)/SUM(1/G$10:OFFSET(G$10,$C$5-1,0,1,1))),"")</f>
        <v/>
      </c>
      <c r="H108" s="202" t="str">
        <f ca="1">IF(AND(ISNUMBER($B108),ISNUMBER(H$5)),IF(H$7=1,(H52)/(SUM(H$10:OFFSET(H$10,$C$5-1,0,1,1))),(1/H52)/SUM(1/H$10:OFFSET(H$10,$C$5-1,0,1,1))),"")</f>
        <v/>
      </c>
      <c r="I108" s="202" t="str">
        <f ca="1">IF(AND(ISNUMBER($B108),ISNUMBER(I$5)),IF(I$7=1,(I52)/(SUM(I$10:OFFSET(I$10,$C$5-1,0,1,1))),(1/I52)/SUM(1/I$10:OFFSET(I$10,$C$5-1,0,1,1))),"")</f>
        <v/>
      </c>
      <c r="J108" s="187"/>
      <c r="K108" s="199"/>
      <c r="L108" s="197"/>
      <c r="M108" s="198"/>
      <c r="N108" s="202" t="str">
        <f ca="1">IF(AND(ISNUMBER($L108),ISNUMBER(N$5)),IF(N$7=1,(N52)/(SUM(N$10:OFFSET(N$10,$M$5-1,0,1,1))),(1/N52)/SUM(1/N$10:OFFSET(N$10,$M$5-1,0,1,1))),"")</f>
        <v/>
      </c>
      <c r="O108" s="202" t="str">
        <f ca="1">IF(AND(ISNUMBER($L108),ISNUMBER(O$5)),IF(O$7=1,(O52)/(SUM(O$10:OFFSET(O$10,$M$5-1,0,1,1))),(1/O52)/SUM(1/O$10:OFFSET(O$10,$M$5-1,0,1,1))),"")</f>
        <v/>
      </c>
      <c r="P108" s="202" t="str">
        <f ca="1">IF(AND(ISNUMBER($L108),ISNUMBER(P$5)),IF(P$7=1,(P52)/(SUM(P$10:OFFSET(P$10,$M$5-1,0,1,1))),(1/P52)/SUM(1/P$10:OFFSET(P$10,$M$5-1,0,1,1))),"")</f>
        <v/>
      </c>
      <c r="Q108" s="202" t="str">
        <f ca="1">IF(AND(ISNUMBER($L108),ISNUMBER(Q$5)),IF(Q$7=1,(Q52)/(SUM(Q$10:OFFSET(Q$10,$M$5-1,0,1,1))),(1/Q52)/SUM(1/Q$10:OFFSET(Q$10,$M$5-1,0,1,1))),"")</f>
        <v/>
      </c>
      <c r="R108" s="202" t="str">
        <f ca="1">IF(AND(ISNUMBER($L108),ISNUMBER(R$5)),IF(R$7=1,(R52)/(SUM(R$10:OFFSET(R$10,$M$5-1,0,1,1))),(1/R52)/SUM(1/R$10:OFFSET(R$10,$M$5-1,0,1,1))),"")</f>
        <v/>
      </c>
      <c r="S108" s="202" t="str">
        <f ca="1">IF(AND(ISNUMBER($L108),ISNUMBER(S$5)),IF(S$7=1,(S52)/(SUM(S$10:OFFSET(S$10,$M$5-1,0,1,1))),(1/S52)/SUM(1/S$10:OFFSET(S$10,$M$5-1,0,1,1))),"")</f>
        <v/>
      </c>
      <c r="T108" s="187"/>
      <c r="U108" s="199"/>
      <c r="V108" s="197"/>
      <c r="W108" s="198"/>
      <c r="X108" s="202" t="str">
        <f ca="1">IF(AND(ISNUMBER($V108),ISNUMBER(X$5)),IF(X$7=1,(X52)/(SUM(X$10:OFFSET(X$10,$W$5-1,0,1,1))),(1/X52)/SUM(1/X$10:OFFSET(X$10,$W$5-1,0,1,1))),"")</f>
        <v/>
      </c>
      <c r="Y108" s="202" t="str">
        <f ca="1">IF(AND(ISNUMBER($V108),ISNUMBER(Y$5)),IF(Y$7=1,(Y52)/(SUM(Y$10:OFFSET(Y$10,$W$5-1,0,1,1))),(1/Y52)/SUM(1/Y$10:OFFSET(Y$10,$W$5-1,0,1,1))),"")</f>
        <v/>
      </c>
      <c r="Z108" s="202" t="str">
        <f ca="1">IF(AND(ISNUMBER($V108),ISNUMBER(Z$5)),IF(Z$7=1,(Z52)/(SUM(Z$10:OFFSET(Z$10,$W$5-1,0,1,1))),(1/Z52)/SUM(1/Z$10:OFFSET(Z$10,$W$5-1,0,1,1))),"")</f>
        <v/>
      </c>
      <c r="AA108" s="202" t="str">
        <f ca="1">IF(AND(ISNUMBER($V108),ISNUMBER(AA$5)),IF(AA$7=1,(AA52)/(SUM(AA$10:OFFSET(AA$10,$W$5-1,0,1,1))),(1/AA52)/SUM(1/AA$10:OFFSET(AA$10,$W$5-1,0,1,1))),"")</f>
        <v/>
      </c>
      <c r="AB108" s="202" t="str">
        <f ca="1">IF(AND(ISNUMBER($V108),ISNUMBER(AB$5)),IF(AB$7=1,(AB52)/(SUM(AB$10:OFFSET(AB$10,$W$5-1,0,1,1))),(1/AB52)/SUM(1/AB$10:OFFSET(AB$10,$W$5-1,0,1,1))),"")</f>
        <v/>
      </c>
      <c r="AC108" s="202" t="str">
        <f ca="1">IF(AND(ISNUMBER($V108),ISNUMBER(AC$5)),IF(AC$7=1,(AC52)/(SUM(AC$10:OFFSET(AC$10,$W$5-1,0,1,1))),(1/AC52)/SUM(1/AC$10:OFFSET(AC$10,$W$5-1,0,1,1))),"")</f>
        <v/>
      </c>
    </row>
    <row r="109" spans="1:29" ht="14.25" hidden="1" customHeight="1">
      <c r="A109" s="199"/>
      <c r="B109" s="197"/>
      <c r="C109" s="198"/>
      <c r="D109" s="202" t="str">
        <f ca="1">IF(AND(ISNUMBER($B109),ISNUMBER(D$5)),IF(D$7=1,(D53)/(SUM(D$10:OFFSET(D$10,$C$5-1,0,1,1))),(1/D53)/SUM(1/D$10:OFFSET(D$10,$C$5-1,0,1,1))),"")</f>
        <v/>
      </c>
      <c r="E109" s="202" t="str">
        <f ca="1">IF(AND(ISNUMBER($B109),ISNUMBER(E$5)),IF(E$7=1,(E53)/(SUM(E$10:OFFSET(E$10,$C$5-1,0,1,1))),(1/E53)/SUM(1/E$10:OFFSET(E$10,$C$5-1,0,1,1))),"")</f>
        <v/>
      </c>
      <c r="F109" s="202" t="str">
        <f ca="1">IF(AND(ISNUMBER($B109),ISNUMBER(F$5)),IF(F$7=1,(F53)/(SUM(F$10:OFFSET(F$10,$C$5-1,0,1,1))),(1/F53)/SUM(1/F$10:OFFSET(F$10,$C$5-1,0,1,1))),"")</f>
        <v/>
      </c>
      <c r="G109" s="202" t="str">
        <f ca="1">IF(AND(ISNUMBER($B109),ISNUMBER(G$5)),IF(G$7=1,(G53)/(SUM(G$10:OFFSET(G$10,$C$5-1,0,1,1))),(1/G53)/SUM(1/G$10:OFFSET(G$10,$C$5-1,0,1,1))),"")</f>
        <v/>
      </c>
      <c r="H109" s="202" t="str">
        <f ca="1">IF(AND(ISNUMBER($B109),ISNUMBER(H$5)),IF(H$7=1,(H53)/(SUM(H$10:OFFSET(H$10,$C$5-1,0,1,1))),(1/H53)/SUM(1/H$10:OFFSET(H$10,$C$5-1,0,1,1))),"")</f>
        <v/>
      </c>
      <c r="I109" s="202" t="str">
        <f ca="1">IF(AND(ISNUMBER($B109),ISNUMBER(I$5)),IF(I$7=1,(I53)/(SUM(I$10:OFFSET(I$10,$C$5-1,0,1,1))),(1/I53)/SUM(1/I$10:OFFSET(I$10,$C$5-1,0,1,1))),"")</f>
        <v/>
      </c>
      <c r="J109" s="187"/>
      <c r="K109" s="199"/>
      <c r="L109" s="197"/>
      <c r="M109" s="198"/>
      <c r="N109" s="202" t="str">
        <f ca="1">IF(AND(ISNUMBER($L109),ISNUMBER(N$5)),IF(N$7=1,(N53)/(SUM(N$10:OFFSET(N$10,$M$5-1,0,1,1))),(1/N53)/SUM(1/N$10:OFFSET(N$10,$M$5-1,0,1,1))),"")</f>
        <v/>
      </c>
      <c r="O109" s="202" t="str">
        <f ca="1">IF(AND(ISNUMBER($L109),ISNUMBER(O$5)),IF(O$7=1,(O53)/(SUM(O$10:OFFSET(O$10,$M$5-1,0,1,1))),(1/O53)/SUM(1/O$10:OFFSET(O$10,$M$5-1,0,1,1))),"")</f>
        <v/>
      </c>
      <c r="P109" s="202" t="str">
        <f ca="1">IF(AND(ISNUMBER($L109),ISNUMBER(P$5)),IF(P$7=1,(P53)/(SUM(P$10:OFFSET(P$10,$M$5-1,0,1,1))),(1/P53)/SUM(1/P$10:OFFSET(P$10,$M$5-1,0,1,1))),"")</f>
        <v/>
      </c>
      <c r="Q109" s="202" t="str">
        <f ca="1">IF(AND(ISNUMBER($L109),ISNUMBER(Q$5)),IF(Q$7=1,(Q53)/(SUM(Q$10:OFFSET(Q$10,$M$5-1,0,1,1))),(1/Q53)/SUM(1/Q$10:OFFSET(Q$10,$M$5-1,0,1,1))),"")</f>
        <v/>
      </c>
      <c r="R109" s="202" t="str">
        <f ca="1">IF(AND(ISNUMBER($L109),ISNUMBER(R$5)),IF(R$7=1,(R53)/(SUM(R$10:OFFSET(R$10,$M$5-1,0,1,1))),(1/R53)/SUM(1/R$10:OFFSET(R$10,$M$5-1,0,1,1))),"")</f>
        <v/>
      </c>
      <c r="S109" s="202" t="str">
        <f ca="1">IF(AND(ISNUMBER($L109),ISNUMBER(S$5)),IF(S$7=1,(S53)/(SUM(S$10:OFFSET(S$10,$M$5-1,0,1,1))),(1/S53)/SUM(1/S$10:OFFSET(S$10,$M$5-1,0,1,1))),"")</f>
        <v/>
      </c>
      <c r="T109" s="187"/>
      <c r="U109" s="199"/>
      <c r="V109" s="197"/>
      <c r="W109" s="198"/>
      <c r="X109" s="202" t="str">
        <f ca="1">IF(AND(ISNUMBER($V109),ISNUMBER(X$5)),IF(X$7=1,(X53)/(SUM(X$10:OFFSET(X$10,$W$5-1,0,1,1))),(1/X53)/SUM(1/X$10:OFFSET(X$10,$W$5-1,0,1,1))),"")</f>
        <v/>
      </c>
      <c r="Y109" s="202" t="str">
        <f ca="1">IF(AND(ISNUMBER($V109),ISNUMBER(Y$5)),IF(Y$7=1,(Y53)/(SUM(Y$10:OFFSET(Y$10,$W$5-1,0,1,1))),(1/Y53)/SUM(1/Y$10:OFFSET(Y$10,$W$5-1,0,1,1))),"")</f>
        <v/>
      </c>
      <c r="Z109" s="202" t="str">
        <f ca="1">IF(AND(ISNUMBER($V109),ISNUMBER(Z$5)),IF(Z$7=1,(Z53)/(SUM(Z$10:OFFSET(Z$10,$W$5-1,0,1,1))),(1/Z53)/SUM(1/Z$10:OFFSET(Z$10,$W$5-1,0,1,1))),"")</f>
        <v/>
      </c>
      <c r="AA109" s="202" t="str">
        <f ca="1">IF(AND(ISNUMBER($V109),ISNUMBER(AA$5)),IF(AA$7=1,(AA53)/(SUM(AA$10:OFFSET(AA$10,$W$5-1,0,1,1))),(1/AA53)/SUM(1/AA$10:OFFSET(AA$10,$W$5-1,0,1,1))),"")</f>
        <v/>
      </c>
      <c r="AB109" s="202" t="str">
        <f ca="1">IF(AND(ISNUMBER($V109),ISNUMBER(AB$5)),IF(AB$7=1,(AB53)/(SUM(AB$10:OFFSET(AB$10,$W$5-1,0,1,1))),(1/AB53)/SUM(1/AB$10:OFFSET(AB$10,$W$5-1,0,1,1))),"")</f>
        <v/>
      </c>
      <c r="AC109" s="202" t="str">
        <f ca="1">IF(AND(ISNUMBER($V109),ISNUMBER(AC$5)),IF(AC$7=1,(AC53)/(SUM(AC$10:OFFSET(AC$10,$W$5-1,0,1,1))),(1/AC53)/SUM(1/AC$10:OFFSET(AC$10,$W$5-1,0,1,1))),"")</f>
        <v/>
      </c>
    </row>
    <row r="110" spans="1:29" ht="14.25" hidden="1" customHeight="1">
      <c r="A110" s="199"/>
      <c r="B110" s="197"/>
      <c r="C110" s="198"/>
      <c r="D110" s="202" t="str">
        <f ca="1">IF(AND(ISNUMBER($B110),ISNUMBER(D$5)),IF(D$7=1,(D54)/(SUM(D$10:OFFSET(D$10,$C$5-1,0,1,1))),(1/D54)/SUM(1/D$10:OFFSET(D$10,$C$5-1,0,1,1))),"")</f>
        <v/>
      </c>
      <c r="E110" s="202" t="str">
        <f ca="1">IF(AND(ISNUMBER($B110),ISNUMBER(E$5)),IF(E$7=1,(E54)/(SUM(E$10:OFFSET(E$10,$C$5-1,0,1,1))),(1/E54)/SUM(1/E$10:OFFSET(E$10,$C$5-1,0,1,1))),"")</f>
        <v/>
      </c>
      <c r="F110" s="202" t="str">
        <f ca="1">IF(AND(ISNUMBER($B110),ISNUMBER(F$5)),IF(F$7=1,(F54)/(SUM(F$10:OFFSET(F$10,$C$5-1,0,1,1))),(1/F54)/SUM(1/F$10:OFFSET(F$10,$C$5-1,0,1,1))),"")</f>
        <v/>
      </c>
      <c r="G110" s="202" t="str">
        <f ca="1">IF(AND(ISNUMBER($B110),ISNUMBER(G$5)),IF(G$7=1,(G54)/(SUM(G$10:OFFSET(G$10,$C$5-1,0,1,1))),(1/G54)/SUM(1/G$10:OFFSET(G$10,$C$5-1,0,1,1))),"")</f>
        <v/>
      </c>
      <c r="H110" s="202" t="str">
        <f ca="1">IF(AND(ISNUMBER($B110),ISNUMBER(H$5)),IF(H$7=1,(H54)/(SUM(H$10:OFFSET(H$10,$C$5-1,0,1,1))),(1/H54)/SUM(1/H$10:OFFSET(H$10,$C$5-1,0,1,1))),"")</f>
        <v/>
      </c>
      <c r="I110" s="202" t="str">
        <f ca="1">IF(AND(ISNUMBER($B110),ISNUMBER(I$5)),IF(I$7=1,(I54)/(SUM(I$10:OFFSET(I$10,$C$5-1,0,1,1))),(1/I54)/SUM(1/I$10:OFFSET(I$10,$C$5-1,0,1,1))),"")</f>
        <v/>
      </c>
      <c r="J110" s="187"/>
      <c r="K110" s="199"/>
      <c r="L110" s="197"/>
      <c r="M110" s="198"/>
      <c r="N110" s="202" t="str">
        <f ca="1">IF(AND(ISNUMBER($L110),ISNUMBER(N$5)),IF(N$7=1,(N54)/(SUM(N$10:OFFSET(N$10,$M$5-1,0,1,1))),(1/N54)/SUM(1/N$10:OFFSET(N$10,$M$5-1,0,1,1))),"")</f>
        <v/>
      </c>
      <c r="O110" s="202" t="str">
        <f ca="1">IF(AND(ISNUMBER($L110),ISNUMBER(O$5)),IF(O$7=1,(O54)/(SUM(O$10:OFFSET(O$10,$M$5-1,0,1,1))),(1/O54)/SUM(1/O$10:OFFSET(O$10,$M$5-1,0,1,1))),"")</f>
        <v/>
      </c>
      <c r="P110" s="202" t="str">
        <f ca="1">IF(AND(ISNUMBER($L110),ISNUMBER(P$5)),IF(P$7=1,(P54)/(SUM(P$10:OFFSET(P$10,$M$5-1,0,1,1))),(1/P54)/SUM(1/P$10:OFFSET(P$10,$M$5-1,0,1,1))),"")</f>
        <v/>
      </c>
      <c r="Q110" s="202" t="str">
        <f ca="1">IF(AND(ISNUMBER($L110),ISNUMBER(Q$5)),IF(Q$7=1,(Q54)/(SUM(Q$10:OFFSET(Q$10,$M$5-1,0,1,1))),(1/Q54)/SUM(1/Q$10:OFFSET(Q$10,$M$5-1,0,1,1))),"")</f>
        <v/>
      </c>
      <c r="R110" s="202" t="str">
        <f ca="1">IF(AND(ISNUMBER($L110),ISNUMBER(R$5)),IF(R$7=1,(R54)/(SUM(R$10:OFFSET(R$10,$M$5-1,0,1,1))),(1/R54)/SUM(1/R$10:OFFSET(R$10,$M$5-1,0,1,1))),"")</f>
        <v/>
      </c>
      <c r="S110" s="202" t="str">
        <f ca="1">IF(AND(ISNUMBER($L110),ISNUMBER(S$5)),IF(S$7=1,(S54)/(SUM(S$10:OFFSET(S$10,$M$5-1,0,1,1))),(1/S54)/SUM(1/S$10:OFFSET(S$10,$M$5-1,0,1,1))),"")</f>
        <v/>
      </c>
      <c r="T110" s="187"/>
      <c r="U110" s="199"/>
      <c r="V110" s="197"/>
      <c r="W110" s="198"/>
      <c r="X110" s="202" t="str">
        <f ca="1">IF(AND(ISNUMBER($V110),ISNUMBER(X$5)),IF(X$7=1,(X54)/(SUM(X$10:OFFSET(X$10,$W$5-1,0,1,1))),(1/X54)/SUM(1/X$10:OFFSET(X$10,$W$5-1,0,1,1))),"")</f>
        <v/>
      </c>
      <c r="Y110" s="202" t="str">
        <f ca="1">IF(AND(ISNUMBER($V110),ISNUMBER(Y$5)),IF(Y$7=1,(Y54)/(SUM(Y$10:OFFSET(Y$10,$W$5-1,0,1,1))),(1/Y54)/SUM(1/Y$10:OFFSET(Y$10,$W$5-1,0,1,1))),"")</f>
        <v/>
      </c>
      <c r="Z110" s="202" t="str">
        <f ca="1">IF(AND(ISNUMBER($V110),ISNUMBER(Z$5)),IF(Z$7=1,(Z54)/(SUM(Z$10:OFFSET(Z$10,$W$5-1,0,1,1))),(1/Z54)/SUM(1/Z$10:OFFSET(Z$10,$W$5-1,0,1,1))),"")</f>
        <v/>
      </c>
      <c r="AA110" s="202" t="str">
        <f ca="1">IF(AND(ISNUMBER($V110),ISNUMBER(AA$5)),IF(AA$7=1,(AA54)/(SUM(AA$10:OFFSET(AA$10,$W$5-1,0,1,1))),(1/AA54)/SUM(1/AA$10:OFFSET(AA$10,$W$5-1,0,1,1))),"")</f>
        <v/>
      </c>
      <c r="AB110" s="202" t="str">
        <f ca="1">IF(AND(ISNUMBER($V110),ISNUMBER(AB$5)),IF(AB$7=1,(AB54)/(SUM(AB$10:OFFSET(AB$10,$W$5-1,0,1,1))),(1/AB54)/SUM(1/AB$10:OFFSET(AB$10,$W$5-1,0,1,1))),"")</f>
        <v/>
      </c>
      <c r="AC110" s="202" t="str">
        <f ca="1">IF(AND(ISNUMBER($V110),ISNUMBER(AC$5)),IF(AC$7=1,(AC54)/(SUM(AC$10:OFFSET(AC$10,$W$5-1,0,1,1))),(1/AC54)/SUM(1/AC$10:OFFSET(AC$10,$W$5-1,0,1,1))),"")</f>
        <v/>
      </c>
    </row>
    <row r="111" spans="1:29" ht="14.25" hidden="1" customHeight="1">
      <c r="A111" s="199"/>
      <c r="B111" s="197"/>
      <c r="C111" s="198"/>
      <c r="D111" s="202" t="str">
        <f ca="1">IF(AND(ISNUMBER($B111),ISNUMBER(D$5)),IF(D$7=1,(D55)/(SUM(D$10:OFFSET(D$10,$C$5-1,0,1,1))),(1/D55)/SUM(1/D$10:OFFSET(D$10,$C$5-1,0,1,1))),"")</f>
        <v/>
      </c>
      <c r="E111" s="202" t="str">
        <f ca="1">IF(AND(ISNUMBER($B111),ISNUMBER(E$5)),IF(E$7=1,(E55)/(SUM(E$10:OFFSET(E$10,$C$5-1,0,1,1))),(1/E55)/SUM(1/E$10:OFFSET(E$10,$C$5-1,0,1,1))),"")</f>
        <v/>
      </c>
      <c r="F111" s="202" t="str">
        <f ca="1">IF(AND(ISNUMBER($B111),ISNUMBER(F$5)),IF(F$7=1,(F55)/(SUM(F$10:OFFSET(F$10,$C$5-1,0,1,1))),(1/F55)/SUM(1/F$10:OFFSET(F$10,$C$5-1,0,1,1))),"")</f>
        <v/>
      </c>
      <c r="G111" s="202" t="str">
        <f ca="1">IF(AND(ISNUMBER($B111),ISNUMBER(G$5)),IF(G$7=1,(G55)/(SUM(G$10:OFFSET(G$10,$C$5-1,0,1,1))),(1/G55)/SUM(1/G$10:OFFSET(G$10,$C$5-1,0,1,1))),"")</f>
        <v/>
      </c>
      <c r="H111" s="202" t="str">
        <f ca="1">IF(AND(ISNUMBER($B111),ISNUMBER(H$5)),IF(H$7=1,(H55)/(SUM(H$10:OFFSET(H$10,$C$5-1,0,1,1))),(1/H55)/SUM(1/H$10:OFFSET(H$10,$C$5-1,0,1,1))),"")</f>
        <v/>
      </c>
      <c r="I111" s="202" t="str">
        <f ca="1">IF(AND(ISNUMBER($B111),ISNUMBER(I$5)),IF(I$7=1,(I55)/(SUM(I$10:OFFSET(I$10,$C$5-1,0,1,1))),(1/I55)/SUM(1/I$10:OFFSET(I$10,$C$5-1,0,1,1))),"")</f>
        <v/>
      </c>
      <c r="J111" s="187"/>
      <c r="K111" s="199"/>
      <c r="L111" s="197"/>
      <c r="M111" s="198"/>
      <c r="N111" s="202" t="str">
        <f ca="1">IF(AND(ISNUMBER($L111),ISNUMBER(N$5)),IF(N$7=1,(N55)/(SUM(N$10:OFFSET(N$10,$M$5-1,0,1,1))),(1/N55)/SUM(1/N$10:OFFSET(N$10,$M$5-1,0,1,1))),"")</f>
        <v/>
      </c>
      <c r="O111" s="202" t="str">
        <f ca="1">IF(AND(ISNUMBER($L111),ISNUMBER(O$5)),IF(O$7=1,(O55)/(SUM(O$10:OFFSET(O$10,$M$5-1,0,1,1))),(1/O55)/SUM(1/O$10:OFFSET(O$10,$M$5-1,0,1,1))),"")</f>
        <v/>
      </c>
      <c r="P111" s="202" t="str">
        <f ca="1">IF(AND(ISNUMBER($L111),ISNUMBER(P$5)),IF(P$7=1,(P55)/(SUM(P$10:OFFSET(P$10,$M$5-1,0,1,1))),(1/P55)/SUM(1/P$10:OFFSET(P$10,$M$5-1,0,1,1))),"")</f>
        <v/>
      </c>
      <c r="Q111" s="202" t="str">
        <f ca="1">IF(AND(ISNUMBER($L111),ISNUMBER(Q$5)),IF(Q$7=1,(Q55)/(SUM(Q$10:OFFSET(Q$10,$M$5-1,0,1,1))),(1/Q55)/SUM(1/Q$10:OFFSET(Q$10,$M$5-1,0,1,1))),"")</f>
        <v/>
      </c>
      <c r="R111" s="202" t="str">
        <f ca="1">IF(AND(ISNUMBER($L111),ISNUMBER(R$5)),IF(R$7=1,(R55)/(SUM(R$10:OFFSET(R$10,$M$5-1,0,1,1))),(1/R55)/SUM(1/R$10:OFFSET(R$10,$M$5-1,0,1,1))),"")</f>
        <v/>
      </c>
      <c r="S111" s="202" t="str">
        <f ca="1">IF(AND(ISNUMBER($L111),ISNUMBER(S$5)),IF(S$7=1,(S55)/(SUM(S$10:OFFSET(S$10,$M$5-1,0,1,1))),(1/S55)/SUM(1/S$10:OFFSET(S$10,$M$5-1,0,1,1))),"")</f>
        <v/>
      </c>
      <c r="T111" s="187"/>
      <c r="U111" s="199"/>
      <c r="V111" s="197"/>
      <c r="W111" s="198"/>
      <c r="X111" s="202" t="str">
        <f ca="1">IF(AND(ISNUMBER($V111),ISNUMBER(X$5)),IF(X$7=1,(X55)/(SUM(X$10:OFFSET(X$10,$W$5-1,0,1,1))),(1/X55)/SUM(1/X$10:OFFSET(X$10,$W$5-1,0,1,1))),"")</f>
        <v/>
      </c>
      <c r="Y111" s="202" t="str">
        <f ca="1">IF(AND(ISNUMBER($V111),ISNUMBER(Y$5)),IF(Y$7=1,(Y55)/(SUM(Y$10:OFFSET(Y$10,$W$5-1,0,1,1))),(1/Y55)/SUM(1/Y$10:OFFSET(Y$10,$W$5-1,0,1,1))),"")</f>
        <v/>
      </c>
      <c r="Z111" s="202" t="str">
        <f ca="1">IF(AND(ISNUMBER($V111),ISNUMBER(Z$5)),IF(Z$7=1,(Z55)/(SUM(Z$10:OFFSET(Z$10,$W$5-1,0,1,1))),(1/Z55)/SUM(1/Z$10:OFFSET(Z$10,$W$5-1,0,1,1))),"")</f>
        <v/>
      </c>
      <c r="AA111" s="202" t="str">
        <f ca="1">IF(AND(ISNUMBER($V111),ISNUMBER(AA$5)),IF(AA$7=1,(AA55)/(SUM(AA$10:OFFSET(AA$10,$W$5-1,0,1,1))),(1/AA55)/SUM(1/AA$10:OFFSET(AA$10,$W$5-1,0,1,1))),"")</f>
        <v/>
      </c>
      <c r="AB111" s="202" t="str">
        <f ca="1">IF(AND(ISNUMBER($V111),ISNUMBER(AB$5)),IF(AB$7=1,(AB55)/(SUM(AB$10:OFFSET(AB$10,$W$5-1,0,1,1))),(1/AB55)/SUM(1/AB$10:OFFSET(AB$10,$W$5-1,0,1,1))),"")</f>
        <v/>
      </c>
      <c r="AC111" s="202" t="str">
        <f ca="1">IF(AND(ISNUMBER($V111),ISNUMBER(AC$5)),IF(AC$7=1,(AC55)/(SUM(AC$10:OFFSET(AC$10,$W$5-1,0,1,1))),(1/AC55)/SUM(1/AC$10:OFFSET(AC$10,$W$5-1,0,1,1))),"")</f>
        <v/>
      </c>
    </row>
    <row r="112" spans="1:29" ht="14.25" hidden="1" customHeight="1">
      <c r="A112" s="199"/>
      <c r="B112" s="197"/>
      <c r="C112" s="198"/>
      <c r="D112" s="202" t="str">
        <f ca="1">IF(AND(ISNUMBER($B112),ISNUMBER(D$5)),IF(D$7=1,(D56)/(SUM(D$10:OFFSET(D$10,$C$5-1,0,1,1))),(1/D56)/SUM(1/D$10:OFFSET(D$10,$C$5-1,0,1,1))),"")</f>
        <v/>
      </c>
      <c r="E112" s="202" t="str">
        <f ca="1">IF(AND(ISNUMBER($B112),ISNUMBER(E$5)),IF(E$7=1,(E56)/(SUM(E$10:OFFSET(E$10,$C$5-1,0,1,1))),(1/E56)/SUM(1/E$10:OFFSET(E$10,$C$5-1,0,1,1))),"")</f>
        <v/>
      </c>
      <c r="F112" s="202" t="str">
        <f ca="1">IF(AND(ISNUMBER($B112),ISNUMBER(F$5)),IF(F$7=1,(F56)/(SUM(F$10:OFFSET(F$10,$C$5-1,0,1,1))),(1/F56)/SUM(1/F$10:OFFSET(F$10,$C$5-1,0,1,1))),"")</f>
        <v/>
      </c>
      <c r="G112" s="202" t="str">
        <f ca="1">IF(AND(ISNUMBER($B112),ISNUMBER(G$5)),IF(G$7=1,(G56)/(SUM(G$10:OFFSET(G$10,$C$5-1,0,1,1))),(1/G56)/SUM(1/G$10:OFFSET(G$10,$C$5-1,0,1,1))),"")</f>
        <v/>
      </c>
      <c r="H112" s="202" t="str">
        <f ca="1">IF(AND(ISNUMBER($B112),ISNUMBER(H$5)),IF(H$7=1,(H56)/(SUM(H$10:OFFSET(H$10,$C$5-1,0,1,1))),(1/H56)/SUM(1/H$10:OFFSET(H$10,$C$5-1,0,1,1))),"")</f>
        <v/>
      </c>
      <c r="I112" s="202" t="str">
        <f ca="1">IF(AND(ISNUMBER($B112),ISNUMBER(I$5)),IF(I$7=1,(I56)/(SUM(I$10:OFFSET(I$10,$C$5-1,0,1,1))),(1/I56)/SUM(1/I$10:OFFSET(I$10,$C$5-1,0,1,1))),"")</f>
        <v/>
      </c>
      <c r="J112" s="187"/>
      <c r="K112" s="199"/>
      <c r="L112" s="197"/>
      <c r="M112" s="198"/>
      <c r="N112" s="202" t="str">
        <f ca="1">IF(AND(ISNUMBER($L112),ISNUMBER(N$5)),IF(N$7=1,(N56)/(SUM(N$10:OFFSET(N$10,$M$5-1,0,1,1))),(1/N56)/SUM(1/N$10:OFFSET(N$10,$M$5-1,0,1,1))),"")</f>
        <v/>
      </c>
      <c r="O112" s="202" t="str">
        <f ca="1">IF(AND(ISNUMBER($L112),ISNUMBER(O$5)),IF(O$7=1,(O56)/(SUM(O$10:OFFSET(O$10,$M$5-1,0,1,1))),(1/O56)/SUM(1/O$10:OFFSET(O$10,$M$5-1,0,1,1))),"")</f>
        <v/>
      </c>
      <c r="P112" s="202" t="str">
        <f ca="1">IF(AND(ISNUMBER($L112),ISNUMBER(P$5)),IF(P$7=1,(P56)/(SUM(P$10:OFFSET(P$10,$M$5-1,0,1,1))),(1/P56)/SUM(1/P$10:OFFSET(P$10,$M$5-1,0,1,1))),"")</f>
        <v/>
      </c>
      <c r="Q112" s="202" t="str">
        <f ca="1">IF(AND(ISNUMBER($L112),ISNUMBER(Q$5)),IF(Q$7=1,(Q56)/(SUM(Q$10:OFFSET(Q$10,$M$5-1,0,1,1))),(1/Q56)/SUM(1/Q$10:OFFSET(Q$10,$M$5-1,0,1,1))),"")</f>
        <v/>
      </c>
      <c r="R112" s="202" t="str">
        <f ca="1">IF(AND(ISNUMBER($L112),ISNUMBER(R$5)),IF(R$7=1,(R56)/(SUM(R$10:OFFSET(R$10,$M$5-1,0,1,1))),(1/R56)/SUM(1/R$10:OFFSET(R$10,$M$5-1,0,1,1))),"")</f>
        <v/>
      </c>
      <c r="S112" s="202" t="str">
        <f ca="1">IF(AND(ISNUMBER($L112),ISNUMBER(S$5)),IF(S$7=1,(S56)/(SUM(S$10:OFFSET(S$10,$M$5-1,0,1,1))),(1/S56)/SUM(1/S$10:OFFSET(S$10,$M$5-1,0,1,1))),"")</f>
        <v/>
      </c>
      <c r="T112" s="187"/>
      <c r="U112" s="199"/>
      <c r="V112" s="197"/>
      <c r="W112" s="198"/>
      <c r="X112" s="202" t="str">
        <f ca="1">IF(AND(ISNUMBER($V112),ISNUMBER(X$5)),IF(X$7=1,(X56)/(SUM(X$10:OFFSET(X$10,$W$5-1,0,1,1))),(1/X56)/SUM(1/X$10:OFFSET(X$10,$W$5-1,0,1,1))),"")</f>
        <v/>
      </c>
      <c r="Y112" s="202" t="str">
        <f ca="1">IF(AND(ISNUMBER($V112),ISNUMBER(Y$5)),IF(Y$7=1,(Y56)/(SUM(Y$10:OFFSET(Y$10,$W$5-1,0,1,1))),(1/Y56)/SUM(1/Y$10:OFFSET(Y$10,$W$5-1,0,1,1))),"")</f>
        <v/>
      </c>
      <c r="Z112" s="202" t="str">
        <f ca="1">IF(AND(ISNUMBER($V112),ISNUMBER(Z$5)),IF(Z$7=1,(Z56)/(SUM(Z$10:OFFSET(Z$10,$W$5-1,0,1,1))),(1/Z56)/SUM(1/Z$10:OFFSET(Z$10,$W$5-1,0,1,1))),"")</f>
        <v/>
      </c>
      <c r="AA112" s="202" t="str">
        <f ca="1">IF(AND(ISNUMBER($V112),ISNUMBER(AA$5)),IF(AA$7=1,(AA56)/(SUM(AA$10:OFFSET(AA$10,$W$5-1,0,1,1))),(1/AA56)/SUM(1/AA$10:OFFSET(AA$10,$W$5-1,0,1,1))),"")</f>
        <v/>
      </c>
      <c r="AB112" s="202" t="str">
        <f ca="1">IF(AND(ISNUMBER($V112),ISNUMBER(AB$5)),IF(AB$7=1,(AB56)/(SUM(AB$10:OFFSET(AB$10,$W$5-1,0,1,1))),(1/AB56)/SUM(1/AB$10:OFFSET(AB$10,$W$5-1,0,1,1))),"")</f>
        <v/>
      </c>
      <c r="AC112" s="202" t="str">
        <f ca="1">IF(AND(ISNUMBER($V112),ISNUMBER(AC$5)),IF(AC$7=1,(AC56)/(SUM(AC$10:OFFSET(AC$10,$W$5-1,0,1,1))),(1/AC56)/SUM(1/AC$10:OFFSET(AC$10,$W$5-1,0,1,1))),"")</f>
        <v/>
      </c>
    </row>
    <row r="113" spans="1:29" ht="14.25" hidden="1" customHeight="1">
      <c r="A113" s="199"/>
      <c r="B113" s="197"/>
      <c r="C113" s="198"/>
      <c r="D113" s="202" t="str">
        <f ca="1">IF(AND(ISNUMBER($B113),ISNUMBER(D$5)),IF(D$7=1,(D57)/(SUM(D$10:OFFSET(D$10,$C$5-1,0,1,1))),(1/D57)/SUM(1/D$10:OFFSET(D$10,$C$5-1,0,1,1))),"")</f>
        <v/>
      </c>
      <c r="E113" s="202" t="str">
        <f ca="1">IF(AND(ISNUMBER($B113),ISNUMBER(E$5)),IF(E$7=1,(E57)/(SUM(E$10:OFFSET(E$10,$C$5-1,0,1,1))),(1/E57)/SUM(1/E$10:OFFSET(E$10,$C$5-1,0,1,1))),"")</f>
        <v/>
      </c>
      <c r="F113" s="202" t="str">
        <f ca="1">IF(AND(ISNUMBER($B113),ISNUMBER(F$5)),IF(F$7=1,(F57)/(SUM(F$10:OFFSET(F$10,$C$5-1,0,1,1))),(1/F57)/SUM(1/F$10:OFFSET(F$10,$C$5-1,0,1,1))),"")</f>
        <v/>
      </c>
      <c r="G113" s="202" t="str">
        <f ca="1">IF(AND(ISNUMBER($B113),ISNUMBER(G$5)),IF(G$7=1,(G57)/(SUM(G$10:OFFSET(G$10,$C$5-1,0,1,1))),(1/G57)/SUM(1/G$10:OFFSET(G$10,$C$5-1,0,1,1))),"")</f>
        <v/>
      </c>
      <c r="H113" s="202" t="str">
        <f ca="1">IF(AND(ISNUMBER($B113),ISNUMBER(H$5)),IF(H$7=1,(H57)/(SUM(H$10:OFFSET(H$10,$C$5-1,0,1,1))),(1/H57)/SUM(1/H$10:OFFSET(H$10,$C$5-1,0,1,1))),"")</f>
        <v/>
      </c>
      <c r="I113" s="202" t="str">
        <f ca="1">IF(AND(ISNUMBER($B113),ISNUMBER(I$5)),IF(I$7=1,(I57)/(SUM(I$10:OFFSET(I$10,$C$5-1,0,1,1))),(1/I57)/SUM(1/I$10:OFFSET(I$10,$C$5-1,0,1,1))),"")</f>
        <v/>
      </c>
      <c r="J113" s="187"/>
      <c r="K113" s="199"/>
      <c r="L113" s="197"/>
      <c r="M113" s="198"/>
      <c r="N113" s="202" t="str">
        <f ca="1">IF(AND(ISNUMBER($L113),ISNUMBER(N$5)),IF(N$7=1,(N57)/(SUM(N$10:OFFSET(N$10,$M$5-1,0,1,1))),(1/N57)/SUM(1/N$10:OFFSET(N$10,$M$5-1,0,1,1))),"")</f>
        <v/>
      </c>
      <c r="O113" s="202" t="str">
        <f ca="1">IF(AND(ISNUMBER($L113),ISNUMBER(O$5)),IF(O$7=1,(O57)/(SUM(O$10:OFFSET(O$10,$M$5-1,0,1,1))),(1/O57)/SUM(1/O$10:OFFSET(O$10,$M$5-1,0,1,1))),"")</f>
        <v/>
      </c>
      <c r="P113" s="202" t="str">
        <f ca="1">IF(AND(ISNUMBER($L113),ISNUMBER(P$5)),IF(P$7=1,(P57)/(SUM(P$10:OFFSET(P$10,$M$5-1,0,1,1))),(1/P57)/SUM(1/P$10:OFFSET(P$10,$M$5-1,0,1,1))),"")</f>
        <v/>
      </c>
      <c r="Q113" s="202" t="str">
        <f ca="1">IF(AND(ISNUMBER($L113),ISNUMBER(Q$5)),IF(Q$7=1,(Q57)/(SUM(Q$10:OFFSET(Q$10,$M$5-1,0,1,1))),(1/Q57)/SUM(1/Q$10:OFFSET(Q$10,$M$5-1,0,1,1))),"")</f>
        <v/>
      </c>
      <c r="R113" s="202" t="str">
        <f ca="1">IF(AND(ISNUMBER($L113),ISNUMBER(R$5)),IF(R$7=1,(R57)/(SUM(R$10:OFFSET(R$10,$M$5-1,0,1,1))),(1/R57)/SUM(1/R$10:OFFSET(R$10,$M$5-1,0,1,1))),"")</f>
        <v/>
      </c>
      <c r="S113" s="202" t="str">
        <f ca="1">IF(AND(ISNUMBER($L113),ISNUMBER(S$5)),IF(S$7=1,(S57)/(SUM(S$10:OFFSET(S$10,$M$5-1,0,1,1))),(1/S57)/SUM(1/S$10:OFFSET(S$10,$M$5-1,0,1,1))),"")</f>
        <v/>
      </c>
      <c r="T113" s="187"/>
      <c r="U113" s="199"/>
      <c r="V113" s="197"/>
      <c r="W113" s="198"/>
      <c r="X113" s="202" t="str">
        <f ca="1">IF(AND(ISNUMBER($V113),ISNUMBER(X$5)),IF(X$7=1,(X57)/(SUM(X$10:OFFSET(X$10,$W$5-1,0,1,1))),(1/X57)/SUM(1/X$10:OFFSET(X$10,$W$5-1,0,1,1))),"")</f>
        <v/>
      </c>
      <c r="Y113" s="202" t="str">
        <f ca="1">IF(AND(ISNUMBER($V113),ISNUMBER(Y$5)),IF(Y$7=1,(Y57)/(SUM(Y$10:OFFSET(Y$10,$W$5-1,0,1,1))),(1/Y57)/SUM(1/Y$10:OFFSET(Y$10,$W$5-1,0,1,1))),"")</f>
        <v/>
      </c>
      <c r="Z113" s="202" t="str">
        <f ca="1">IF(AND(ISNUMBER($V113),ISNUMBER(Z$5)),IF(Z$7=1,(Z57)/(SUM(Z$10:OFFSET(Z$10,$W$5-1,0,1,1))),(1/Z57)/SUM(1/Z$10:OFFSET(Z$10,$W$5-1,0,1,1))),"")</f>
        <v/>
      </c>
      <c r="AA113" s="202" t="str">
        <f ca="1">IF(AND(ISNUMBER($V113),ISNUMBER(AA$5)),IF(AA$7=1,(AA57)/(SUM(AA$10:OFFSET(AA$10,$W$5-1,0,1,1))),(1/AA57)/SUM(1/AA$10:OFFSET(AA$10,$W$5-1,0,1,1))),"")</f>
        <v/>
      </c>
      <c r="AB113" s="202" t="str">
        <f ca="1">IF(AND(ISNUMBER($V113),ISNUMBER(AB$5)),IF(AB$7=1,(AB57)/(SUM(AB$10:OFFSET(AB$10,$W$5-1,0,1,1))),(1/AB57)/SUM(1/AB$10:OFFSET(AB$10,$W$5-1,0,1,1))),"")</f>
        <v/>
      </c>
      <c r="AC113" s="202" t="str">
        <f ca="1">IF(AND(ISNUMBER($V113),ISNUMBER(AC$5)),IF(AC$7=1,(AC57)/(SUM(AC$10:OFFSET(AC$10,$W$5-1,0,1,1))),(1/AC57)/SUM(1/AC$10:OFFSET(AC$10,$W$5-1,0,1,1))),"")</f>
        <v/>
      </c>
    </row>
    <row r="114" spans="1:29" ht="14.25" hidden="1" customHeight="1">
      <c r="A114" s="199"/>
      <c r="B114" s="197"/>
      <c r="C114" s="198"/>
      <c r="D114" s="202" t="str">
        <f ca="1">IF(AND(ISNUMBER($B114),ISNUMBER(D$5)),IF(D$7=1,(D58)/(SUM(D$10:OFFSET(D$10,$C$5-1,0,1,1))),(1/D58)/SUM(1/D$10:OFFSET(D$10,$C$5-1,0,1,1))),"")</f>
        <v/>
      </c>
      <c r="E114" s="202" t="str">
        <f ca="1">IF(AND(ISNUMBER($B114),ISNUMBER(E$5)),IF(E$7=1,(E58)/(SUM(E$10:OFFSET(E$10,$C$5-1,0,1,1))),(1/E58)/SUM(1/E$10:OFFSET(E$10,$C$5-1,0,1,1))),"")</f>
        <v/>
      </c>
      <c r="F114" s="202" t="str">
        <f ca="1">IF(AND(ISNUMBER($B114),ISNUMBER(F$5)),IF(F$7=1,(F58)/(SUM(F$10:OFFSET(F$10,$C$5-1,0,1,1))),(1/F58)/SUM(1/F$10:OFFSET(F$10,$C$5-1,0,1,1))),"")</f>
        <v/>
      </c>
      <c r="G114" s="202" t="str">
        <f ca="1">IF(AND(ISNUMBER($B114),ISNUMBER(G$5)),IF(G$7=1,(G58)/(SUM(G$10:OFFSET(G$10,$C$5-1,0,1,1))),(1/G58)/SUM(1/G$10:OFFSET(G$10,$C$5-1,0,1,1))),"")</f>
        <v/>
      </c>
      <c r="H114" s="202" t="str">
        <f ca="1">IF(AND(ISNUMBER($B114),ISNUMBER(H$5)),IF(H$7=1,(H58)/(SUM(H$10:OFFSET(H$10,$C$5-1,0,1,1))),(1/H58)/SUM(1/H$10:OFFSET(H$10,$C$5-1,0,1,1))),"")</f>
        <v/>
      </c>
      <c r="I114" s="202" t="str">
        <f ca="1">IF(AND(ISNUMBER($B114),ISNUMBER(I$5)),IF(I$7=1,(I58)/(SUM(I$10:OFFSET(I$10,$C$5-1,0,1,1))),(1/I58)/SUM(1/I$10:OFFSET(I$10,$C$5-1,0,1,1))),"")</f>
        <v/>
      </c>
      <c r="J114" s="187"/>
      <c r="K114" s="199"/>
      <c r="L114" s="197"/>
      <c r="M114" s="198"/>
      <c r="N114" s="202" t="str">
        <f ca="1">IF(AND(ISNUMBER($L114),ISNUMBER(N$5)),IF(N$7=1,(N58)/(SUM(N$10:OFFSET(N$10,$M$5-1,0,1,1))),(1/N58)/SUM(1/N$10:OFFSET(N$10,$M$5-1,0,1,1))),"")</f>
        <v/>
      </c>
      <c r="O114" s="202" t="str">
        <f ca="1">IF(AND(ISNUMBER($L114),ISNUMBER(O$5)),IF(O$7=1,(O58)/(SUM(O$10:OFFSET(O$10,$M$5-1,0,1,1))),(1/O58)/SUM(1/O$10:OFFSET(O$10,$M$5-1,0,1,1))),"")</f>
        <v/>
      </c>
      <c r="P114" s="202" t="str">
        <f ca="1">IF(AND(ISNUMBER($L114),ISNUMBER(P$5)),IF(P$7=1,(P58)/(SUM(P$10:OFFSET(P$10,$M$5-1,0,1,1))),(1/P58)/SUM(1/P$10:OFFSET(P$10,$M$5-1,0,1,1))),"")</f>
        <v/>
      </c>
      <c r="Q114" s="202" t="str">
        <f ca="1">IF(AND(ISNUMBER($L114),ISNUMBER(Q$5)),IF(Q$7=1,(Q58)/(SUM(Q$10:OFFSET(Q$10,$M$5-1,0,1,1))),(1/Q58)/SUM(1/Q$10:OFFSET(Q$10,$M$5-1,0,1,1))),"")</f>
        <v/>
      </c>
      <c r="R114" s="202" t="str">
        <f ca="1">IF(AND(ISNUMBER($L114),ISNUMBER(R$5)),IF(R$7=1,(R58)/(SUM(R$10:OFFSET(R$10,$M$5-1,0,1,1))),(1/R58)/SUM(1/R$10:OFFSET(R$10,$M$5-1,0,1,1))),"")</f>
        <v/>
      </c>
      <c r="S114" s="202" t="str">
        <f ca="1">IF(AND(ISNUMBER($L114),ISNUMBER(S$5)),IF(S$7=1,(S58)/(SUM(S$10:OFFSET(S$10,$M$5-1,0,1,1))),(1/S58)/SUM(1/S$10:OFFSET(S$10,$M$5-1,0,1,1))),"")</f>
        <v/>
      </c>
      <c r="T114" s="187"/>
      <c r="U114" s="199"/>
      <c r="V114" s="197"/>
      <c r="W114" s="198"/>
      <c r="X114" s="202" t="str">
        <f ca="1">IF(AND(ISNUMBER($V114),ISNUMBER(X$5)),IF(X$7=1,(X58)/(SUM(X$10:OFFSET(X$10,$W$5-1,0,1,1))),(1/X58)/SUM(1/X$10:OFFSET(X$10,$W$5-1,0,1,1))),"")</f>
        <v/>
      </c>
      <c r="Y114" s="202" t="str">
        <f ca="1">IF(AND(ISNUMBER($V114),ISNUMBER(Y$5)),IF(Y$7=1,(Y58)/(SUM(Y$10:OFFSET(Y$10,$W$5-1,0,1,1))),(1/Y58)/SUM(1/Y$10:OFFSET(Y$10,$W$5-1,0,1,1))),"")</f>
        <v/>
      </c>
      <c r="Z114" s="202" t="str">
        <f ca="1">IF(AND(ISNUMBER($V114),ISNUMBER(Z$5)),IF(Z$7=1,(Z58)/(SUM(Z$10:OFFSET(Z$10,$W$5-1,0,1,1))),(1/Z58)/SUM(1/Z$10:OFFSET(Z$10,$W$5-1,0,1,1))),"")</f>
        <v/>
      </c>
      <c r="AA114" s="202" t="str">
        <f ca="1">IF(AND(ISNUMBER($V114),ISNUMBER(AA$5)),IF(AA$7=1,(AA58)/(SUM(AA$10:OFFSET(AA$10,$W$5-1,0,1,1))),(1/AA58)/SUM(1/AA$10:OFFSET(AA$10,$W$5-1,0,1,1))),"")</f>
        <v/>
      </c>
      <c r="AB114" s="202" t="str">
        <f ca="1">IF(AND(ISNUMBER($V114),ISNUMBER(AB$5)),IF(AB$7=1,(AB58)/(SUM(AB$10:OFFSET(AB$10,$W$5-1,0,1,1))),(1/AB58)/SUM(1/AB$10:OFFSET(AB$10,$W$5-1,0,1,1))),"")</f>
        <v/>
      </c>
      <c r="AC114" s="202" t="str">
        <f ca="1">IF(AND(ISNUMBER($V114),ISNUMBER(AC$5)),IF(AC$7=1,(AC58)/(SUM(AC$10:OFFSET(AC$10,$W$5-1,0,1,1))),(1/AC58)/SUM(1/AC$10:OFFSET(AC$10,$W$5-1,0,1,1))),"")</f>
        <v/>
      </c>
    </row>
    <row r="115" spans="1:29" ht="14.25" hidden="1" customHeight="1">
      <c r="A115" s="199"/>
      <c r="B115" s="197"/>
      <c r="C115" s="198"/>
      <c r="D115" s="202" t="str">
        <f ca="1">IF(AND(ISNUMBER($B115),ISNUMBER(D$5)),IF(D$7=1,(D59)/(SUM(D$10:OFFSET(D$10,$C$5-1,0,1,1))),(1/D59)/SUM(1/D$10:OFFSET(D$10,$C$5-1,0,1,1))),"")</f>
        <v/>
      </c>
      <c r="E115" s="202" t="str">
        <f ca="1">IF(AND(ISNUMBER($B115),ISNUMBER(E$5)),IF(E$7=1,(E59)/(SUM(E$10:OFFSET(E$10,$C$5-1,0,1,1))),(1/E59)/SUM(1/E$10:OFFSET(E$10,$C$5-1,0,1,1))),"")</f>
        <v/>
      </c>
      <c r="F115" s="202" t="str">
        <f ca="1">IF(AND(ISNUMBER($B115),ISNUMBER(F$5)),IF(F$7=1,(F59)/(SUM(F$10:OFFSET(F$10,$C$5-1,0,1,1))),(1/F59)/SUM(1/F$10:OFFSET(F$10,$C$5-1,0,1,1))),"")</f>
        <v/>
      </c>
      <c r="G115" s="202" t="str">
        <f ca="1">IF(AND(ISNUMBER($B115),ISNUMBER(G$5)),IF(G$7=1,(G59)/(SUM(G$10:OFFSET(G$10,$C$5-1,0,1,1))),(1/G59)/SUM(1/G$10:OFFSET(G$10,$C$5-1,0,1,1))),"")</f>
        <v/>
      </c>
      <c r="H115" s="202" t="str">
        <f ca="1">IF(AND(ISNUMBER($B115),ISNUMBER(H$5)),IF(H$7=1,(H59)/(SUM(H$10:OFFSET(H$10,$C$5-1,0,1,1))),(1/H59)/SUM(1/H$10:OFFSET(H$10,$C$5-1,0,1,1))),"")</f>
        <v/>
      </c>
      <c r="I115" s="202" t="str">
        <f ca="1">IF(AND(ISNUMBER($B115),ISNUMBER(I$5)),IF(I$7=1,(I59)/(SUM(I$10:OFFSET(I$10,$C$5-1,0,1,1))),(1/I59)/SUM(1/I$10:OFFSET(I$10,$C$5-1,0,1,1))),"")</f>
        <v/>
      </c>
      <c r="J115" s="187"/>
      <c r="K115" s="199"/>
      <c r="L115" s="197"/>
      <c r="M115" s="198"/>
      <c r="N115" s="202" t="str">
        <f ca="1">IF(AND(ISNUMBER($L115),ISNUMBER(N$5)),IF(N$7=1,(N59)/(SUM(N$10:OFFSET(N$10,$M$5-1,0,1,1))),(1/N59)/SUM(1/N$10:OFFSET(N$10,$M$5-1,0,1,1))),"")</f>
        <v/>
      </c>
      <c r="O115" s="202" t="str">
        <f ca="1">IF(AND(ISNUMBER($L115),ISNUMBER(O$5)),IF(O$7=1,(O59)/(SUM(O$10:OFFSET(O$10,$M$5-1,0,1,1))),(1/O59)/SUM(1/O$10:OFFSET(O$10,$M$5-1,0,1,1))),"")</f>
        <v/>
      </c>
      <c r="P115" s="202" t="str">
        <f ca="1">IF(AND(ISNUMBER($L115),ISNUMBER(P$5)),IF(P$7=1,(P59)/(SUM(P$10:OFFSET(P$10,$M$5-1,0,1,1))),(1/P59)/SUM(1/P$10:OFFSET(P$10,$M$5-1,0,1,1))),"")</f>
        <v/>
      </c>
      <c r="Q115" s="202" t="str">
        <f ca="1">IF(AND(ISNUMBER($L115),ISNUMBER(Q$5)),IF(Q$7=1,(Q59)/(SUM(Q$10:OFFSET(Q$10,$M$5-1,0,1,1))),(1/Q59)/SUM(1/Q$10:OFFSET(Q$10,$M$5-1,0,1,1))),"")</f>
        <v/>
      </c>
      <c r="R115" s="202" t="str">
        <f ca="1">IF(AND(ISNUMBER($L115),ISNUMBER(R$5)),IF(R$7=1,(R59)/(SUM(R$10:OFFSET(R$10,$M$5-1,0,1,1))),(1/R59)/SUM(1/R$10:OFFSET(R$10,$M$5-1,0,1,1))),"")</f>
        <v/>
      </c>
      <c r="S115" s="202" t="str">
        <f ca="1">IF(AND(ISNUMBER($L115),ISNUMBER(S$5)),IF(S$7=1,(S59)/(SUM(S$10:OFFSET(S$10,$M$5-1,0,1,1))),(1/S59)/SUM(1/S$10:OFFSET(S$10,$M$5-1,0,1,1))),"")</f>
        <v/>
      </c>
      <c r="T115" s="187"/>
      <c r="U115" s="199"/>
      <c r="V115" s="197"/>
      <c r="W115" s="198"/>
      <c r="X115" s="202" t="str">
        <f ca="1">IF(AND(ISNUMBER($V115),ISNUMBER(X$5)),IF(X$7=1,(X59)/(SUM(X$10:OFFSET(X$10,$W$5-1,0,1,1))),(1/X59)/SUM(1/X$10:OFFSET(X$10,$W$5-1,0,1,1))),"")</f>
        <v/>
      </c>
      <c r="Y115" s="202" t="str">
        <f ca="1">IF(AND(ISNUMBER($V115),ISNUMBER(Y$5)),IF(Y$7=1,(Y59)/(SUM(Y$10:OFFSET(Y$10,$W$5-1,0,1,1))),(1/Y59)/SUM(1/Y$10:OFFSET(Y$10,$W$5-1,0,1,1))),"")</f>
        <v/>
      </c>
      <c r="Z115" s="202" t="str">
        <f ca="1">IF(AND(ISNUMBER($V115),ISNUMBER(Z$5)),IF(Z$7=1,(Z59)/(SUM(Z$10:OFFSET(Z$10,$W$5-1,0,1,1))),(1/Z59)/SUM(1/Z$10:OFFSET(Z$10,$W$5-1,0,1,1))),"")</f>
        <v/>
      </c>
      <c r="AA115" s="202" t="str">
        <f ca="1">IF(AND(ISNUMBER($V115),ISNUMBER(AA$5)),IF(AA$7=1,(AA59)/(SUM(AA$10:OFFSET(AA$10,$W$5-1,0,1,1))),(1/AA59)/SUM(1/AA$10:OFFSET(AA$10,$W$5-1,0,1,1))),"")</f>
        <v/>
      </c>
      <c r="AB115" s="202" t="str">
        <f ca="1">IF(AND(ISNUMBER($V115),ISNUMBER(AB$5)),IF(AB$7=1,(AB59)/(SUM(AB$10:OFFSET(AB$10,$W$5-1,0,1,1))),(1/AB59)/SUM(1/AB$10:OFFSET(AB$10,$W$5-1,0,1,1))),"")</f>
        <v/>
      </c>
      <c r="AC115" s="202" t="str">
        <f ca="1">IF(AND(ISNUMBER($V115),ISNUMBER(AC$5)),IF(AC$7=1,(AC59)/(SUM(AC$10:OFFSET(AC$10,$W$5-1,0,1,1))),(1/AC59)/SUM(1/AC$10:OFFSET(AC$10,$W$5-1,0,1,1))),"")</f>
        <v/>
      </c>
    </row>
    <row r="116" spans="1:29" ht="14.25" hidden="1" customHeight="1">
      <c r="A116" s="199"/>
      <c r="B116" s="197"/>
      <c r="C116" s="198"/>
      <c r="D116" s="202" t="str">
        <f ca="1">IF(AND(ISNUMBER($B116),ISNUMBER(D$5)),IF(D$7=1,(D60)/(SUM(D$10:OFFSET(D$10,$C$5-1,0,1,1))),(1/D60)/SUM(1/D$10:OFFSET(D$10,$C$5-1,0,1,1))),"")</f>
        <v/>
      </c>
      <c r="E116" s="202" t="str">
        <f ca="1">IF(AND(ISNUMBER($B116),ISNUMBER(E$5)),IF(E$7=1,(E60)/(SUM(E$10:OFFSET(E$10,$C$5-1,0,1,1))),(1/E60)/SUM(1/E$10:OFFSET(E$10,$C$5-1,0,1,1))),"")</f>
        <v/>
      </c>
      <c r="F116" s="202" t="str">
        <f ca="1">IF(AND(ISNUMBER($B116),ISNUMBER(F$5)),IF(F$7=1,(F60)/(SUM(F$10:OFFSET(F$10,$C$5-1,0,1,1))),(1/F60)/SUM(1/F$10:OFFSET(F$10,$C$5-1,0,1,1))),"")</f>
        <v/>
      </c>
      <c r="G116" s="202" t="str">
        <f ca="1">IF(AND(ISNUMBER($B116),ISNUMBER(G$5)),IF(G$7=1,(G60)/(SUM(G$10:OFFSET(G$10,$C$5-1,0,1,1))),(1/G60)/SUM(1/G$10:OFFSET(G$10,$C$5-1,0,1,1))),"")</f>
        <v/>
      </c>
      <c r="H116" s="202" t="str">
        <f ca="1">IF(AND(ISNUMBER($B116),ISNUMBER(H$5)),IF(H$7=1,(H60)/(SUM(H$10:OFFSET(H$10,$C$5-1,0,1,1))),(1/H60)/SUM(1/H$10:OFFSET(H$10,$C$5-1,0,1,1))),"")</f>
        <v/>
      </c>
      <c r="I116" s="202" t="str">
        <f ca="1">IF(AND(ISNUMBER($B116),ISNUMBER(I$5)),IF(I$7=1,(I60)/(SUM(I$10:OFFSET(I$10,$C$5-1,0,1,1))),(1/I60)/SUM(1/I$10:OFFSET(I$10,$C$5-1,0,1,1))),"")</f>
        <v/>
      </c>
      <c r="J116" s="187"/>
      <c r="K116" s="199"/>
      <c r="L116" s="197"/>
      <c r="M116" s="198"/>
      <c r="N116" s="202" t="str">
        <f ca="1">IF(AND(ISNUMBER($L116),ISNUMBER(N$5)),IF(N$7=1,(N60)/(SUM(N$10:OFFSET(N$10,$M$5-1,0,1,1))),(1/N60)/SUM(1/N$10:OFFSET(N$10,$M$5-1,0,1,1))),"")</f>
        <v/>
      </c>
      <c r="O116" s="202" t="str">
        <f ca="1">IF(AND(ISNUMBER($L116),ISNUMBER(O$5)),IF(O$7=1,(O60)/(SUM(O$10:OFFSET(O$10,$M$5-1,0,1,1))),(1/O60)/SUM(1/O$10:OFFSET(O$10,$M$5-1,0,1,1))),"")</f>
        <v/>
      </c>
      <c r="P116" s="202" t="str">
        <f ca="1">IF(AND(ISNUMBER($L116),ISNUMBER(P$5)),IF(P$7=1,(P60)/(SUM(P$10:OFFSET(P$10,$M$5-1,0,1,1))),(1/P60)/SUM(1/P$10:OFFSET(P$10,$M$5-1,0,1,1))),"")</f>
        <v/>
      </c>
      <c r="Q116" s="202" t="str">
        <f ca="1">IF(AND(ISNUMBER($L116),ISNUMBER(Q$5)),IF(Q$7=1,(Q60)/(SUM(Q$10:OFFSET(Q$10,$M$5-1,0,1,1))),(1/Q60)/SUM(1/Q$10:OFFSET(Q$10,$M$5-1,0,1,1))),"")</f>
        <v/>
      </c>
      <c r="R116" s="202" t="str">
        <f ca="1">IF(AND(ISNUMBER($L116),ISNUMBER(R$5)),IF(R$7=1,(R60)/(SUM(R$10:OFFSET(R$10,$M$5-1,0,1,1))),(1/R60)/SUM(1/R$10:OFFSET(R$10,$M$5-1,0,1,1))),"")</f>
        <v/>
      </c>
      <c r="S116" s="202" t="str">
        <f ca="1">IF(AND(ISNUMBER($L116),ISNUMBER(S$5)),IF(S$7=1,(S60)/(SUM(S$10:OFFSET(S$10,$M$5-1,0,1,1))),(1/S60)/SUM(1/S$10:OFFSET(S$10,$M$5-1,0,1,1))),"")</f>
        <v/>
      </c>
      <c r="T116" s="187"/>
      <c r="U116" s="199"/>
      <c r="V116" s="197"/>
      <c r="W116" s="198"/>
      <c r="X116" s="202" t="str">
        <f ca="1">IF(AND(ISNUMBER($V116),ISNUMBER(X$5)),IF(X$7=1,(X60)/(SUM(X$10:OFFSET(X$10,$W$5-1,0,1,1))),(1/X60)/SUM(1/X$10:OFFSET(X$10,$W$5-1,0,1,1))),"")</f>
        <v/>
      </c>
      <c r="Y116" s="202" t="str">
        <f ca="1">IF(AND(ISNUMBER($V116),ISNUMBER(Y$5)),IF(Y$7=1,(Y60)/(SUM(Y$10:OFFSET(Y$10,$W$5-1,0,1,1))),(1/Y60)/SUM(1/Y$10:OFFSET(Y$10,$W$5-1,0,1,1))),"")</f>
        <v/>
      </c>
      <c r="Z116" s="202" t="str">
        <f ca="1">IF(AND(ISNUMBER($V116),ISNUMBER(Z$5)),IF(Z$7=1,(Z60)/(SUM(Z$10:OFFSET(Z$10,$W$5-1,0,1,1))),(1/Z60)/SUM(1/Z$10:OFFSET(Z$10,$W$5-1,0,1,1))),"")</f>
        <v/>
      </c>
      <c r="AA116" s="202" t="str">
        <f ca="1">IF(AND(ISNUMBER($V116),ISNUMBER(AA$5)),IF(AA$7=1,(AA60)/(SUM(AA$10:OFFSET(AA$10,$W$5-1,0,1,1))),(1/AA60)/SUM(1/AA$10:OFFSET(AA$10,$W$5-1,0,1,1))),"")</f>
        <v/>
      </c>
      <c r="AB116" s="202" t="str">
        <f ca="1">IF(AND(ISNUMBER($V116),ISNUMBER(AB$5)),IF(AB$7=1,(AB60)/(SUM(AB$10:OFFSET(AB$10,$W$5-1,0,1,1))),(1/AB60)/SUM(1/AB$10:OFFSET(AB$10,$W$5-1,0,1,1))),"")</f>
        <v/>
      </c>
      <c r="AC116" s="202" t="str">
        <f ca="1">IF(AND(ISNUMBER($V116),ISNUMBER(AC$5)),IF(AC$7=1,(AC60)/(SUM(AC$10:OFFSET(AC$10,$W$5-1,0,1,1))),(1/AC60)/SUM(1/AC$10:OFFSET(AC$10,$W$5-1,0,1,1))),"")</f>
        <v/>
      </c>
    </row>
    <row r="117" spans="1:29" ht="14.25" hidden="1" customHeight="1">
      <c r="A117" s="199"/>
      <c r="B117" s="197"/>
      <c r="C117" s="198"/>
      <c r="D117" s="202" t="str">
        <f ca="1">IF(AND(ISNUMBER($B117),ISNUMBER(D$5)),IF(D$7=1,(D61)/(SUM(D$10:OFFSET(D$10,$C$5-1,0,1,1))),(1/D61)/SUM(1/D$10:OFFSET(D$10,$C$5-1,0,1,1))),"")</f>
        <v/>
      </c>
      <c r="E117" s="202" t="str">
        <f ca="1">IF(AND(ISNUMBER($B117),ISNUMBER(E$5)),IF(E$7=1,(E61)/(SUM(E$10:OFFSET(E$10,$C$5-1,0,1,1))),(1/E61)/SUM(1/E$10:OFFSET(E$10,$C$5-1,0,1,1))),"")</f>
        <v/>
      </c>
      <c r="F117" s="202" t="str">
        <f ca="1">IF(AND(ISNUMBER($B117),ISNUMBER(F$5)),IF(F$7=1,(F61)/(SUM(F$10:OFFSET(F$10,$C$5-1,0,1,1))),(1/F61)/SUM(1/F$10:OFFSET(F$10,$C$5-1,0,1,1))),"")</f>
        <v/>
      </c>
      <c r="G117" s="202" t="str">
        <f ca="1">IF(AND(ISNUMBER($B117),ISNUMBER(G$5)),IF(G$7=1,(G61)/(SUM(G$10:OFFSET(G$10,$C$5-1,0,1,1))),(1/G61)/SUM(1/G$10:OFFSET(G$10,$C$5-1,0,1,1))),"")</f>
        <v/>
      </c>
      <c r="H117" s="202" t="str">
        <f ca="1">IF(AND(ISNUMBER($B117),ISNUMBER(H$5)),IF(H$7=1,(H61)/(SUM(H$10:OFFSET(H$10,$C$5-1,0,1,1))),(1/H61)/SUM(1/H$10:OFFSET(H$10,$C$5-1,0,1,1))),"")</f>
        <v/>
      </c>
      <c r="I117" s="202" t="str">
        <f ca="1">IF(AND(ISNUMBER($B117),ISNUMBER(I$5)),IF(I$7=1,(I61)/(SUM(I$10:OFFSET(I$10,$C$5-1,0,1,1))),(1/I61)/SUM(1/I$10:OFFSET(I$10,$C$5-1,0,1,1))),"")</f>
        <v/>
      </c>
      <c r="J117" s="187"/>
      <c r="K117" s="199"/>
      <c r="L117" s="197"/>
      <c r="M117" s="198"/>
      <c r="N117" s="202" t="str">
        <f ca="1">IF(AND(ISNUMBER($L117),ISNUMBER(N$5)),IF(N$7=1,(N61)/(SUM(N$10:OFFSET(N$10,$M$5-1,0,1,1))),(1/N61)/SUM(1/N$10:OFFSET(N$10,$M$5-1,0,1,1))),"")</f>
        <v/>
      </c>
      <c r="O117" s="202" t="str">
        <f ca="1">IF(AND(ISNUMBER($L117),ISNUMBER(O$5)),IF(O$7=1,(O61)/(SUM(O$10:OFFSET(O$10,$M$5-1,0,1,1))),(1/O61)/SUM(1/O$10:OFFSET(O$10,$M$5-1,0,1,1))),"")</f>
        <v/>
      </c>
      <c r="P117" s="202" t="str">
        <f ca="1">IF(AND(ISNUMBER($L117),ISNUMBER(P$5)),IF(P$7=1,(P61)/(SUM(P$10:OFFSET(P$10,$M$5-1,0,1,1))),(1/P61)/SUM(1/P$10:OFFSET(P$10,$M$5-1,0,1,1))),"")</f>
        <v/>
      </c>
      <c r="Q117" s="202" t="str">
        <f ca="1">IF(AND(ISNUMBER($L117),ISNUMBER(Q$5)),IF(Q$7=1,(Q61)/(SUM(Q$10:OFFSET(Q$10,$M$5-1,0,1,1))),(1/Q61)/SUM(1/Q$10:OFFSET(Q$10,$M$5-1,0,1,1))),"")</f>
        <v/>
      </c>
      <c r="R117" s="202" t="str">
        <f ca="1">IF(AND(ISNUMBER($L117),ISNUMBER(R$5)),IF(R$7=1,(R61)/(SUM(R$10:OFFSET(R$10,$M$5-1,0,1,1))),(1/R61)/SUM(1/R$10:OFFSET(R$10,$M$5-1,0,1,1))),"")</f>
        <v/>
      </c>
      <c r="S117" s="202" t="str">
        <f ca="1">IF(AND(ISNUMBER($L117),ISNUMBER(S$5)),IF(S$7=1,(S61)/(SUM(S$10:OFFSET(S$10,$M$5-1,0,1,1))),(1/S61)/SUM(1/S$10:OFFSET(S$10,$M$5-1,0,1,1))),"")</f>
        <v/>
      </c>
      <c r="T117" s="187"/>
      <c r="U117" s="199"/>
      <c r="V117" s="197"/>
      <c r="W117" s="198"/>
      <c r="X117" s="202" t="str">
        <f ca="1">IF(AND(ISNUMBER($V117),ISNUMBER(X$5)),IF(X$7=1,(X61)/(SUM(X$10:OFFSET(X$10,$W$5-1,0,1,1))),(1/X61)/SUM(1/X$10:OFFSET(X$10,$W$5-1,0,1,1))),"")</f>
        <v/>
      </c>
      <c r="Y117" s="202" t="str">
        <f ca="1">IF(AND(ISNUMBER($V117),ISNUMBER(Y$5)),IF(Y$7=1,(Y61)/(SUM(Y$10:OFFSET(Y$10,$W$5-1,0,1,1))),(1/Y61)/SUM(1/Y$10:OFFSET(Y$10,$W$5-1,0,1,1))),"")</f>
        <v/>
      </c>
      <c r="Z117" s="202" t="str">
        <f ca="1">IF(AND(ISNUMBER($V117),ISNUMBER(Z$5)),IF(Z$7=1,(Z61)/(SUM(Z$10:OFFSET(Z$10,$W$5-1,0,1,1))),(1/Z61)/SUM(1/Z$10:OFFSET(Z$10,$W$5-1,0,1,1))),"")</f>
        <v/>
      </c>
      <c r="AA117" s="202" t="str">
        <f ca="1">IF(AND(ISNUMBER($V117),ISNUMBER(AA$5)),IF(AA$7=1,(AA61)/(SUM(AA$10:OFFSET(AA$10,$W$5-1,0,1,1))),(1/AA61)/SUM(1/AA$10:OFFSET(AA$10,$W$5-1,0,1,1))),"")</f>
        <v/>
      </c>
      <c r="AB117" s="202" t="str">
        <f ca="1">IF(AND(ISNUMBER($V117),ISNUMBER(AB$5)),IF(AB$7=1,(AB61)/(SUM(AB$10:OFFSET(AB$10,$W$5-1,0,1,1))),(1/AB61)/SUM(1/AB$10:OFFSET(AB$10,$W$5-1,0,1,1))),"")</f>
        <v/>
      </c>
      <c r="AC117" s="202" t="str">
        <f ca="1">IF(AND(ISNUMBER($V117),ISNUMBER(AC$5)),IF(AC$7=1,(AC61)/(SUM(AC$10:OFFSET(AC$10,$W$5-1,0,1,1))),(1/AC61)/SUM(1/AC$10:OFFSET(AC$10,$W$5-1,0,1,1))),"")</f>
        <v/>
      </c>
    </row>
    <row r="118" spans="1:29" ht="14.25" hidden="1" customHeight="1">
      <c r="A118" s="199"/>
      <c r="B118" s="197"/>
      <c r="C118" s="198"/>
      <c r="D118" s="202" t="str">
        <f ca="1">IF(AND(ISNUMBER($B118),ISNUMBER(D$5)),IF(D$7=1,(D62)/(SUM(D$10:OFFSET(D$10,$C$5-1,0,1,1))),(1/D62)/SUM(1/D$10:OFFSET(D$10,$C$5-1,0,1,1))),"")</f>
        <v/>
      </c>
      <c r="E118" s="202" t="str">
        <f ca="1">IF(AND(ISNUMBER($B118),ISNUMBER(E$5)),IF(E$7=1,(E62)/(SUM(E$10:OFFSET(E$10,$C$5-1,0,1,1))),(1/E62)/SUM(1/E$10:OFFSET(E$10,$C$5-1,0,1,1))),"")</f>
        <v/>
      </c>
      <c r="F118" s="202" t="str">
        <f ca="1">IF(AND(ISNUMBER($B118),ISNUMBER(F$5)),IF(F$7=1,(F62)/(SUM(F$10:OFFSET(F$10,$C$5-1,0,1,1))),(1/F62)/SUM(1/F$10:OFFSET(F$10,$C$5-1,0,1,1))),"")</f>
        <v/>
      </c>
      <c r="G118" s="202" t="str">
        <f ca="1">IF(AND(ISNUMBER($B118),ISNUMBER(G$5)),IF(G$7=1,(G62)/(SUM(G$10:OFFSET(G$10,$C$5-1,0,1,1))),(1/G62)/SUM(1/G$10:OFFSET(G$10,$C$5-1,0,1,1))),"")</f>
        <v/>
      </c>
      <c r="H118" s="202" t="str">
        <f ca="1">IF(AND(ISNUMBER($B118),ISNUMBER(H$5)),IF(H$7=1,(H62)/(SUM(H$10:OFFSET(H$10,$C$5-1,0,1,1))),(1/H62)/SUM(1/H$10:OFFSET(H$10,$C$5-1,0,1,1))),"")</f>
        <v/>
      </c>
      <c r="I118" s="202" t="str">
        <f ca="1">IF(AND(ISNUMBER($B118),ISNUMBER(I$5)),IF(I$7=1,(I62)/(SUM(I$10:OFFSET(I$10,$C$5-1,0,1,1))),(1/I62)/SUM(1/I$10:OFFSET(I$10,$C$5-1,0,1,1))),"")</f>
        <v/>
      </c>
      <c r="J118" s="187"/>
      <c r="K118" s="199"/>
      <c r="L118" s="197"/>
      <c r="M118" s="198"/>
      <c r="N118" s="202" t="str">
        <f ca="1">IF(AND(ISNUMBER($L118),ISNUMBER(N$5)),IF(N$7=1,(N62)/(SUM(N$10:OFFSET(N$10,$M$5-1,0,1,1))),(1/N62)/SUM(1/N$10:OFFSET(N$10,$M$5-1,0,1,1))),"")</f>
        <v/>
      </c>
      <c r="O118" s="202" t="str">
        <f ca="1">IF(AND(ISNUMBER($L118),ISNUMBER(O$5)),IF(O$7=1,(O62)/(SUM(O$10:OFFSET(O$10,$M$5-1,0,1,1))),(1/O62)/SUM(1/O$10:OFFSET(O$10,$M$5-1,0,1,1))),"")</f>
        <v/>
      </c>
      <c r="P118" s="202" t="str">
        <f ca="1">IF(AND(ISNUMBER($L118),ISNUMBER(P$5)),IF(P$7=1,(P62)/(SUM(P$10:OFFSET(P$10,$M$5-1,0,1,1))),(1/P62)/SUM(1/P$10:OFFSET(P$10,$M$5-1,0,1,1))),"")</f>
        <v/>
      </c>
      <c r="Q118" s="202" t="str">
        <f ca="1">IF(AND(ISNUMBER($L118),ISNUMBER(Q$5)),IF(Q$7=1,(Q62)/(SUM(Q$10:OFFSET(Q$10,$M$5-1,0,1,1))),(1/Q62)/SUM(1/Q$10:OFFSET(Q$10,$M$5-1,0,1,1))),"")</f>
        <v/>
      </c>
      <c r="R118" s="202" t="str">
        <f ca="1">IF(AND(ISNUMBER($L118),ISNUMBER(R$5)),IF(R$7=1,(R62)/(SUM(R$10:OFFSET(R$10,$M$5-1,0,1,1))),(1/R62)/SUM(1/R$10:OFFSET(R$10,$M$5-1,0,1,1))),"")</f>
        <v/>
      </c>
      <c r="S118" s="202" t="str">
        <f ca="1">IF(AND(ISNUMBER($L118),ISNUMBER(S$5)),IF(S$7=1,(S62)/(SUM(S$10:OFFSET(S$10,$M$5-1,0,1,1))),(1/S62)/SUM(1/S$10:OFFSET(S$10,$M$5-1,0,1,1))),"")</f>
        <v/>
      </c>
      <c r="T118" s="187"/>
      <c r="U118" s="199"/>
      <c r="V118" s="197"/>
      <c r="W118" s="198"/>
      <c r="X118" s="202" t="str">
        <f ca="1">IF(AND(ISNUMBER($V118),ISNUMBER(X$5)),IF(X$7=1,(X62)/(SUM(X$10:OFFSET(X$10,$W$5-1,0,1,1))),(1/X62)/SUM(1/X$10:OFFSET(X$10,$W$5-1,0,1,1))),"")</f>
        <v/>
      </c>
      <c r="Y118" s="202" t="str">
        <f ca="1">IF(AND(ISNUMBER($V118),ISNUMBER(Y$5)),IF(Y$7=1,(Y62)/(SUM(Y$10:OFFSET(Y$10,$W$5-1,0,1,1))),(1/Y62)/SUM(1/Y$10:OFFSET(Y$10,$W$5-1,0,1,1))),"")</f>
        <v/>
      </c>
      <c r="Z118" s="202" t="str">
        <f ca="1">IF(AND(ISNUMBER($V118),ISNUMBER(Z$5)),IF(Z$7=1,(Z62)/(SUM(Z$10:OFFSET(Z$10,$W$5-1,0,1,1))),(1/Z62)/SUM(1/Z$10:OFFSET(Z$10,$W$5-1,0,1,1))),"")</f>
        <v/>
      </c>
      <c r="AA118" s="202" t="str">
        <f ca="1">IF(AND(ISNUMBER($V118),ISNUMBER(AA$5)),IF(AA$7=1,(AA62)/(SUM(AA$10:OFFSET(AA$10,$W$5-1,0,1,1))),(1/AA62)/SUM(1/AA$10:OFFSET(AA$10,$W$5-1,0,1,1))),"")</f>
        <v/>
      </c>
      <c r="AB118" s="202" t="str">
        <f ca="1">IF(AND(ISNUMBER($V118),ISNUMBER(AB$5)),IF(AB$7=1,(AB62)/(SUM(AB$10:OFFSET(AB$10,$W$5-1,0,1,1))),(1/AB62)/SUM(1/AB$10:OFFSET(AB$10,$W$5-1,0,1,1))),"")</f>
        <v/>
      </c>
      <c r="AC118" s="202" t="str">
        <f ca="1">IF(AND(ISNUMBER($V118),ISNUMBER(AC$5)),IF(AC$7=1,(AC62)/(SUM(AC$10:OFFSET(AC$10,$W$5-1,0,1,1))),(1/AC62)/SUM(1/AC$10:OFFSET(AC$10,$W$5-1,0,1,1))),"")</f>
        <v/>
      </c>
    </row>
    <row r="119" spans="1:29" ht="14.25" hidden="1" customHeight="1" thickBot="1">
      <c r="A119" s="199"/>
      <c r="B119" s="197"/>
      <c r="C119" s="198"/>
      <c r="D119" s="202" t="str">
        <f ca="1">IF(AND(ISNUMBER($B119),ISNUMBER(D$5)),IF(D$7=1,(D63)/(SUM(D$10:OFFSET(D$10,$C$5-1,0,1,1))),(1/D63)/SUM(1/D$10:OFFSET(D$10,$C$5-1,0,1,1))),"")</f>
        <v/>
      </c>
      <c r="E119" s="202" t="str">
        <f ca="1">IF(AND(ISNUMBER($B119),ISNUMBER(E$5)),IF(E$7=1,(E63)/(SUM(E$10:OFFSET(E$10,$C$5-1,0,1,1))),(1/E63)/SUM(1/E$10:OFFSET(E$10,$C$5-1,0,1,1))),"")</f>
        <v/>
      </c>
      <c r="F119" s="202" t="str">
        <f ca="1">IF(AND(ISNUMBER($B119),ISNUMBER(F$5)),IF(F$7=1,(F63)/(SUM(F$10:OFFSET(F$10,$C$5-1,0,1,1))),(1/F63)/SUM(1/F$10:OFFSET(F$10,$C$5-1,0,1,1))),"")</f>
        <v/>
      </c>
      <c r="G119" s="202" t="str">
        <f ca="1">IF(AND(ISNUMBER($B119),ISNUMBER(G$5)),IF(G$7=1,(G63)/(SUM(G$10:OFFSET(G$10,$C$5-1,0,1,1))),(1/G63)/SUM(1/G$10:OFFSET(G$10,$C$5-1,0,1,1))),"")</f>
        <v/>
      </c>
      <c r="H119" s="202" t="str">
        <f ca="1">IF(AND(ISNUMBER($B119),ISNUMBER(H$5)),IF(H$7=1,(H63)/(SUM(H$10:OFFSET(H$10,$C$5-1,0,1,1))),(1/H63)/SUM(1/H$10:OFFSET(H$10,$C$5-1,0,1,1))),"")</f>
        <v/>
      </c>
      <c r="I119" s="202" t="str">
        <f ca="1">IF(AND(ISNUMBER($B119),ISNUMBER(I$5)),IF(I$7=1,(I63)/(SUM(I$10:OFFSET(I$10,$C$5-1,0,1,1))),(1/I63)/SUM(1/I$10:OFFSET(I$10,$C$5-1,0,1,1))),"")</f>
        <v/>
      </c>
      <c r="J119" s="187"/>
      <c r="K119" s="199"/>
      <c r="L119" s="197"/>
      <c r="M119" s="198"/>
      <c r="N119" s="202" t="str">
        <f ca="1">IF(AND(ISNUMBER($L119),ISNUMBER(N$5)),IF(N$7=1,(N63)/(SUM(N$10:OFFSET(N$10,$M$5-1,0,1,1))),(1/N63)/SUM(1/N$10:OFFSET(N$10,$M$5-1,0,1,1))),"")</f>
        <v/>
      </c>
      <c r="O119" s="202" t="str">
        <f ca="1">IF(AND(ISNUMBER($L119),ISNUMBER(O$5)),IF(O$7=1,(O63)/(SUM(O$10:OFFSET(O$10,$M$5-1,0,1,1))),(1/O63)/SUM(1/O$10:OFFSET(O$10,$M$5-1,0,1,1))),"")</f>
        <v/>
      </c>
      <c r="P119" s="202" t="str">
        <f ca="1">IF(AND(ISNUMBER($L119),ISNUMBER(P$5)),IF(P$7=1,(P63)/(SUM(P$10:OFFSET(P$10,$M$5-1,0,1,1))),(1/P63)/SUM(1/P$10:OFFSET(P$10,$M$5-1,0,1,1))),"")</f>
        <v/>
      </c>
      <c r="Q119" s="202" t="str">
        <f ca="1">IF(AND(ISNUMBER($L119),ISNUMBER(Q$5)),IF(Q$7=1,(Q63)/(SUM(Q$10:OFFSET(Q$10,$M$5-1,0,1,1))),(1/Q63)/SUM(1/Q$10:OFFSET(Q$10,$M$5-1,0,1,1))),"")</f>
        <v/>
      </c>
      <c r="R119" s="202" t="str">
        <f ca="1">IF(AND(ISNUMBER($L119),ISNUMBER(R$5)),IF(R$7=1,(R63)/(SUM(R$10:OFFSET(R$10,$M$5-1,0,1,1))),(1/R63)/SUM(1/R$10:OFFSET(R$10,$M$5-1,0,1,1))),"")</f>
        <v/>
      </c>
      <c r="S119" s="202" t="str">
        <f ca="1">IF(AND(ISNUMBER($L119),ISNUMBER(S$5)),IF(S$7=1,(S63)/(SUM(S$10:OFFSET(S$10,$M$5-1,0,1,1))),(1/S63)/SUM(1/S$10:OFFSET(S$10,$M$5-1,0,1,1))),"")</f>
        <v/>
      </c>
      <c r="T119" s="187"/>
      <c r="U119" s="199"/>
      <c r="V119" s="197"/>
      <c r="W119" s="198"/>
      <c r="X119" s="202" t="str">
        <f ca="1">IF(AND(ISNUMBER($V119),ISNUMBER(X$5)),IF(X$7=1,(X63)/(SUM(X$10:OFFSET(X$10,$W$5-1,0,1,1))),(1/X63)/SUM(1/X$10:OFFSET(X$10,$W$5-1,0,1,1))),"")</f>
        <v/>
      </c>
      <c r="Y119" s="202" t="str">
        <f ca="1">IF(AND(ISNUMBER($V119),ISNUMBER(Y$5)),IF(Y$7=1,(Y63)/(SUM(Y$10:OFFSET(Y$10,$W$5-1,0,1,1))),(1/Y63)/SUM(1/Y$10:OFFSET(Y$10,$W$5-1,0,1,1))),"")</f>
        <v/>
      </c>
      <c r="Z119" s="202" t="str">
        <f ca="1">IF(AND(ISNUMBER($V119),ISNUMBER(Z$5)),IF(Z$7=1,(Z63)/(SUM(Z$10:OFFSET(Z$10,$W$5-1,0,1,1))),(1/Z63)/SUM(1/Z$10:OFFSET(Z$10,$W$5-1,0,1,1))),"")</f>
        <v/>
      </c>
      <c r="AA119" s="202" t="str">
        <f ca="1">IF(AND(ISNUMBER($V119),ISNUMBER(AA$5)),IF(AA$7=1,(AA63)/(SUM(AA$10:OFFSET(AA$10,$W$5-1,0,1,1))),(1/AA63)/SUM(1/AA$10:OFFSET(AA$10,$W$5-1,0,1,1))),"")</f>
        <v/>
      </c>
      <c r="AB119" s="202" t="str">
        <f ca="1">IF(AND(ISNUMBER($V119),ISNUMBER(AB$5)),IF(AB$7=1,(AB63)/(SUM(AB$10:OFFSET(AB$10,$W$5-1,0,1,1))),(1/AB63)/SUM(1/AB$10:OFFSET(AB$10,$W$5-1,0,1,1))),"")</f>
        <v/>
      </c>
      <c r="AC119" s="202" t="str">
        <f ca="1">IF(AND(ISNUMBER($V119),ISNUMBER(AC$5)),IF(AC$7=1,(AC63)/(SUM(AC$10:OFFSET(AC$10,$W$5-1,0,1,1))),(1/AC63)/SUM(1/AC$10:OFFSET(AC$10,$W$5-1,0,1,1))),"")</f>
        <v/>
      </c>
    </row>
    <row r="120" spans="1:29" ht="14.25" customHeight="1" thickBot="1">
      <c r="A120" s="204"/>
      <c r="B120" s="308" t="s">
        <v>145</v>
      </c>
      <c r="C120" s="308"/>
      <c r="D120" s="202">
        <f ca="1">SUM(D66:D92)</f>
        <v>1.0000000000000002</v>
      </c>
      <c r="E120" s="202">
        <f t="shared" ref="E120:I120" ca="1" si="0">SUM(E66:E92)</f>
        <v>0.99999999999999978</v>
      </c>
      <c r="F120" s="202">
        <f t="shared" ca="1" si="0"/>
        <v>0.99999999999999989</v>
      </c>
      <c r="G120" s="202">
        <f t="shared" ca="1" si="0"/>
        <v>0.99999999999999956</v>
      </c>
      <c r="H120" s="202">
        <f t="shared" ca="1" si="0"/>
        <v>1</v>
      </c>
      <c r="I120" s="202">
        <f t="shared" ca="1" si="0"/>
        <v>0.99999999999999978</v>
      </c>
      <c r="J120" s="187"/>
      <c r="K120" s="204"/>
      <c r="L120" s="308" t="s">
        <v>145</v>
      </c>
      <c r="M120" s="308"/>
      <c r="N120" s="202">
        <f t="shared" ref="N120:S120" ca="1" si="1">SUM(N66:N92)</f>
        <v>1.0000000000000004</v>
      </c>
      <c r="O120" s="202">
        <f t="shared" ca="1" si="1"/>
        <v>1.0000000000000002</v>
      </c>
      <c r="P120" s="202">
        <f t="shared" ca="1" si="1"/>
        <v>1.0000000000000002</v>
      </c>
      <c r="Q120" s="202">
        <f t="shared" ca="1" si="1"/>
        <v>1.0000000000000002</v>
      </c>
      <c r="R120" s="202">
        <f t="shared" ca="1" si="1"/>
        <v>1.0000000000000002</v>
      </c>
      <c r="S120" s="202">
        <f t="shared" ca="1" si="1"/>
        <v>0.99999999999999989</v>
      </c>
      <c r="T120" s="187"/>
      <c r="U120" s="204"/>
      <c r="V120" s="308" t="s">
        <v>145</v>
      </c>
      <c r="W120" s="308"/>
      <c r="X120" s="202">
        <f t="shared" ref="X120:AC120" ca="1" si="2">SUM(X66:X92)</f>
        <v>1.0000000000000002</v>
      </c>
      <c r="Y120" s="202">
        <f t="shared" ca="1" si="2"/>
        <v>1</v>
      </c>
      <c r="Z120" s="202">
        <f t="shared" ca="1" si="2"/>
        <v>0.99999999999999978</v>
      </c>
      <c r="AA120" s="202">
        <f t="shared" ca="1" si="2"/>
        <v>1.0000000000000004</v>
      </c>
      <c r="AB120" s="202">
        <f t="shared" ca="1" si="2"/>
        <v>1</v>
      </c>
      <c r="AC120" s="202">
        <f t="shared" ca="1" si="2"/>
        <v>1.0000000000000002</v>
      </c>
    </row>
    <row r="121" spans="1:29" ht="14.25" customHeight="1" thickBot="1">
      <c r="A121" s="204"/>
      <c r="B121" s="294" t="s">
        <v>146</v>
      </c>
      <c r="C121" s="294"/>
      <c r="D121" s="294"/>
      <c r="E121" s="294"/>
      <c r="F121" s="294"/>
      <c r="G121" s="294"/>
      <c r="H121" s="294"/>
      <c r="I121" s="294"/>
      <c r="J121" s="187"/>
      <c r="K121" s="204"/>
      <c r="L121" s="294" t="s">
        <v>146</v>
      </c>
      <c r="M121" s="294"/>
      <c r="N121" s="294"/>
      <c r="O121" s="294"/>
      <c r="P121" s="294"/>
      <c r="Q121" s="294"/>
      <c r="R121" s="294"/>
      <c r="S121" s="294"/>
      <c r="T121" s="187"/>
      <c r="U121" s="204"/>
      <c r="V121" s="294" t="s">
        <v>146</v>
      </c>
      <c r="W121" s="294"/>
      <c r="X121" s="294"/>
      <c r="Y121" s="294"/>
      <c r="Z121" s="294"/>
      <c r="AA121" s="294"/>
      <c r="AB121" s="294"/>
      <c r="AC121" s="294"/>
    </row>
    <row r="122" spans="1:29" ht="14.25" customHeight="1">
      <c r="A122" s="302" t="s">
        <v>147</v>
      </c>
      <c r="B122" s="200"/>
      <c r="C122" s="205" t="s">
        <v>25</v>
      </c>
      <c r="D122" s="205" t="s">
        <v>135</v>
      </c>
      <c r="E122" s="205" t="s">
        <v>136</v>
      </c>
      <c r="F122" s="205" t="s">
        <v>137</v>
      </c>
      <c r="G122" s="205" t="s">
        <v>138</v>
      </c>
      <c r="H122" s="205" t="s">
        <v>139</v>
      </c>
      <c r="I122" s="205" t="s">
        <v>140</v>
      </c>
      <c r="J122" s="187"/>
      <c r="K122" s="302" t="s">
        <v>147</v>
      </c>
      <c r="L122" s="200"/>
      <c r="M122" s="205" t="s">
        <v>25</v>
      </c>
      <c r="N122" s="205" t="s">
        <v>135</v>
      </c>
      <c r="O122" s="205" t="s">
        <v>136</v>
      </c>
      <c r="P122" s="205" t="s">
        <v>137</v>
      </c>
      <c r="Q122" s="205" t="s">
        <v>138</v>
      </c>
      <c r="R122" s="205" t="s">
        <v>139</v>
      </c>
      <c r="S122" s="205" t="s">
        <v>140</v>
      </c>
      <c r="T122" s="187"/>
      <c r="U122" s="302" t="s">
        <v>147</v>
      </c>
      <c r="V122" s="200"/>
      <c r="W122" s="205" t="s">
        <v>25</v>
      </c>
      <c r="X122" s="205" t="s">
        <v>135</v>
      </c>
      <c r="Y122" s="205" t="s">
        <v>136</v>
      </c>
      <c r="Z122" s="205" t="s">
        <v>137</v>
      </c>
      <c r="AA122" s="205" t="s">
        <v>138</v>
      </c>
      <c r="AB122" s="205" t="s">
        <v>139</v>
      </c>
      <c r="AC122" s="205" t="s">
        <v>140</v>
      </c>
    </row>
    <row r="123" spans="1:29" ht="14.25" customHeight="1">
      <c r="A123" s="296"/>
      <c r="B123" s="206">
        <v>1</v>
      </c>
      <c r="C123" s="207" t="s">
        <v>27</v>
      </c>
      <c r="D123" s="202">
        <f t="shared" ref="D123:I138" ca="1" si="3">IF(AND(ISNUMBER($B123),ISNUMBER(D$5)),IF(D66=0,0,((D66/D$120)*(LN(D66/D$120)))),"")</f>
        <v>-0.13001123328554562</v>
      </c>
      <c r="E123" s="202">
        <f t="shared" ca="1" si="3"/>
        <v>-0.16039651727229348</v>
      </c>
      <c r="F123" s="202">
        <f t="shared" ca="1" si="3"/>
        <v>-0.12017575412893396</v>
      </c>
      <c r="G123" s="202">
        <f t="shared" ca="1" si="3"/>
        <v>-0.11923601791023694</v>
      </c>
      <c r="H123" s="202">
        <f t="shared" ca="1" si="3"/>
        <v>-0.13005413182443423</v>
      </c>
      <c r="I123" s="202">
        <f t="shared" ca="1" si="3"/>
        <v>-0.11062778503802263</v>
      </c>
      <c r="J123" s="187"/>
      <c r="K123" s="296"/>
      <c r="L123" s="206">
        <v>1</v>
      </c>
      <c r="M123" s="207" t="s">
        <v>27</v>
      </c>
      <c r="N123" s="202">
        <f t="shared" ref="N123:S132" ca="1" si="4">IF(AND(ISNUMBER($L123),ISNUMBER(N$5)),IF(N66=0,0,((N66/N$120)*(LN(N66/N$120)))),"")</f>
        <v>-0.1273853285112598</v>
      </c>
      <c r="O123" s="202">
        <f t="shared" ca="1" si="4"/>
        <v>-0.13723074115271108</v>
      </c>
      <c r="P123" s="202">
        <f t="shared" ca="1" si="4"/>
        <v>-0.11768116059495412</v>
      </c>
      <c r="Q123" s="202">
        <f t="shared" ca="1" si="4"/>
        <v>-0.13094576107875652</v>
      </c>
      <c r="R123" s="202">
        <f t="shared" ca="1" si="4"/>
        <v>-0.12761488743317742</v>
      </c>
      <c r="S123" s="202">
        <f t="shared" ca="1" si="4"/>
        <v>-0.10588234069909067</v>
      </c>
      <c r="T123" s="187"/>
      <c r="U123" s="296"/>
      <c r="V123" s="206">
        <v>1</v>
      </c>
      <c r="W123" s="207" t="s">
        <v>27</v>
      </c>
      <c r="X123" s="202">
        <f t="shared" ref="X123:AC132" ca="1" si="5">IF(AND(ISNUMBER($V123),ISNUMBER(X$5)),IF(X66=0,0,((X66/X$120)*(LN(X66/X$120)))),"")</f>
        <v>-0.1286832287100749</v>
      </c>
      <c r="Y123" s="202">
        <f t="shared" ca="1" si="5"/>
        <v>-0.14853078659374874</v>
      </c>
      <c r="Z123" s="202">
        <f t="shared" ca="1" si="5"/>
        <v>-0.11899636847957032</v>
      </c>
      <c r="AA123" s="202">
        <f t="shared" ca="1" si="5"/>
        <v>-0.12544486633071267</v>
      </c>
      <c r="AB123" s="202">
        <f t="shared" ca="1" si="5"/>
        <v>-0.12885456480322868</v>
      </c>
      <c r="AC123" s="202">
        <f t="shared" ca="1" si="5"/>
        <v>-0.10826732231707613</v>
      </c>
    </row>
    <row r="124" spans="1:29" ht="14.25" customHeight="1">
      <c r="A124" s="296"/>
      <c r="B124" s="206">
        <v>2</v>
      </c>
      <c r="C124" s="207" t="s">
        <v>28</v>
      </c>
      <c r="D124" s="202">
        <f t="shared" ca="1" si="3"/>
        <v>-7.3372107845558698E-2</v>
      </c>
      <c r="E124" s="202">
        <f t="shared" ca="1" si="3"/>
        <v>-1.5907774307509011E-2</v>
      </c>
      <c r="F124" s="202">
        <f t="shared" ca="1" si="3"/>
        <v>-9.9619850052533654E-2</v>
      </c>
      <c r="G124" s="202">
        <f t="shared" ca="1" si="3"/>
        <v>-6.1984284767531227E-2</v>
      </c>
      <c r="H124" s="202">
        <f t="shared" ca="1" si="3"/>
        <v>-9.0472332673199166E-2</v>
      </c>
      <c r="I124" s="202">
        <f t="shared" ca="1" si="3"/>
        <v>-0.14556597735253896</v>
      </c>
      <c r="J124" s="187"/>
      <c r="K124" s="296"/>
      <c r="L124" s="206">
        <v>2</v>
      </c>
      <c r="M124" s="207" t="s">
        <v>28</v>
      </c>
      <c r="N124" s="202">
        <f t="shared" ca="1" si="4"/>
        <v>-9.3328040238678397E-2</v>
      </c>
      <c r="O124" s="202">
        <f t="shared" ca="1" si="4"/>
        <v>-1.4551234398838979E-2</v>
      </c>
      <c r="P124" s="202">
        <f t="shared" ca="1" si="4"/>
        <v>-0.12069044663159995</v>
      </c>
      <c r="Q124" s="202">
        <f t="shared" ca="1" si="4"/>
        <v>-5.7516769466761326E-2</v>
      </c>
      <c r="R124" s="202">
        <f t="shared" ca="1" si="4"/>
        <v>-0.11194843781299992</v>
      </c>
      <c r="S124" s="202">
        <f t="shared" ca="1" si="4"/>
        <v>-0.1460867268744746</v>
      </c>
      <c r="T124" s="187"/>
      <c r="U124" s="296"/>
      <c r="V124" s="206">
        <v>2</v>
      </c>
      <c r="W124" s="207" t="s">
        <v>28</v>
      </c>
      <c r="X124" s="202">
        <f t="shared" ca="1" si="5"/>
        <v>-8.3783440504552609E-2</v>
      </c>
      <c r="Y124" s="202">
        <f t="shared" ca="1" si="5"/>
        <v>-1.5196874818149341E-2</v>
      </c>
      <c r="Z124" s="202">
        <f t="shared" ca="1" si="5"/>
        <v>-0.10990594351697969</v>
      </c>
      <c r="AA124" s="202">
        <f t="shared" ca="1" si="5"/>
        <v>-5.9665384729627714E-2</v>
      </c>
      <c r="AB124" s="202">
        <f t="shared" ca="1" si="5"/>
        <v>-0.10137652169072249</v>
      </c>
      <c r="AC124" s="202">
        <f t="shared" ca="1" si="5"/>
        <v>-0.14582680309021315</v>
      </c>
    </row>
    <row r="125" spans="1:29" ht="14.25" customHeight="1" thickBot="1">
      <c r="A125" s="297"/>
      <c r="B125" s="206">
        <v>3</v>
      </c>
      <c r="C125" s="207" t="s">
        <v>29</v>
      </c>
      <c r="D125" s="202">
        <f t="shared" ca="1" si="3"/>
        <v>-0.19015925856532578</v>
      </c>
      <c r="E125" s="202">
        <f t="shared" ca="1" si="3"/>
        <v>-0.20650023461106645</v>
      </c>
      <c r="F125" s="202">
        <f t="shared" ca="1" si="3"/>
        <v>-0.16960922859793173</v>
      </c>
      <c r="G125" s="202">
        <f t="shared" ca="1" si="3"/>
        <v>-0.15394980342309308</v>
      </c>
      <c r="H125" s="202">
        <f t="shared" ca="1" si="3"/>
        <v>-0.13598295345275924</v>
      </c>
      <c r="I125" s="202">
        <f t="shared" ca="1" si="3"/>
        <v>-0.10559608850325204</v>
      </c>
      <c r="J125" s="187"/>
      <c r="K125" s="297"/>
      <c r="L125" s="206">
        <v>3</v>
      </c>
      <c r="M125" s="207" t="s">
        <v>29</v>
      </c>
      <c r="N125" s="202">
        <f t="shared" ca="1" si="4"/>
        <v>-0.19325327013291363</v>
      </c>
      <c r="O125" s="202">
        <f t="shared" ca="1" si="4"/>
        <v>-0.19646955471321362</v>
      </c>
      <c r="P125" s="202">
        <f t="shared" ca="1" si="4"/>
        <v>-0.15361583009029259</v>
      </c>
      <c r="Q125" s="202">
        <f t="shared" ca="1" si="4"/>
        <v>-0.15147947259564445</v>
      </c>
      <c r="R125" s="202">
        <f t="shared" ca="1" si="4"/>
        <v>-0.13927348858118052</v>
      </c>
      <c r="S125" s="202">
        <f t="shared" ca="1" si="4"/>
        <v>-0.10134534159226168</v>
      </c>
      <c r="T125" s="187"/>
      <c r="U125" s="297"/>
      <c r="V125" s="206">
        <v>3</v>
      </c>
      <c r="W125" s="207" t="s">
        <v>29</v>
      </c>
      <c r="X125" s="202">
        <f t="shared" ca="1" si="5"/>
        <v>-0.19173542953822811</v>
      </c>
      <c r="Y125" s="202">
        <f t="shared" ca="1" si="5"/>
        <v>-0.20128398562160901</v>
      </c>
      <c r="Z125" s="202">
        <f t="shared" ca="1" si="5"/>
        <v>-0.1621828450927795</v>
      </c>
      <c r="AA125" s="202">
        <f t="shared" ca="1" si="5"/>
        <v>-0.15266217112939665</v>
      </c>
      <c r="AB125" s="202">
        <f t="shared" ca="1" si="5"/>
        <v>-0.13761307918588853</v>
      </c>
      <c r="AC125" s="202">
        <f t="shared" ca="1" si="5"/>
        <v>-0.10348046379563834</v>
      </c>
    </row>
    <row r="126" spans="1:29" ht="14.25" customHeight="1">
      <c r="A126" s="203"/>
      <c r="B126" s="206">
        <v>4</v>
      </c>
      <c r="C126" s="207" t="s">
        <v>30</v>
      </c>
      <c r="D126" s="202">
        <f t="shared" ca="1" si="3"/>
        <v>-0.10889131257705073</v>
      </c>
      <c r="E126" s="202">
        <f t="shared" ca="1" si="3"/>
        <v>-9.6233994241641821E-2</v>
      </c>
      <c r="F126" s="202">
        <f t="shared" ca="1" si="3"/>
        <v>-9.9619850052533654E-2</v>
      </c>
      <c r="G126" s="202">
        <f t="shared" ca="1" si="3"/>
        <v>-7.9860473771956958E-2</v>
      </c>
      <c r="H126" s="202">
        <f t="shared" ca="1" si="3"/>
        <v>-9.9843812268451154E-2</v>
      </c>
      <c r="I126" s="202">
        <f t="shared" ca="1" si="3"/>
        <v>-0.11652435279249861</v>
      </c>
      <c r="J126" s="187"/>
      <c r="K126" s="203"/>
      <c r="L126" s="206">
        <v>4</v>
      </c>
      <c r="M126" s="207" t="s">
        <v>30</v>
      </c>
      <c r="N126" s="202">
        <f t="shared" ca="1" si="4"/>
        <v>-0.10662044848465291</v>
      </c>
      <c r="O126" s="202">
        <f t="shared" ca="1" si="4"/>
        <v>-8.9013595306511623E-2</v>
      </c>
      <c r="P126" s="202">
        <f t="shared" ca="1" si="4"/>
        <v>-0.10491905368830476</v>
      </c>
      <c r="Q126" s="202">
        <f t="shared" ca="1" si="4"/>
        <v>-8.0675884670399725E-2</v>
      </c>
      <c r="R126" s="202">
        <f t="shared" ca="1" si="4"/>
        <v>-0.10293769625306307</v>
      </c>
      <c r="S126" s="202">
        <f t="shared" ca="1" si="4"/>
        <v>-0.11845835167747086</v>
      </c>
      <c r="T126" s="187"/>
      <c r="U126" s="203"/>
      <c r="V126" s="206">
        <v>4</v>
      </c>
      <c r="W126" s="207" t="s">
        <v>30</v>
      </c>
      <c r="X126" s="202">
        <f t="shared" ca="1" si="5"/>
        <v>-0.10774247575380382</v>
      </c>
      <c r="Y126" s="202">
        <f t="shared" ca="1" si="5"/>
        <v>-9.2466660015579988E-2</v>
      </c>
      <c r="Z126" s="202">
        <f t="shared" ca="1" si="5"/>
        <v>-0.1021524117035076</v>
      </c>
      <c r="AA126" s="202">
        <f t="shared" ca="1" si="5"/>
        <v>-8.0287243692769364E-2</v>
      </c>
      <c r="AB126" s="202">
        <f t="shared" ca="1" si="5"/>
        <v>-0.10137652169072248</v>
      </c>
      <c r="AC126" s="202">
        <f t="shared" ca="1" si="5"/>
        <v>-0.11749480801261555</v>
      </c>
    </row>
    <row r="127" spans="1:29" ht="14.25" customHeight="1">
      <c r="A127" s="203"/>
      <c r="B127" s="206">
        <v>5</v>
      </c>
      <c r="C127" s="207" t="s">
        <v>31</v>
      </c>
      <c r="D127" s="202">
        <f t="shared" ca="1" si="3"/>
        <v>-0.10553780240263391</v>
      </c>
      <c r="E127" s="202">
        <f t="shared" ca="1" si="3"/>
        <v>-0.10986041108959688</v>
      </c>
      <c r="F127" s="202">
        <f t="shared" ca="1" si="3"/>
        <v>-0.13124428217742773</v>
      </c>
      <c r="G127" s="202">
        <f t="shared" ca="1" si="3"/>
        <v>-0.13101243596183895</v>
      </c>
      <c r="H127" s="202">
        <f t="shared" ca="1" si="3"/>
        <v>-0.11606545149637165</v>
      </c>
      <c r="I127" s="202">
        <f t="shared" ca="1" si="3"/>
        <v>-0.11077378078984343</v>
      </c>
      <c r="J127" s="187"/>
      <c r="K127" s="203"/>
      <c r="L127" s="206">
        <v>5</v>
      </c>
      <c r="M127" s="207" t="s">
        <v>31</v>
      </c>
      <c r="N127" s="202">
        <f t="shared" ca="1" si="4"/>
        <v>-0.10985861806493195</v>
      </c>
      <c r="O127" s="202">
        <f t="shared" ca="1" si="4"/>
        <v>-0.12371299057634925</v>
      </c>
      <c r="P127" s="202">
        <f t="shared" ca="1" si="4"/>
        <v>-0.12636614663506621</v>
      </c>
      <c r="Q127" s="202">
        <f t="shared" ca="1" si="4"/>
        <v>-0.12769291538426741</v>
      </c>
      <c r="R127" s="202">
        <f t="shared" ca="1" si="4"/>
        <v>-0.13344797150492058</v>
      </c>
      <c r="S127" s="202">
        <f t="shared" ca="1" si="4"/>
        <v>-0.1073707027534514</v>
      </c>
      <c r="T127" s="187"/>
      <c r="U127" s="203"/>
      <c r="V127" s="206">
        <v>5</v>
      </c>
      <c r="W127" s="207" t="s">
        <v>31</v>
      </c>
      <c r="X127" s="202">
        <f t="shared" ca="1" si="5"/>
        <v>-0.10774247575380382</v>
      </c>
      <c r="Y127" s="202">
        <f t="shared" ca="1" si="5"/>
        <v>-0.11728052481314184</v>
      </c>
      <c r="Z127" s="202">
        <f t="shared" ca="1" si="5"/>
        <v>-0.12894526084810112</v>
      </c>
      <c r="AA127" s="202">
        <f t="shared" ca="1" si="5"/>
        <v>-0.12928401120757374</v>
      </c>
      <c r="AB127" s="202">
        <f t="shared" ca="1" si="5"/>
        <v>-0.12483346562845542</v>
      </c>
      <c r="AC127" s="202">
        <f t="shared" ca="1" si="5"/>
        <v>-0.1090780124229552</v>
      </c>
    </row>
    <row r="128" spans="1:29" ht="14.25" customHeight="1">
      <c r="A128" s="199"/>
      <c r="B128" s="206">
        <v>6</v>
      </c>
      <c r="C128" s="207" t="s">
        <v>32</v>
      </c>
      <c r="D128" s="202">
        <f t="shared" ca="1" si="3"/>
        <v>-0.1135818720661743</v>
      </c>
      <c r="E128" s="202">
        <f t="shared" ca="1" si="3"/>
        <v>-6.6935938594486821E-2</v>
      </c>
      <c r="F128" s="202">
        <f t="shared" ca="1" si="3"/>
        <v>-0.10512785712076933</v>
      </c>
      <c r="G128" s="202">
        <f t="shared" ca="1" si="3"/>
        <v>-0.12251864726919674</v>
      </c>
      <c r="H128" s="202">
        <f t="shared" ca="1" si="3"/>
        <v>-0.11360346431808536</v>
      </c>
      <c r="I128" s="202">
        <f t="shared" ca="1" si="3"/>
        <v>-0.10499523892426015</v>
      </c>
      <c r="J128" s="187"/>
      <c r="K128" s="199"/>
      <c r="L128" s="206">
        <v>6</v>
      </c>
      <c r="M128" s="207" t="s">
        <v>32</v>
      </c>
      <c r="N128" s="202">
        <f t="shared" ca="1" si="4"/>
        <v>-0.10141698731972111</v>
      </c>
      <c r="O128" s="202">
        <f t="shared" ca="1" si="4"/>
        <v>-6.3813431133910678E-2</v>
      </c>
      <c r="P128" s="202">
        <f t="shared" ca="1" si="4"/>
        <v>-0.11462440670540935</v>
      </c>
      <c r="Q128" s="202">
        <f t="shared" ca="1" si="4"/>
        <v>-0.11981958927368995</v>
      </c>
      <c r="R128" s="202">
        <f t="shared" ca="1" si="4"/>
        <v>-0.10389661415703651</v>
      </c>
      <c r="S128" s="202">
        <f t="shared" ca="1" si="4"/>
        <v>-0.10603170517254341</v>
      </c>
      <c r="T128" s="187"/>
      <c r="U128" s="199"/>
      <c r="V128" s="206">
        <v>6</v>
      </c>
      <c r="W128" s="207" t="s">
        <v>32</v>
      </c>
      <c r="X128" s="202">
        <f t="shared" ca="1" si="5"/>
        <v>-0.10750699232000399</v>
      </c>
      <c r="Y128" s="202">
        <f t="shared" ca="1" si="5"/>
        <v>-6.5298969216594546E-2</v>
      </c>
      <c r="Z128" s="202">
        <f t="shared" ca="1" si="5"/>
        <v>-0.1096918216470117</v>
      </c>
      <c r="AA128" s="202">
        <f t="shared" ca="1" si="5"/>
        <v>-0.12111227770389478</v>
      </c>
      <c r="AB128" s="202">
        <f t="shared" ca="1" si="5"/>
        <v>-0.10887671720234757</v>
      </c>
      <c r="AC128" s="202">
        <f t="shared" ca="1" si="5"/>
        <v>-0.10551474258293127</v>
      </c>
    </row>
    <row r="129" spans="1:29" ht="14.25" customHeight="1">
      <c r="A129" s="199"/>
      <c r="B129" s="206">
        <v>7</v>
      </c>
      <c r="C129" s="207" t="s">
        <v>33</v>
      </c>
      <c r="D129" s="202">
        <f t="shared" ca="1" si="3"/>
        <v>-0.14850055954973349</v>
      </c>
      <c r="E129" s="202">
        <f t="shared" ca="1" si="3"/>
        <v>-0.17401625757880962</v>
      </c>
      <c r="F129" s="202">
        <f t="shared" ca="1" si="3"/>
        <v>-0.12075392208375517</v>
      </c>
      <c r="G129" s="202">
        <f t="shared" ca="1" si="3"/>
        <v>-8.4178374804831452E-2</v>
      </c>
      <c r="H129" s="202">
        <f t="shared" ca="1" si="3"/>
        <v>-0.14941070622676364</v>
      </c>
      <c r="I129" s="202">
        <f t="shared" ca="1" si="3"/>
        <v>-0.10812860148681844</v>
      </c>
      <c r="J129" s="187"/>
      <c r="K129" s="199"/>
      <c r="L129" s="206">
        <v>7</v>
      </c>
      <c r="M129" s="207" t="s">
        <v>33</v>
      </c>
      <c r="N129" s="202">
        <f t="shared" ca="1" si="4"/>
        <v>-0.15327425076903223</v>
      </c>
      <c r="O129" s="202">
        <f t="shared" ca="1" si="4"/>
        <v>-0.1885426408286624</v>
      </c>
      <c r="P129" s="202">
        <f t="shared" ca="1" si="4"/>
        <v>-0.13428539732016712</v>
      </c>
      <c r="Q129" s="202">
        <f t="shared" ca="1" si="4"/>
        <v>-0.10304053167886486</v>
      </c>
      <c r="R129" s="202">
        <f t="shared" ca="1" si="4"/>
        <v>-0.14663064350871416</v>
      </c>
      <c r="S129" s="202">
        <f t="shared" ca="1" si="4"/>
        <v>-0.1073707027534514</v>
      </c>
      <c r="T129" s="187"/>
      <c r="U129" s="199"/>
      <c r="V129" s="206">
        <v>7</v>
      </c>
      <c r="W129" s="207" t="s">
        <v>33</v>
      </c>
      <c r="X129" s="202">
        <f t="shared" ca="1" si="5"/>
        <v>-0.15093702414096438</v>
      </c>
      <c r="Y129" s="202">
        <f t="shared" ca="1" si="5"/>
        <v>-0.1818031074847456</v>
      </c>
      <c r="Z129" s="202">
        <f t="shared" ca="1" si="5"/>
        <v>-0.12728917530907971</v>
      </c>
      <c r="AA129" s="202">
        <f t="shared" ca="1" si="5"/>
        <v>-9.4282986013193973E-2</v>
      </c>
      <c r="AB129" s="202">
        <f t="shared" ca="1" si="5"/>
        <v>-0.14804407958780799</v>
      </c>
      <c r="AC129" s="202">
        <f t="shared" ca="1" si="5"/>
        <v>-0.10774962200321829</v>
      </c>
    </row>
    <row r="130" spans="1:29" ht="14.25" customHeight="1">
      <c r="A130" s="199"/>
      <c r="B130" s="206">
        <v>8</v>
      </c>
      <c r="C130" s="207" t="s">
        <v>34</v>
      </c>
      <c r="D130" s="202">
        <f t="shared" ca="1" si="3"/>
        <v>-0.11031060421385834</v>
      </c>
      <c r="E130" s="202">
        <f t="shared" ca="1" si="3"/>
        <v>-0.12727492962442669</v>
      </c>
      <c r="F130" s="202">
        <f t="shared" ca="1" si="3"/>
        <v>-0.12266885809062512</v>
      </c>
      <c r="G130" s="202">
        <f t="shared" ca="1" si="3"/>
        <v>-0.1395541519865178</v>
      </c>
      <c r="H130" s="202">
        <f t="shared" ca="1" si="3"/>
        <v>-0.11641461363781622</v>
      </c>
      <c r="I130" s="202">
        <f t="shared" ca="1" si="3"/>
        <v>-0.14654139176017658</v>
      </c>
      <c r="J130" s="187"/>
      <c r="K130" s="199"/>
      <c r="L130" s="206">
        <v>8</v>
      </c>
      <c r="M130" s="207" t="s">
        <v>34</v>
      </c>
      <c r="N130" s="202">
        <f t="shared" ca="1" si="4"/>
        <v>-0.12314944916543744</v>
      </c>
      <c r="O130" s="202">
        <f t="shared" ca="1" si="4"/>
        <v>-0.12864784705653284</v>
      </c>
      <c r="P130" s="202">
        <f t="shared" ca="1" si="4"/>
        <v>-0.13783612431384906</v>
      </c>
      <c r="Q130" s="202">
        <f t="shared" ca="1" si="4"/>
        <v>-0.13985148965844338</v>
      </c>
      <c r="R130" s="202">
        <f t="shared" ca="1" si="4"/>
        <v>-9.5083013189998455E-2</v>
      </c>
      <c r="S130" s="202">
        <f t="shared" ca="1" si="4"/>
        <v>-0.14535552104889857</v>
      </c>
      <c r="T130" s="187"/>
      <c r="U130" s="199"/>
      <c r="V130" s="206">
        <v>8</v>
      </c>
      <c r="W130" s="207" t="s">
        <v>34</v>
      </c>
      <c r="X130" s="202">
        <f t="shared" ca="1" si="5"/>
        <v>-0.11693144997461033</v>
      </c>
      <c r="Y130" s="202">
        <f t="shared" ca="1" si="5"/>
        <v>-0.12799929230156523</v>
      </c>
      <c r="Z130" s="202">
        <f t="shared" ca="1" si="5"/>
        <v>-0.13000947188969256</v>
      </c>
      <c r="AA130" s="202">
        <f t="shared" ca="1" si="5"/>
        <v>-0.13970965172603519</v>
      </c>
      <c r="AB130" s="202">
        <f t="shared" ca="1" si="5"/>
        <v>-0.10619223031431894</v>
      </c>
      <c r="AC130" s="202">
        <f t="shared" ca="1" si="5"/>
        <v>-0.14594870011096375</v>
      </c>
    </row>
    <row r="131" spans="1:29" ht="14.25" customHeight="1">
      <c r="A131" s="199"/>
      <c r="B131" s="206">
        <v>9</v>
      </c>
      <c r="C131" s="207" t="s">
        <v>35</v>
      </c>
      <c r="D131" s="202">
        <f t="shared" ca="1" si="3"/>
        <v>-0.12915754681986066</v>
      </c>
      <c r="E131" s="202">
        <f t="shared" ca="1" si="3"/>
        <v>-0.15548238312711812</v>
      </c>
      <c r="F131" s="202">
        <f t="shared" ca="1" si="3"/>
        <v>-0.13699722607956261</v>
      </c>
      <c r="G131" s="202">
        <f t="shared" ca="1" si="3"/>
        <v>-0.14983387789978325</v>
      </c>
      <c r="H131" s="202">
        <f t="shared" ca="1" si="3"/>
        <v>-0.11021092562589345</v>
      </c>
      <c r="I131" s="202">
        <f t="shared" ca="1" si="3"/>
        <v>-0.13360159824776216</v>
      </c>
      <c r="J131" s="187"/>
      <c r="K131" s="199"/>
      <c r="L131" s="206">
        <v>9</v>
      </c>
      <c r="M131" s="207" t="s">
        <v>35</v>
      </c>
      <c r="N131" s="202">
        <f t="shared" ca="1" si="4"/>
        <v>-0.12654543682149935</v>
      </c>
      <c r="O131" s="202">
        <f t="shared" ca="1" si="4"/>
        <v>-0.15227903277938717</v>
      </c>
      <c r="P131" s="202">
        <f t="shared" ca="1" si="4"/>
        <v>-0.13087242881709105</v>
      </c>
      <c r="Q131" s="202">
        <f t="shared" ca="1" si="4"/>
        <v>-0.14522128366118051</v>
      </c>
      <c r="R131" s="202">
        <f t="shared" ca="1" si="4"/>
        <v>-8.7921816015725837E-2</v>
      </c>
      <c r="S131" s="202">
        <f t="shared" ca="1" si="4"/>
        <v>-0.1251970548122204</v>
      </c>
      <c r="T131" s="187"/>
      <c r="U131" s="199"/>
      <c r="V131" s="206">
        <v>9</v>
      </c>
      <c r="W131" s="207" t="s">
        <v>35</v>
      </c>
      <c r="X131" s="202">
        <f t="shared" ca="1" si="5"/>
        <v>-0.12783650001786939</v>
      </c>
      <c r="Y131" s="202">
        <f t="shared" ca="1" si="5"/>
        <v>-0.15380148190713136</v>
      </c>
      <c r="Z131" s="202">
        <f t="shared" ca="1" si="5"/>
        <v>-0.13411537634751938</v>
      </c>
      <c r="AA131" s="202">
        <f t="shared" ca="1" si="5"/>
        <v>-0.14743580670758671</v>
      </c>
      <c r="AB131" s="202">
        <f t="shared" ca="1" si="5"/>
        <v>-9.9550242410392981E-2</v>
      </c>
      <c r="AC131" s="202">
        <f t="shared" ca="1" si="5"/>
        <v>-0.12943959913527697</v>
      </c>
    </row>
    <row r="132" spans="1:29" ht="14.25" customHeight="1">
      <c r="A132" s="199"/>
      <c r="B132" s="206">
        <v>10</v>
      </c>
      <c r="C132" s="207" t="s">
        <v>36</v>
      </c>
      <c r="D132" s="202">
        <f t="shared" ca="1" si="3"/>
        <v>-0.15592700989537123</v>
      </c>
      <c r="E132" s="202">
        <f t="shared" ca="1" si="3"/>
        <v>-9.8469551864671045E-2</v>
      </c>
      <c r="F132" s="202">
        <f t="shared" ca="1" si="3"/>
        <v>-0.11269901192759289</v>
      </c>
      <c r="G132" s="202">
        <f t="shared" ca="1" si="3"/>
        <v>-0.10669871641594542</v>
      </c>
      <c r="H132" s="202">
        <f t="shared" ca="1" si="3"/>
        <v>-0.13598295345275924</v>
      </c>
      <c r="I132" s="202">
        <f t="shared" ca="1" si="3"/>
        <v>-0.12031139648055726</v>
      </c>
      <c r="J132" s="187"/>
      <c r="K132" s="199"/>
      <c r="L132" s="206">
        <v>10</v>
      </c>
      <c r="M132" s="207" t="s">
        <v>36</v>
      </c>
      <c r="N132" s="202">
        <f t="shared" ca="1" si="4"/>
        <v>-0.15272179302059344</v>
      </c>
      <c r="O132" s="202">
        <f t="shared" ca="1" si="4"/>
        <v>-0.11026465962266582</v>
      </c>
      <c r="P132" s="202">
        <f t="shared" ca="1" si="4"/>
        <v>-0.1141837487375524</v>
      </c>
      <c r="Q132" s="202">
        <f t="shared" ca="1" si="4"/>
        <v>-0.10500370922586251</v>
      </c>
      <c r="R132" s="202">
        <f t="shared" ca="1" si="4"/>
        <v>-0.13847454749533275</v>
      </c>
      <c r="S132" s="202">
        <f t="shared" ca="1" si="4"/>
        <v>-0.12343177450152759</v>
      </c>
      <c r="T132" s="187"/>
      <c r="U132" s="199"/>
      <c r="V132" s="206">
        <v>10</v>
      </c>
      <c r="W132" s="207" t="s">
        <v>36</v>
      </c>
      <c r="X132" s="202">
        <f t="shared" ca="1" si="5"/>
        <v>-0.15430713819896016</v>
      </c>
      <c r="Y132" s="202">
        <f t="shared" ca="1" si="5"/>
        <v>-0.10477456785651719</v>
      </c>
      <c r="Z132" s="202">
        <f t="shared" ca="1" si="5"/>
        <v>-0.1134047676581305</v>
      </c>
      <c r="AA132" s="202">
        <f t="shared" ca="1" si="5"/>
        <v>-0.1058144873231863</v>
      </c>
      <c r="AB132" s="202">
        <f t="shared" ca="1" si="5"/>
        <v>-0.13721603219329823</v>
      </c>
      <c r="AC132" s="202">
        <f t="shared" ca="1" si="5"/>
        <v>-0.12187950390114202</v>
      </c>
    </row>
    <row r="133" spans="1:29" ht="14.25" customHeight="1">
      <c r="A133" s="199"/>
      <c r="B133" s="206">
        <v>11</v>
      </c>
      <c r="C133" s="207" t="s">
        <v>37</v>
      </c>
      <c r="D133" s="202">
        <f t="shared" ca="1" si="3"/>
        <v>-9.6375122319846809E-2</v>
      </c>
      <c r="E133" s="202">
        <f t="shared" ca="1" si="3"/>
        <v>-0.11164461808454805</v>
      </c>
      <c r="F133" s="202">
        <f t="shared" ca="1" si="3"/>
        <v>-0.10616880359834981</v>
      </c>
      <c r="G133" s="202">
        <f t="shared" ca="1" si="3"/>
        <v>-0.12510558945866718</v>
      </c>
      <c r="H133" s="202">
        <f t="shared" ca="1" si="3"/>
        <v>-0.14867156674771312</v>
      </c>
      <c r="I133" s="202">
        <f t="shared" ca="1" si="3"/>
        <v>-0.11975499153958183</v>
      </c>
      <c r="J133" s="187"/>
      <c r="K133" s="199"/>
      <c r="L133" s="206">
        <v>11</v>
      </c>
      <c r="M133" s="207" t="s">
        <v>37</v>
      </c>
      <c r="N133" s="202">
        <f t="shared" ref="N133:S142" ca="1" si="6">IF(AND(ISNUMBER($L133),ISNUMBER(N$5)),IF(N76=0,0,((N76/N$120)*(LN(N76/N$120)))),"")</f>
        <v>-9.5073907913604469E-2</v>
      </c>
      <c r="O133" s="202">
        <f t="shared" ca="1" si="6"/>
        <v>-0.10344716150244029</v>
      </c>
      <c r="P133" s="202">
        <f t="shared" ca="1" si="6"/>
        <v>-0.10584307847305477</v>
      </c>
      <c r="Q133" s="202">
        <f t="shared" ca="1" si="6"/>
        <v>-0.11719077241648326</v>
      </c>
      <c r="R133" s="202">
        <f t="shared" ca="1" si="6"/>
        <v>-0.14998315543235383</v>
      </c>
      <c r="S133" s="202">
        <f t="shared" ca="1" si="6"/>
        <v>-0.11999152654460012</v>
      </c>
      <c r="T133" s="187"/>
      <c r="U133" s="199"/>
      <c r="V133" s="206">
        <v>11</v>
      </c>
      <c r="W133" s="207" t="s">
        <v>37</v>
      </c>
      <c r="X133" s="202">
        <f t="shared" ref="X133:AC142" ca="1" si="7">IF(AND(ISNUMBER($V133),ISNUMBER(X$5)),IF(X76=0,0,((X76/X$120)*(LN(X76/X$120)))),"")</f>
        <v>-9.5716043586730137E-2</v>
      </c>
      <c r="Y133" s="202">
        <f t="shared" ca="1" si="7"/>
        <v>-0.10737090845746146</v>
      </c>
      <c r="Z133" s="202">
        <f t="shared" ca="1" si="7"/>
        <v>-0.10601435695491399</v>
      </c>
      <c r="AA133" s="202">
        <f t="shared" ca="1" si="7"/>
        <v>-0.12100794049772322</v>
      </c>
      <c r="AB133" s="202">
        <f t="shared" ca="1" si="7"/>
        <v>-0.14931968696051554</v>
      </c>
      <c r="AC133" s="202">
        <f t="shared" ca="1" si="7"/>
        <v>-0.11987342249603597</v>
      </c>
    </row>
    <row r="134" spans="1:29" ht="14.25" customHeight="1">
      <c r="A134" s="199"/>
      <c r="B134" s="206">
        <v>12</v>
      </c>
      <c r="C134" s="207" t="s">
        <v>38</v>
      </c>
      <c r="D134" s="202">
        <f t="shared" ca="1" si="3"/>
        <v>-0.10936558534813927</v>
      </c>
      <c r="E134" s="202">
        <f t="shared" ca="1" si="3"/>
        <v>-8.081070415269935E-2</v>
      </c>
      <c r="F134" s="202">
        <f t="shared" ca="1" si="3"/>
        <v>-0.11901423853906894</v>
      </c>
      <c r="G134" s="202">
        <f t="shared" ca="1" si="3"/>
        <v>-0.13307985213407081</v>
      </c>
      <c r="H134" s="202">
        <f t="shared" ca="1" si="3"/>
        <v>-0.12174775019926654</v>
      </c>
      <c r="I134" s="202">
        <f t="shared" ca="1" si="3"/>
        <v>-0.14943928953691821</v>
      </c>
      <c r="J134" s="187"/>
      <c r="K134" s="199"/>
      <c r="L134" s="206">
        <v>12</v>
      </c>
      <c r="M134" s="207" t="s">
        <v>38</v>
      </c>
      <c r="N134" s="202">
        <f t="shared" ca="1" si="6"/>
        <v>-0.12570193840526214</v>
      </c>
      <c r="O134" s="202">
        <f t="shared" ca="1" si="6"/>
        <v>-7.4615650062903632E-2</v>
      </c>
      <c r="P134" s="202">
        <f t="shared" ca="1" si="6"/>
        <v>-0.1168127226941606</v>
      </c>
      <c r="Q134" s="202">
        <f t="shared" ca="1" si="6"/>
        <v>-0.12942169638861414</v>
      </c>
      <c r="R134" s="202">
        <f t="shared" ca="1" si="6"/>
        <v>-0.12642725601670551</v>
      </c>
      <c r="S134" s="202">
        <f t="shared" ca="1" si="6"/>
        <v>-0.15077521584987547</v>
      </c>
      <c r="T134" s="187"/>
      <c r="U134" s="199"/>
      <c r="V134" s="206">
        <v>12</v>
      </c>
      <c r="W134" s="207" t="s">
        <v>38</v>
      </c>
      <c r="X134" s="202">
        <f t="shared" ca="1" si="7"/>
        <v>-0.11782667259140722</v>
      </c>
      <c r="Y134" s="202">
        <f t="shared" ca="1" si="7"/>
        <v>-7.7575842362814992E-2</v>
      </c>
      <c r="Z134" s="202">
        <f t="shared" ca="1" si="7"/>
        <v>-0.11797300475806841</v>
      </c>
      <c r="AA134" s="202">
        <f t="shared" ca="1" si="7"/>
        <v>-0.13117587326092614</v>
      </c>
      <c r="AB134" s="202">
        <f t="shared" ca="1" si="7"/>
        <v>-0.12407025087686004</v>
      </c>
      <c r="AC134" s="202">
        <f t="shared" ca="1" si="7"/>
        <v>-0.1501090930453953</v>
      </c>
    </row>
    <row r="135" spans="1:29" ht="14.25" customHeight="1">
      <c r="A135" s="199"/>
      <c r="B135" s="206">
        <v>13</v>
      </c>
      <c r="C135" s="207" t="s">
        <v>39</v>
      </c>
      <c r="D135" s="202">
        <f t="shared" ca="1" si="3"/>
        <v>-0.11973805087043533</v>
      </c>
      <c r="E135" s="202">
        <f t="shared" ca="1" si="3"/>
        <v>-0.13266265729739707</v>
      </c>
      <c r="F135" s="202">
        <f t="shared" ca="1" si="3"/>
        <v>-0.11329992934631615</v>
      </c>
      <c r="G135" s="202">
        <f t="shared" ca="1" si="3"/>
        <v>-0.13815584641617379</v>
      </c>
      <c r="H135" s="202">
        <f t="shared" ca="1" si="3"/>
        <v>-0.10192587360297838</v>
      </c>
      <c r="I135" s="202">
        <f t="shared" ca="1" si="3"/>
        <v>-0.10134921491131058</v>
      </c>
      <c r="J135" s="187"/>
      <c r="K135" s="199"/>
      <c r="L135" s="206">
        <v>13</v>
      </c>
      <c r="M135" s="207" t="s">
        <v>39</v>
      </c>
      <c r="N135" s="202">
        <f t="shared" ca="1" si="6"/>
        <v>-0.12654543682149935</v>
      </c>
      <c r="O135" s="202">
        <f t="shared" ca="1" si="6"/>
        <v>-0.12321260451045205</v>
      </c>
      <c r="P135" s="202">
        <f t="shared" ca="1" si="6"/>
        <v>-0.11241095111415103</v>
      </c>
      <c r="Q135" s="202">
        <f t="shared" ca="1" si="6"/>
        <v>-0.13264638525815931</v>
      </c>
      <c r="R135" s="202">
        <f t="shared" ca="1" si="6"/>
        <v>-0.10389661415703651</v>
      </c>
      <c r="S135" s="202">
        <f t="shared" ca="1" si="6"/>
        <v>-0.10119219840254887</v>
      </c>
      <c r="T135" s="187"/>
      <c r="U135" s="199"/>
      <c r="V135" s="206">
        <v>13</v>
      </c>
      <c r="W135" s="207" t="s">
        <v>39</v>
      </c>
      <c r="X135" s="202">
        <f t="shared" ca="1" si="7"/>
        <v>-0.12322172275925361</v>
      </c>
      <c r="Y135" s="202">
        <f t="shared" ca="1" si="7"/>
        <v>-0.12774157479309817</v>
      </c>
      <c r="Z135" s="202">
        <f t="shared" ca="1" si="7"/>
        <v>-0.11287873123897471</v>
      </c>
      <c r="AA135" s="202">
        <f t="shared" ca="1" si="7"/>
        <v>-0.13529469018032864</v>
      </c>
      <c r="AB135" s="202">
        <f t="shared" ca="1" si="7"/>
        <v>-0.10290068264513944</v>
      </c>
      <c r="AC135" s="202">
        <f t="shared" ca="1" si="7"/>
        <v>-0.10127063855073895</v>
      </c>
    </row>
    <row r="136" spans="1:29" ht="14.25" customHeight="1">
      <c r="A136" s="199"/>
      <c r="B136" s="206">
        <v>14</v>
      </c>
      <c r="C136" s="207" t="s">
        <v>40</v>
      </c>
      <c r="D136" s="202">
        <f t="shared" ca="1" si="3"/>
        <v>-3.5696490134959451E-2</v>
      </c>
      <c r="E136" s="202">
        <f t="shared" ca="1" si="3"/>
        <v>-9.2664882064760604E-2</v>
      </c>
      <c r="F136" s="202">
        <f t="shared" ca="1" si="3"/>
        <v>-9.3943164175749078E-2</v>
      </c>
      <c r="G136" s="202">
        <f t="shared" ca="1" si="3"/>
        <v>-0.12596036759204207</v>
      </c>
      <c r="H136" s="202">
        <f t="shared" ca="1" si="3"/>
        <v>-7.7805818155849402E-2</v>
      </c>
      <c r="I136" s="202">
        <f t="shared" ca="1" si="3"/>
        <v>-0.14074114233352805</v>
      </c>
      <c r="J136" s="187"/>
      <c r="K136" s="199"/>
      <c r="L136" s="206">
        <v>14</v>
      </c>
      <c r="M136" s="207" t="s">
        <v>40</v>
      </c>
      <c r="N136" s="202">
        <f t="shared" ca="1" si="6"/>
        <v>-3.4863611789588092E-2</v>
      </c>
      <c r="O136" s="202">
        <f t="shared" ca="1" si="6"/>
        <v>-8.5677586049215368E-2</v>
      </c>
      <c r="P136" s="202">
        <f t="shared" ca="1" si="6"/>
        <v>-0.11218819609911547</v>
      </c>
      <c r="Q136" s="202">
        <f t="shared" ca="1" si="6"/>
        <v>-0.11820607467328889</v>
      </c>
      <c r="R136" s="202">
        <f t="shared" ca="1" si="6"/>
        <v>-6.1310566171108957E-2</v>
      </c>
      <c r="S136" s="202">
        <f t="shared" ca="1" si="6"/>
        <v>-0.14053604692674188</v>
      </c>
      <c r="T136" s="187"/>
      <c r="U136" s="199"/>
      <c r="V136" s="206">
        <v>14</v>
      </c>
      <c r="W136" s="207" t="s">
        <v>40</v>
      </c>
      <c r="X136" s="202">
        <f t="shared" ca="1" si="7"/>
        <v>-3.5274670164137281E-2</v>
      </c>
      <c r="Y136" s="202">
        <f t="shared" ca="1" si="7"/>
        <v>-8.9018510860038827E-2</v>
      </c>
      <c r="Z136" s="202">
        <f t="shared" ca="1" si="7"/>
        <v>-0.10282012858740555</v>
      </c>
      <c r="AA136" s="202">
        <f t="shared" ca="1" si="7"/>
        <v>-0.12194497168860804</v>
      </c>
      <c r="AB136" s="202">
        <f t="shared" ca="1" si="7"/>
        <v>-6.9879346104386494E-2</v>
      </c>
      <c r="AC136" s="202">
        <f t="shared" ca="1" si="7"/>
        <v>-0.1406385105272078</v>
      </c>
    </row>
    <row r="137" spans="1:29" ht="14.25" customHeight="1">
      <c r="A137" s="199"/>
      <c r="B137" s="206">
        <v>15</v>
      </c>
      <c r="C137" s="207" t="s">
        <v>41</v>
      </c>
      <c r="D137" s="202">
        <f t="shared" ca="1" si="3"/>
        <v>-0.1174807540068539</v>
      </c>
      <c r="E137" s="202">
        <f t="shared" ca="1" si="3"/>
        <v>-8.2206702852131205E-2</v>
      </c>
      <c r="F137" s="202">
        <f t="shared" ca="1" si="3"/>
        <v>-0.11784573611880558</v>
      </c>
      <c r="G137" s="202">
        <f t="shared" ca="1" si="3"/>
        <v>-0.11746236127127767</v>
      </c>
      <c r="H137" s="202">
        <f t="shared" ca="1" si="3"/>
        <v>-0.12842071446924749</v>
      </c>
      <c r="I137" s="202">
        <f t="shared" ca="1" si="3"/>
        <v>-0.1162408650842906</v>
      </c>
      <c r="J137" s="187"/>
      <c r="K137" s="199"/>
      <c r="L137" s="206">
        <v>15</v>
      </c>
      <c r="M137" s="207" t="s">
        <v>41</v>
      </c>
      <c r="N137" s="202">
        <f t="shared" ca="1" si="6"/>
        <v>-0.10939938509329777</v>
      </c>
      <c r="O137" s="202">
        <f t="shared" ca="1" si="6"/>
        <v>-0.11787956518685254</v>
      </c>
      <c r="P137" s="202">
        <f t="shared" ca="1" si="6"/>
        <v>-0.12111656934867707</v>
      </c>
      <c r="Q137" s="202">
        <f t="shared" ca="1" si="6"/>
        <v>-0.11981958927368995</v>
      </c>
      <c r="R137" s="202">
        <f t="shared" ca="1" si="6"/>
        <v>-0.13927348858118052</v>
      </c>
      <c r="S137" s="202">
        <f t="shared" ca="1" si="6"/>
        <v>-0.11648935063062557</v>
      </c>
      <c r="T137" s="187"/>
      <c r="U137" s="199"/>
      <c r="V137" s="206">
        <v>15</v>
      </c>
      <c r="W137" s="207" t="s">
        <v>41</v>
      </c>
      <c r="X137" s="202">
        <f t="shared" ca="1" si="7"/>
        <v>-0.11342274811918771</v>
      </c>
      <c r="Y137" s="202">
        <f t="shared" ca="1" si="7"/>
        <v>-0.10184710437915373</v>
      </c>
      <c r="Z137" s="202">
        <f t="shared" ca="1" si="7"/>
        <v>-0.11940420862989504</v>
      </c>
      <c r="AA137" s="202">
        <f t="shared" ca="1" si="7"/>
        <v>-0.11869825868254313</v>
      </c>
      <c r="AB137" s="202">
        <f t="shared" ca="1" si="7"/>
        <v>-0.13384906659745432</v>
      </c>
      <c r="AC137" s="202">
        <f t="shared" ca="1" si="7"/>
        <v>-0.11636528172457644</v>
      </c>
    </row>
    <row r="138" spans="1:29" ht="14.25" customHeight="1">
      <c r="A138" s="199"/>
      <c r="B138" s="206">
        <v>16</v>
      </c>
      <c r="C138" s="207" t="s">
        <v>42</v>
      </c>
      <c r="D138" s="202">
        <f t="shared" ca="1" si="3"/>
        <v>-0.12548749229746195</v>
      </c>
      <c r="E138" s="202">
        <f t="shared" ca="1" si="3"/>
        <v>-0.123413744101669</v>
      </c>
      <c r="F138" s="202">
        <f t="shared" ca="1" si="3"/>
        <v>-0.11369949937124793</v>
      </c>
      <c r="G138" s="202">
        <f t="shared" ca="1" si="3"/>
        <v>-9.8266377099212196E-2</v>
      </c>
      <c r="H138" s="202">
        <f t="shared" ca="1" si="3"/>
        <v>-0.10985029116566723</v>
      </c>
      <c r="I138" s="202">
        <f t="shared" ca="1" si="3"/>
        <v>-0.1162408650842906</v>
      </c>
      <c r="J138" s="187"/>
      <c r="K138" s="199"/>
      <c r="L138" s="206">
        <v>16</v>
      </c>
      <c r="M138" s="207" t="s">
        <v>42</v>
      </c>
      <c r="N138" s="202">
        <f t="shared" ca="1" si="6"/>
        <v>-0.11371819482259649</v>
      </c>
      <c r="O138" s="202">
        <f t="shared" ca="1" si="6"/>
        <v>-0.13034620144885117</v>
      </c>
      <c r="P138" s="202">
        <f t="shared" ca="1" si="6"/>
        <v>-0.11129457739734594</v>
      </c>
      <c r="Q138" s="202">
        <f t="shared" ca="1" si="6"/>
        <v>-0.11286726915032473</v>
      </c>
      <c r="R138" s="202">
        <f t="shared" ca="1" si="6"/>
        <v>-0.11949909090901839</v>
      </c>
      <c r="S138" s="202">
        <f t="shared" ca="1" si="6"/>
        <v>-0.11901727053546497</v>
      </c>
      <c r="T138" s="187"/>
      <c r="U138" s="199"/>
      <c r="V138" s="206">
        <v>16</v>
      </c>
      <c r="W138" s="207" t="s">
        <v>42</v>
      </c>
      <c r="X138" s="202">
        <f t="shared" ca="1" si="7"/>
        <v>-0.11960481637993035</v>
      </c>
      <c r="Y138" s="202">
        <f t="shared" ca="1" si="7"/>
        <v>-0.1270957997029814</v>
      </c>
      <c r="Z138" s="202">
        <f t="shared" ca="1" si="7"/>
        <v>-0.1125624162810747</v>
      </c>
      <c r="AA138" s="202">
        <f t="shared" ca="1" si="7"/>
        <v>-0.10604026449060905</v>
      </c>
      <c r="AB138" s="202">
        <f t="shared" ca="1" si="7"/>
        <v>-0.11467068770640002</v>
      </c>
      <c r="AC138" s="202">
        <f t="shared" ca="1" si="7"/>
        <v>-0.11763553661710269</v>
      </c>
    </row>
    <row r="139" spans="1:29" ht="14.25" customHeight="1">
      <c r="A139" s="199"/>
      <c r="B139" s="206">
        <v>17</v>
      </c>
      <c r="C139" s="207" t="s">
        <v>43</v>
      </c>
      <c r="D139" s="202">
        <f t="shared" ref="D139:I154" ca="1" si="8">IF(AND(ISNUMBER($B139),ISNUMBER(D$5)),IF(D82=0,0,((D82/D$120)*(LN(D82/D$120)))),"")</f>
        <v>-0.14556882254229964</v>
      </c>
      <c r="E139" s="202">
        <f t="shared" ca="1" si="8"/>
        <v>-0.17616183204151972</v>
      </c>
      <c r="F139" s="202">
        <f t="shared" ca="1" si="8"/>
        <v>-0.16272423670508615</v>
      </c>
      <c r="G139" s="202">
        <f t="shared" ca="1" si="8"/>
        <v>-0.13471836257429312</v>
      </c>
      <c r="H139" s="202">
        <f t="shared" ca="1" si="8"/>
        <v>-0.14538635918565745</v>
      </c>
      <c r="I139" s="202">
        <f t="shared" ca="1" si="8"/>
        <v>-0.15546076094379443</v>
      </c>
      <c r="J139" s="187"/>
      <c r="K139" s="199"/>
      <c r="L139" s="206">
        <v>17</v>
      </c>
      <c r="M139" s="207" t="s">
        <v>43</v>
      </c>
      <c r="N139" s="202">
        <f t="shared" ca="1" si="6"/>
        <v>-0.15068289781628438</v>
      </c>
      <c r="O139" s="202">
        <f t="shared" ca="1" si="6"/>
        <v>-0.15141185972204915</v>
      </c>
      <c r="P139" s="202">
        <f t="shared" ca="1" si="6"/>
        <v>-0.15577133161096537</v>
      </c>
      <c r="Q139" s="202">
        <f t="shared" ca="1" si="6"/>
        <v>-0.12633772538390281</v>
      </c>
      <c r="R139" s="202">
        <f t="shared" ca="1" si="6"/>
        <v>-0.15490841113366319</v>
      </c>
      <c r="S139" s="202">
        <f t="shared" ca="1" si="6"/>
        <v>-0.15616696493797563</v>
      </c>
      <c r="T139" s="187"/>
      <c r="U139" s="199"/>
      <c r="V139" s="206">
        <v>17</v>
      </c>
      <c r="W139" s="207" t="s">
        <v>43</v>
      </c>
      <c r="X139" s="202">
        <f t="shared" ca="1" si="7"/>
        <v>-0.14818010901316289</v>
      </c>
      <c r="Y139" s="202">
        <f t="shared" ca="1" si="7"/>
        <v>-0.16351126723758472</v>
      </c>
      <c r="Z139" s="202">
        <f t="shared" ca="1" si="7"/>
        <v>-0.15945625538873653</v>
      </c>
      <c r="AA139" s="202">
        <f t="shared" ca="1" si="7"/>
        <v>-0.13038151017281388</v>
      </c>
      <c r="AB139" s="202">
        <f t="shared" ca="1" si="7"/>
        <v>-0.15014074723963569</v>
      </c>
      <c r="AC139" s="202">
        <f t="shared" ca="1" si="7"/>
        <v>-0.15581455698147056</v>
      </c>
    </row>
    <row r="140" spans="1:29" ht="14.25" customHeight="1">
      <c r="A140" s="199"/>
      <c r="B140" s="206">
        <v>18</v>
      </c>
      <c r="C140" s="207" t="s">
        <v>44</v>
      </c>
      <c r="D140" s="202">
        <f t="shared" ca="1" si="8"/>
        <v>-0.13022407858333346</v>
      </c>
      <c r="E140" s="202">
        <f t="shared" ca="1" si="8"/>
        <v>-0.13556444513095839</v>
      </c>
      <c r="F140" s="202">
        <f t="shared" ca="1" si="8"/>
        <v>-0.14068385372604136</v>
      </c>
      <c r="G140" s="202">
        <f t="shared" ca="1" si="8"/>
        <v>-0.14369099011317071</v>
      </c>
      <c r="H140" s="202">
        <f t="shared" ca="1" si="8"/>
        <v>-0.12410922237900672</v>
      </c>
      <c r="I140" s="202">
        <f t="shared" ca="1" si="8"/>
        <v>-0.1045433409047436</v>
      </c>
      <c r="J140" s="187"/>
      <c r="K140" s="199"/>
      <c r="L140" s="206">
        <v>18</v>
      </c>
      <c r="M140" s="207" t="s">
        <v>44</v>
      </c>
      <c r="N140" s="202">
        <f t="shared" ca="1" si="6"/>
        <v>-0.13458559701077974</v>
      </c>
      <c r="O140" s="202">
        <f t="shared" ca="1" si="6"/>
        <v>-0.14545753951476931</v>
      </c>
      <c r="P140" s="202">
        <f t="shared" ca="1" si="6"/>
        <v>-0.1314790163403958</v>
      </c>
      <c r="Q140" s="202">
        <f t="shared" ca="1" si="6"/>
        <v>-0.15165053450152849</v>
      </c>
      <c r="R140" s="202">
        <f t="shared" ca="1" si="6"/>
        <v>-0.12642725601670551</v>
      </c>
      <c r="S140" s="202">
        <f t="shared" ca="1" si="6"/>
        <v>-0.10573285798429108</v>
      </c>
      <c r="T140" s="187"/>
      <c r="U140" s="199"/>
      <c r="V140" s="206">
        <v>18</v>
      </c>
      <c r="W140" s="207" t="s">
        <v>44</v>
      </c>
      <c r="X140" s="202">
        <f t="shared" ca="1" si="7"/>
        <v>-0.13244913356576743</v>
      </c>
      <c r="Y140" s="202">
        <f t="shared" ca="1" si="7"/>
        <v>-0.14083684367128757</v>
      </c>
      <c r="Z140" s="202">
        <f t="shared" ca="1" si="7"/>
        <v>-0.1363705253454999</v>
      </c>
      <c r="AA140" s="202">
        <f t="shared" ca="1" si="7"/>
        <v>-0.1478917971824717</v>
      </c>
      <c r="AB140" s="202">
        <f t="shared" ca="1" si="7"/>
        <v>-0.12525619291055698</v>
      </c>
      <c r="AC140" s="202">
        <f t="shared" ca="1" si="7"/>
        <v>-0.10513967917021332</v>
      </c>
    </row>
    <row r="141" spans="1:29" ht="14.25" customHeight="1">
      <c r="A141" s="199"/>
      <c r="B141" s="206">
        <v>19</v>
      </c>
      <c r="C141" s="207" t="s">
        <v>45</v>
      </c>
      <c r="D141" s="202">
        <f t="shared" ca="1" si="8"/>
        <v>-6.8671870799186283E-2</v>
      </c>
      <c r="E141" s="202">
        <f t="shared" ca="1" si="8"/>
        <v>-8.1160765086866607E-2</v>
      </c>
      <c r="F141" s="202">
        <f t="shared" ca="1" si="8"/>
        <v>-8.9452826265967927E-2</v>
      </c>
      <c r="G141" s="202">
        <f t="shared" ca="1" si="8"/>
        <v>-9.7772795902064849E-2</v>
      </c>
      <c r="H141" s="202">
        <f t="shared" ca="1" si="8"/>
        <v>-7.7158242043680159E-2</v>
      </c>
      <c r="I141" s="202">
        <f t="shared" ca="1" si="8"/>
        <v>-0.13885381052699314</v>
      </c>
      <c r="J141" s="187"/>
      <c r="K141" s="199"/>
      <c r="L141" s="206">
        <v>19</v>
      </c>
      <c r="M141" s="207" t="s">
        <v>45</v>
      </c>
      <c r="N141" s="202">
        <f t="shared" ca="1" si="6"/>
        <v>-6.7152081761070764E-2</v>
      </c>
      <c r="O141" s="202">
        <f t="shared" ca="1" si="6"/>
        <v>-8.810997827681806E-2</v>
      </c>
      <c r="P141" s="202">
        <f t="shared" ca="1" si="6"/>
        <v>-0.1144042037474881</v>
      </c>
      <c r="Q141" s="202">
        <f t="shared" ca="1" si="6"/>
        <v>-9.1505501219960664E-2</v>
      </c>
      <c r="R141" s="202">
        <f t="shared" ca="1" si="6"/>
        <v>-6.0573153965979919E-2</v>
      </c>
      <c r="S141" s="202">
        <f t="shared" ca="1" si="6"/>
        <v>-0.13890324151699998</v>
      </c>
      <c r="T141" s="187"/>
      <c r="U141" s="199"/>
      <c r="V141" s="206">
        <v>19</v>
      </c>
      <c r="W141" s="207" t="s">
        <v>45</v>
      </c>
      <c r="X141" s="202">
        <f t="shared" ca="1" si="7"/>
        <v>-6.7902544738641213E-2</v>
      </c>
      <c r="Y141" s="202">
        <f t="shared" ca="1" si="7"/>
        <v>-8.4855528729463461E-2</v>
      </c>
      <c r="Z141" s="202">
        <f t="shared" ca="1" si="7"/>
        <v>-0.10170593830290751</v>
      </c>
      <c r="AA141" s="202">
        <f t="shared" ca="1" si="7"/>
        <v>-9.4523220965464796E-2</v>
      </c>
      <c r="AB141" s="202">
        <f t="shared" ca="1" si="7"/>
        <v>-6.9190747874350256E-2</v>
      </c>
      <c r="AC141" s="202">
        <f t="shared" ca="1" si="7"/>
        <v>-0.13887855420584233</v>
      </c>
    </row>
    <row r="142" spans="1:29" ht="14.25" customHeight="1">
      <c r="A142" s="199"/>
      <c r="B142" s="206">
        <v>20</v>
      </c>
      <c r="C142" s="207" t="s">
        <v>46</v>
      </c>
      <c r="D142" s="202">
        <f t="shared" ca="1" si="8"/>
        <v>-0.13422515496336085</v>
      </c>
      <c r="E142" s="202">
        <f t="shared" ca="1" si="8"/>
        <v>-0.11718763865410382</v>
      </c>
      <c r="F142" s="202">
        <f t="shared" ca="1" si="8"/>
        <v>-0.1156850044456286</v>
      </c>
      <c r="G142" s="202">
        <f t="shared" ca="1" si="8"/>
        <v>-0.13694940899769922</v>
      </c>
      <c r="H142" s="202">
        <f t="shared" ca="1" si="8"/>
        <v>-0.12326911020264519</v>
      </c>
      <c r="I142" s="202">
        <f t="shared" ca="1" si="8"/>
        <v>-0.11807615620615527</v>
      </c>
      <c r="J142" s="187"/>
      <c r="K142" s="199"/>
      <c r="L142" s="206">
        <v>20</v>
      </c>
      <c r="M142" s="207" t="s">
        <v>46</v>
      </c>
      <c r="N142" s="202">
        <f t="shared" ca="1" si="6"/>
        <v>-0.13153186603304051</v>
      </c>
      <c r="O142" s="202">
        <f t="shared" ca="1" si="6"/>
        <v>-0.10865067936205527</v>
      </c>
      <c r="P142" s="202">
        <f t="shared" ca="1" si="6"/>
        <v>-0.11374207979562263</v>
      </c>
      <c r="Q142" s="202">
        <f t="shared" ca="1" si="6"/>
        <v>-0.13747875657333092</v>
      </c>
      <c r="R142" s="202">
        <f t="shared" ca="1" si="6"/>
        <v>-0.12642725601670551</v>
      </c>
      <c r="S142" s="202">
        <f t="shared" ca="1" si="6"/>
        <v>-0.11733566005431209</v>
      </c>
      <c r="T142" s="187"/>
      <c r="U142" s="199"/>
      <c r="V142" s="206">
        <v>20</v>
      </c>
      <c r="W142" s="207" t="s">
        <v>46</v>
      </c>
      <c r="X142" s="202">
        <f t="shared" ca="1" si="7"/>
        <v>-0.13286316814428989</v>
      </c>
      <c r="Y142" s="202">
        <f t="shared" ca="1" si="7"/>
        <v>-0.11273824570826615</v>
      </c>
      <c r="Z142" s="202">
        <f t="shared" ca="1" si="7"/>
        <v>-0.11476576629065914</v>
      </c>
      <c r="AA142" s="202">
        <f t="shared" ca="1" si="7"/>
        <v>-0.1372263211362241</v>
      </c>
      <c r="AB142" s="202">
        <f t="shared" ca="1" si="7"/>
        <v>-0.12483346562845542</v>
      </c>
      <c r="AC142" s="202">
        <f t="shared" ca="1" si="7"/>
        <v>-0.11770586261267897</v>
      </c>
    </row>
    <row r="143" spans="1:29" ht="14.25" customHeight="1">
      <c r="A143" s="199"/>
      <c r="B143" s="206">
        <v>21</v>
      </c>
      <c r="C143" s="207" t="s">
        <v>47</v>
      </c>
      <c r="D143" s="202">
        <f t="shared" ca="1" si="8"/>
        <v>-0.14674670231057091</v>
      </c>
      <c r="E143" s="202">
        <f t="shared" ca="1" si="8"/>
        <v>-0.14326921460968262</v>
      </c>
      <c r="F143" s="202">
        <f t="shared" ca="1" si="8"/>
        <v>-0.1676447411884904</v>
      </c>
      <c r="G143" s="202">
        <f t="shared" ca="1" si="8"/>
        <v>-0.14620943954140558</v>
      </c>
      <c r="H143" s="202">
        <f t="shared" ca="1" si="8"/>
        <v>-0.15029406757257396</v>
      </c>
      <c r="I143" s="202">
        <f t="shared" ca="1" si="8"/>
        <v>-0.15039595957625551</v>
      </c>
      <c r="J143" s="187"/>
      <c r="K143" s="199"/>
      <c r="L143" s="206">
        <v>21</v>
      </c>
      <c r="M143" s="207" t="s">
        <v>47</v>
      </c>
      <c r="N143" s="202">
        <f t="shared" ref="N143:S152" ca="1" si="9">IF(AND(ISNUMBER($L143),ISNUMBER(N$5)),IF(N86=0,0,((N86/N$120)*(LN(N86/N$120)))),"")</f>
        <v>-0.14386031775766514</v>
      </c>
      <c r="O143" s="202">
        <f t="shared" ca="1" si="9"/>
        <v>-0.14297971117720476</v>
      </c>
      <c r="P143" s="202">
        <f t="shared" ca="1" si="9"/>
        <v>-0.16857029956918046</v>
      </c>
      <c r="Q143" s="202">
        <f t="shared" ca="1" si="9"/>
        <v>-0.13747875657333092</v>
      </c>
      <c r="R143" s="202">
        <f t="shared" ca="1" si="9"/>
        <v>-0.14006922895217203</v>
      </c>
      <c r="S143" s="202">
        <f t="shared" ca="1" si="9"/>
        <v>-0.15101270126050401</v>
      </c>
      <c r="T143" s="187"/>
      <c r="U143" s="199"/>
      <c r="V143" s="206">
        <v>21</v>
      </c>
      <c r="W143" s="207" t="s">
        <v>47</v>
      </c>
      <c r="X143" s="202">
        <f t="shared" ref="X143:AC152" ca="1" si="10">IF(AND(ISNUMBER($V143),ISNUMBER(X$5)),IF(X86=0,0,((X86/X$120)*(LN(X86/X$120)))),"")</f>
        <v>-0.14528738503244232</v>
      </c>
      <c r="Y143" s="202">
        <f t="shared" ca="1" si="10"/>
        <v>-0.14311677444588339</v>
      </c>
      <c r="Z143" s="202">
        <f t="shared" ca="1" si="10"/>
        <v>-0.16808434623059915</v>
      </c>
      <c r="AA143" s="202">
        <f t="shared" ca="1" si="10"/>
        <v>-0.14169299989231776</v>
      </c>
      <c r="AB143" s="202">
        <f t="shared" ca="1" si="10"/>
        <v>-0.1453155136731209</v>
      </c>
      <c r="AC143" s="202">
        <f t="shared" ca="1" si="10"/>
        <v>-0.15070490163224501</v>
      </c>
    </row>
    <row r="144" spans="1:29" ht="14.25" customHeight="1">
      <c r="A144" s="199"/>
      <c r="B144" s="206">
        <v>22</v>
      </c>
      <c r="C144" s="207" t="s">
        <v>48</v>
      </c>
      <c r="D144" s="202">
        <f t="shared" ca="1" si="8"/>
        <v>-0.10456862776664753</v>
      </c>
      <c r="E144" s="202">
        <f t="shared" ca="1" si="8"/>
        <v>-3.5070215428456376E-2</v>
      </c>
      <c r="F144" s="202">
        <f t="shared" ca="1" si="8"/>
        <v>-0.10196999805931896</v>
      </c>
      <c r="G144" s="202">
        <f t="shared" ca="1" si="8"/>
        <v>-8.8392099847523511E-2</v>
      </c>
      <c r="H144" s="202">
        <f t="shared" ca="1" si="8"/>
        <v>-0.10286463712786977</v>
      </c>
      <c r="I144" s="202">
        <f t="shared" ca="1" si="8"/>
        <v>-9.5108968946986297E-2</v>
      </c>
      <c r="J144" s="187"/>
      <c r="K144" s="199"/>
      <c r="L144" s="206">
        <v>22</v>
      </c>
      <c r="M144" s="207" t="s">
        <v>48</v>
      </c>
      <c r="N144" s="202">
        <f t="shared" ca="1" si="9"/>
        <v>-8.0335617163851722E-2</v>
      </c>
      <c r="O144" s="202">
        <f t="shared" ca="1" si="9"/>
        <v>-5.1816777293139049E-2</v>
      </c>
      <c r="P144" s="202">
        <f t="shared" ca="1" si="9"/>
        <v>-9.7598885620953396E-2</v>
      </c>
      <c r="Q144" s="202">
        <f t="shared" ca="1" si="9"/>
        <v>-8.240508049252504E-2</v>
      </c>
      <c r="R144" s="202">
        <f t="shared" ca="1" si="9"/>
        <v>-0.10805880436658974</v>
      </c>
      <c r="S144" s="202">
        <f t="shared" ca="1" si="9"/>
        <v>-0.10195666004526346</v>
      </c>
      <c r="T144" s="187"/>
      <c r="U144" s="199"/>
      <c r="V144" s="206">
        <v>22</v>
      </c>
      <c r="W144" s="207" t="s">
        <v>48</v>
      </c>
      <c r="X144" s="202">
        <f t="shared" ca="1" si="10"/>
        <v>-9.2678788435003115E-2</v>
      </c>
      <c r="Y144" s="202">
        <f t="shared" ca="1" si="10"/>
        <v>-4.4168422042205863E-2</v>
      </c>
      <c r="Z144" s="202">
        <f t="shared" ca="1" si="10"/>
        <v>-9.9909272097243748E-2</v>
      </c>
      <c r="AA144" s="202">
        <f t="shared" ca="1" si="10"/>
        <v>-8.5287631510114939E-2</v>
      </c>
      <c r="AB144" s="202">
        <f t="shared" ca="1" si="10"/>
        <v>-0.10544493310694202</v>
      </c>
      <c r="AC144" s="202">
        <f t="shared" ca="1" si="10"/>
        <v>-9.8568220564744125E-2</v>
      </c>
    </row>
    <row r="145" spans="1:29" ht="14.25" customHeight="1">
      <c r="A145" s="199"/>
      <c r="B145" s="206">
        <v>23</v>
      </c>
      <c r="C145" s="207" t="s">
        <v>49</v>
      </c>
      <c r="D145" s="202">
        <f t="shared" ca="1" si="8"/>
        <v>-0.14694233991675706</v>
      </c>
      <c r="E145" s="202">
        <f t="shared" ca="1" si="8"/>
        <v>-0.13504000075602926</v>
      </c>
      <c r="F145" s="202">
        <f t="shared" ca="1" si="8"/>
        <v>-0.12569426702391984</v>
      </c>
      <c r="G145" s="202">
        <f t="shared" ca="1" si="8"/>
        <v>-0.14271380566097197</v>
      </c>
      <c r="H145" s="202">
        <f t="shared" ca="1" si="8"/>
        <v>-0.13755532514392124</v>
      </c>
      <c r="I145" s="202">
        <f t="shared" ca="1" si="8"/>
        <v>-0.11652435279249861</v>
      </c>
      <c r="J145" s="187"/>
      <c r="K145" s="199"/>
      <c r="L145" s="206">
        <v>23</v>
      </c>
      <c r="M145" s="207" t="s">
        <v>49</v>
      </c>
      <c r="N145" s="202">
        <f t="shared" ca="1" si="9"/>
        <v>-0.14558800523402318</v>
      </c>
      <c r="O145" s="202">
        <f t="shared" ca="1" si="9"/>
        <v>-0.14047063076213995</v>
      </c>
      <c r="P145" s="202">
        <f t="shared" ca="1" si="9"/>
        <v>-0.1144042037474881</v>
      </c>
      <c r="Q145" s="202">
        <f t="shared" ca="1" si="9"/>
        <v>-0.14291214898257901</v>
      </c>
      <c r="R145" s="202">
        <f t="shared" ca="1" si="9"/>
        <v>-0.14006922895217203</v>
      </c>
      <c r="S145" s="202">
        <f t="shared" ca="1" si="9"/>
        <v>-0.11549728515566986</v>
      </c>
      <c r="T145" s="187"/>
      <c r="U145" s="199"/>
      <c r="V145" s="206">
        <v>23</v>
      </c>
      <c r="W145" s="207" t="s">
        <v>49</v>
      </c>
      <c r="X145" s="202">
        <f t="shared" ca="1" si="10"/>
        <v>-0.14625630352003385</v>
      </c>
      <c r="Y145" s="202">
        <f t="shared" ca="1" si="10"/>
        <v>-0.13791903675384756</v>
      </c>
      <c r="Z145" s="202">
        <f t="shared" ca="1" si="10"/>
        <v>-0.12042008228732708</v>
      </c>
      <c r="AA145" s="202">
        <f t="shared" ca="1" si="10"/>
        <v>-0.14281752161334535</v>
      </c>
      <c r="AB145" s="202">
        <f t="shared" ca="1" si="10"/>
        <v>-0.13879947649524352</v>
      </c>
      <c r="AC145" s="202">
        <f t="shared" ca="1" si="10"/>
        <v>-0.11601094780646977</v>
      </c>
    </row>
    <row r="146" spans="1:29" ht="14.25" customHeight="1">
      <c r="A146" s="199"/>
      <c r="B146" s="206">
        <v>24</v>
      </c>
      <c r="C146" s="207" t="s">
        <v>50</v>
      </c>
      <c r="D146" s="202">
        <f t="shared" ca="1" si="8"/>
        <v>-8.1841871379409389E-2</v>
      </c>
      <c r="E146" s="202">
        <f t="shared" ca="1" si="8"/>
        <v>-0.1128249154169054</v>
      </c>
      <c r="F146" s="202">
        <f t="shared" ca="1" si="8"/>
        <v>-9.8108657690693241E-2</v>
      </c>
      <c r="G146" s="202">
        <f t="shared" ca="1" si="8"/>
        <v>-0.10408922340232656</v>
      </c>
      <c r="H146" s="202">
        <f t="shared" ca="1" si="8"/>
        <v>-0.10022410605924782</v>
      </c>
      <c r="I146" s="202">
        <f t="shared" ca="1" si="8"/>
        <v>-0.10333294250457888</v>
      </c>
      <c r="J146" s="187"/>
      <c r="K146" s="199"/>
      <c r="L146" s="206">
        <v>24</v>
      </c>
      <c r="M146" s="207" t="s">
        <v>50</v>
      </c>
      <c r="N146" s="202">
        <f t="shared" ca="1" si="9"/>
        <v>-8.0335617163851722E-2</v>
      </c>
      <c r="O146" s="202">
        <f t="shared" ca="1" si="9"/>
        <v>-0.1059298629225213</v>
      </c>
      <c r="P146" s="202">
        <f t="shared" ca="1" si="9"/>
        <v>-7.856251847422431E-2</v>
      </c>
      <c r="Q146" s="202">
        <f t="shared" ca="1" si="9"/>
        <v>-9.6115717355879426E-2</v>
      </c>
      <c r="R146" s="202">
        <f t="shared" ca="1" si="9"/>
        <v>-0.10216701217854374</v>
      </c>
      <c r="S146" s="202">
        <f t="shared" ca="1" si="9"/>
        <v>-0.10662798530350442</v>
      </c>
      <c r="T146" s="187"/>
      <c r="U146" s="199"/>
      <c r="V146" s="206">
        <v>24</v>
      </c>
      <c r="W146" s="207" t="s">
        <v>50</v>
      </c>
      <c r="X146" s="202">
        <f t="shared" ca="1" si="10"/>
        <v>-8.107924720811864E-2</v>
      </c>
      <c r="Y146" s="202">
        <f t="shared" ca="1" si="10"/>
        <v>-0.10922415651755811</v>
      </c>
      <c r="Z146" s="202">
        <f t="shared" ca="1" si="10"/>
        <v>-8.9103346837592287E-2</v>
      </c>
      <c r="AA146" s="202">
        <f t="shared" ca="1" si="10"/>
        <v>-9.996351393949568E-2</v>
      </c>
      <c r="AB146" s="202">
        <f t="shared" ca="1" si="10"/>
        <v>-0.10118512369117892</v>
      </c>
      <c r="AC146" s="202">
        <f t="shared" ca="1" si="10"/>
        <v>-0.10498944459205078</v>
      </c>
    </row>
    <row r="147" spans="1:29" ht="14.25" customHeight="1">
      <c r="A147" s="199"/>
      <c r="B147" s="206">
        <v>25</v>
      </c>
      <c r="C147" s="207" t="s">
        <v>51</v>
      </c>
      <c r="D147" s="202">
        <f t="shared" ca="1" si="8"/>
        <v>-0.10936558534813927</v>
      </c>
      <c r="E147" s="202">
        <f t="shared" ca="1" si="8"/>
        <v>-0.10130468280141572</v>
      </c>
      <c r="F147" s="202">
        <f t="shared" ca="1" si="8"/>
        <v>-0.10864395441812863</v>
      </c>
      <c r="G147" s="202">
        <f t="shared" ca="1" si="8"/>
        <v>-0.10763875851529607</v>
      </c>
      <c r="H147" s="202">
        <f t="shared" ca="1" si="8"/>
        <v>-0.12326911020264519</v>
      </c>
      <c r="I147" s="202">
        <f t="shared" ca="1" si="8"/>
        <v>-9.5900662945391207E-2</v>
      </c>
      <c r="J147" s="187"/>
      <c r="K147" s="199"/>
      <c r="L147" s="206">
        <v>25</v>
      </c>
      <c r="M147" s="207" t="s">
        <v>51</v>
      </c>
      <c r="N147" s="202">
        <f t="shared" ca="1" si="9"/>
        <v>-0.10380008111856633</v>
      </c>
      <c r="O147" s="202">
        <f t="shared" ca="1" si="9"/>
        <v>-0.11967352866514612</v>
      </c>
      <c r="P147" s="202">
        <f t="shared" ca="1" si="9"/>
        <v>-8.9724236481745032E-2</v>
      </c>
      <c r="Q147" s="202">
        <f t="shared" ca="1" si="9"/>
        <v>-0.13414586653119526</v>
      </c>
      <c r="R147" s="202">
        <f t="shared" ca="1" si="9"/>
        <v>-0.11914613914060232</v>
      </c>
      <c r="S147" s="202">
        <f t="shared" ca="1" si="9"/>
        <v>-9.9962495926815248E-2</v>
      </c>
      <c r="T147" s="187"/>
      <c r="U147" s="199"/>
      <c r="V147" s="206">
        <v>25</v>
      </c>
      <c r="W147" s="207" t="s">
        <v>51</v>
      </c>
      <c r="X147" s="202">
        <f t="shared" ca="1" si="10"/>
        <v>-0.10656212148235443</v>
      </c>
      <c r="Y147" s="202">
        <f t="shared" ca="1" si="10"/>
        <v>-0.11119999648386474</v>
      </c>
      <c r="Z147" s="202">
        <f t="shared" ca="1" si="10"/>
        <v>-9.9909272097243748E-2</v>
      </c>
      <c r="AA147" s="202">
        <f t="shared" ca="1" si="10"/>
        <v>-0.12194497168860804</v>
      </c>
      <c r="AB147" s="202">
        <f t="shared" ca="1" si="10"/>
        <v>-0.12124603786021267</v>
      </c>
      <c r="AC147" s="202">
        <f t="shared" ca="1" si="10"/>
        <v>-9.7944949854338562E-2</v>
      </c>
    </row>
    <row r="148" spans="1:29" ht="14.25" customHeight="1">
      <c r="A148" s="199"/>
      <c r="B148" s="206">
        <v>26</v>
      </c>
      <c r="C148" s="207" t="s">
        <v>52</v>
      </c>
      <c r="D148" s="202">
        <f t="shared" ca="1" si="8"/>
        <v>-0.17086421646196137</v>
      </c>
      <c r="E148" s="202">
        <f t="shared" ca="1" si="8"/>
        <v>-0.19640460903646065</v>
      </c>
      <c r="F148" s="202">
        <f t="shared" ca="1" si="8"/>
        <v>-0.16272423670508615</v>
      </c>
      <c r="G148" s="202">
        <f t="shared" ca="1" si="8"/>
        <v>-0.17333926884631803</v>
      </c>
      <c r="H148" s="202">
        <f t="shared" ca="1" si="8"/>
        <v>-0.16018056330486816</v>
      </c>
      <c r="I148" s="202">
        <f t="shared" ca="1" si="8"/>
        <v>-0.13948491537279237</v>
      </c>
      <c r="J148" s="187"/>
      <c r="K148" s="199"/>
      <c r="L148" s="206">
        <v>26</v>
      </c>
      <c r="M148" s="207" t="s">
        <v>52</v>
      </c>
      <c r="N148" s="202">
        <f t="shared" ca="1" si="9"/>
        <v>-0.16797988118748278</v>
      </c>
      <c r="O148" s="202">
        <f t="shared" ca="1" si="9"/>
        <v>-0.19852858207598048</v>
      </c>
      <c r="P148" s="202">
        <f t="shared" ca="1" si="9"/>
        <v>-0.16840274086343196</v>
      </c>
      <c r="Q148" s="202">
        <f t="shared" ca="1" si="9"/>
        <v>-0.16710674843840104</v>
      </c>
      <c r="R148" s="202">
        <f t="shared" ca="1" si="9"/>
        <v>-0.1444674572744436</v>
      </c>
      <c r="S148" s="202">
        <f t="shared" ca="1" si="9"/>
        <v>-0.13674757260894038</v>
      </c>
      <c r="T148" s="187"/>
      <c r="U148" s="199"/>
      <c r="V148" s="206">
        <v>26</v>
      </c>
      <c r="W148" s="207" t="s">
        <v>52</v>
      </c>
      <c r="X148" s="202">
        <f t="shared" ca="1" si="10"/>
        <v>-0.16940598118391517</v>
      </c>
      <c r="Y148" s="202">
        <f t="shared" ca="1" si="10"/>
        <v>-0.19752637332920922</v>
      </c>
      <c r="Z148" s="202">
        <f t="shared" ca="1" si="10"/>
        <v>-0.16543831803139689</v>
      </c>
      <c r="AA148" s="202">
        <f t="shared" ca="1" si="10"/>
        <v>-0.17010559191280888</v>
      </c>
      <c r="AB148" s="202">
        <f t="shared" ca="1" si="10"/>
        <v>-0.15258380957894685</v>
      </c>
      <c r="AC148" s="202">
        <f t="shared" ca="1" si="10"/>
        <v>-0.13811948696056106</v>
      </c>
    </row>
    <row r="149" spans="1:29" ht="14.25" customHeight="1">
      <c r="A149" s="199"/>
      <c r="B149" s="206">
        <v>27</v>
      </c>
      <c r="C149" s="207" t="s">
        <v>53</v>
      </c>
      <c r="D149" s="202">
        <f t="shared" ca="1" si="8"/>
        <v>-0.11725357275943243</v>
      </c>
      <c r="E149" s="202">
        <f t="shared" ca="1" si="8"/>
        <v>-9.0688084302572983E-2</v>
      </c>
      <c r="F149" s="202">
        <f t="shared" ca="1" si="8"/>
        <v>-0.10450051907231887</v>
      </c>
      <c r="G149" s="202">
        <f t="shared" ca="1" si="8"/>
        <v>-8.7086078951906148E-2</v>
      </c>
      <c r="H149" s="202">
        <f t="shared" ca="1" si="8"/>
        <v>-0.13376046321742815</v>
      </c>
      <c r="I149" s="202">
        <f t="shared" ca="1" si="8"/>
        <v>-0.10916165181002727</v>
      </c>
      <c r="J149" s="187"/>
      <c r="K149" s="199"/>
      <c r="L149" s="206">
        <v>27</v>
      </c>
      <c r="M149" s="207" t="s">
        <v>53</v>
      </c>
      <c r="N149" s="202">
        <f t="shared" ca="1" si="9"/>
        <v>-0.12442985137999489</v>
      </c>
      <c r="O149" s="202">
        <f t="shared" ca="1" si="9"/>
        <v>-7.9126677290920169E-2</v>
      </c>
      <c r="P149" s="202">
        <f t="shared" ca="1" si="9"/>
        <v>-9.5905152099050026E-2</v>
      </c>
      <c r="Q149" s="202">
        <f t="shared" ca="1" si="9"/>
        <v>-9.5431578659667615E-2</v>
      </c>
      <c r="R149" s="202">
        <f t="shared" ca="1" si="9"/>
        <v>-0.14493298015776712</v>
      </c>
      <c r="S149" s="202">
        <f t="shared" ca="1" si="9"/>
        <v>-0.10987442450812621</v>
      </c>
      <c r="T149" s="187"/>
      <c r="U149" s="199"/>
      <c r="V149" s="206">
        <v>27</v>
      </c>
      <c r="W149" s="207" t="s">
        <v>53</v>
      </c>
      <c r="X149" s="202">
        <f t="shared" ca="1" si="10"/>
        <v>-0.12092783147678737</v>
      </c>
      <c r="Y149" s="202">
        <f t="shared" ca="1" si="10"/>
        <v>-8.4693434294450698E-2</v>
      </c>
      <c r="Z149" s="202">
        <f t="shared" ca="1" si="10"/>
        <v>-0.10047259614802453</v>
      </c>
      <c r="AA149" s="202">
        <f t="shared" ca="1" si="10"/>
        <v>-9.1497193849701064E-2</v>
      </c>
      <c r="AB149" s="202">
        <f t="shared" ca="1" si="10"/>
        <v>-0.13935071188107406</v>
      </c>
      <c r="AC149" s="202">
        <f t="shared" ca="1" si="10"/>
        <v>-0.10951875565235747</v>
      </c>
    </row>
    <row r="150" spans="1:29" ht="14.25" hidden="1" customHeight="1">
      <c r="A150" s="199"/>
      <c r="B150" s="206"/>
      <c r="C150" s="207"/>
      <c r="D150" s="202" t="str">
        <f t="shared" si="8"/>
        <v/>
      </c>
      <c r="E150" s="202" t="str">
        <f t="shared" si="8"/>
        <v/>
      </c>
      <c r="F150" s="202" t="str">
        <f t="shared" si="8"/>
        <v/>
      </c>
      <c r="G150" s="202" t="str">
        <f t="shared" si="8"/>
        <v/>
      </c>
      <c r="H150" s="202" t="str">
        <f t="shared" si="8"/>
        <v/>
      </c>
      <c r="I150" s="202" t="str">
        <f t="shared" si="8"/>
        <v/>
      </c>
      <c r="J150" s="187"/>
      <c r="K150" s="199"/>
      <c r="L150" s="206"/>
      <c r="M150" s="207"/>
      <c r="N150" s="202" t="str">
        <f t="shared" si="9"/>
        <v/>
      </c>
      <c r="O150" s="202" t="str">
        <f t="shared" si="9"/>
        <v/>
      </c>
      <c r="P150" s="202" t="str">
        <f t="shared" si="9"/>
        <v/>
      </c>
      <c r="Q150" s="202" t="str">
        <f t="shared" si="9"/>
        <v/>
      </c>
      <c r="R150" s="202" t="str">
        <f t="shared" si="9"/>
        <v/>
      </c>
      <c r="S150" s="202" t="str">
        <f t="shared" si="9"/>
        <v/>
      </c>
      <c r="T150" s="187"/>
      <c r="U150" s="199"/>
      <c r="V150" s="206"/>
      <c r="W150" s="207"/>
      <c r="X150" s="202" t="str">
        <f t="shared" si="10"/>
        <v/>
      </c>
      <c r="Y150" s="202" t="str">
        <f t="shared" si="10"/>
        <v/>
      </c>
      <c r="Z150" s="202" t="str">
        <f t="shared" si="10"/>
        <v/>
      </c>
      <c r="AA150" s="202" t="str">
        <f t="shared" si="10"/>
        <v/>
      </c>
      <c r="AB150" s="202" t="str">
        <f t="shared" si="10"/>
        <v/>
      </c>
      <c r="AC150" s="202" t="str">
        <f t="shared" si="10"/>
        <v/>
      </c>
    </row>
    <row r="151" spans="1:29" ht="14.25" hidden="1" customHeight="1">
      <c r="A151" s="199"/>
      <c r="B151" s="206"/>
      <c r="C151" s="207"/>
      <c r="D151" s="202" t="str">
        <f t="shared" si="8"/>
        <v/>
      </c>
      <c r="E151" s="202" t="str">
        <f t="shared" si="8"/>
        <v/>
      </c>
      <c r="F151" s="202" t="str">
        <f t="shared" si="8"/>
        <v/>
      </c>
      <c r="G151" s="202" t="str">
        <f t="shared" si="8"/>
        <v/>
      </c>
      <c r="H151" s="202" t="str">
        <f t="shared" si="8"/>
        <v/>
      </c>
      <c r="I151" s="202" t="str">
        <f t="shared" si="8"/>
        <v/>
      </c>
      <c r="J151" s="187"/>
      <c r="K151" s="199"/>
      <c r="L151" s="206"/>
      <c r="M151" s="207"/>
      <c r="N151" s="202" t="str">
        <f t="shared" si="9"/>
        <v/>
      </c>
      <c r="O151" s="202" t="str">
        <f t="shared" si="9"/>
        <v/>
      </c>
      <c r="P151" s="202" t="str">
        <f t="shared" si="9"/>
        <v/>
      </c>
      <c r="Q151" s="202" t="str">
        <f t="shared" si="9"/>
        <v/>
      </c>
      <c r="R151" s="202" t="str">
        <f t="shared" si="9"/>
        <v/>
      </c>
      <c r="S151" s="202" t="str">
        <f t="shared" si="9"/>
        <v/>
      </c>
      <c r="T151" s="187"/>
      <c r="U151" s="199"/>
      <c r="V151" s="206"/>
      <c r="W151" s="207"/>
      <c r="X151" s="202" t="str">
        <f t="shared" si="10"/>
        <v/>
      </c>
      <c r="Y151" s="202" t="str">
        <f t="shared" si="10"/>
        <v/>
      </c>
      <c r="Z151" s="202" t="str">
        <f t="shared" si="10"/>
        <v/>
      </c>
      <c r="AA151" s="202" t="str">
        <f t="shared" si="10"/>
        <v/>
      </c>
      <c r="AB151" s="202" t="str">
        <f t="shared" si="10"/>
        <v/>
      </c>
      <c r="AC151" s="202" t="str">
        <f t="shared" si="10"/>
        <v/>
      </c>
    </row>
    <row r="152" spans="1:29" ht="14.25" hidden="1" customHeight="1">
      <c r="A152" s="199"/>
      <c r="B152" s="206"/>
      <c r="C152" s="207"/>
      <c r="D152" s="202" t="str">
        <f t="shared" si="8"/>
        <v/>
      </c>
      <c r="E152" s="202" t="str">
        <f t="shared" si="8"/>
        <v/>
      </c>
      <c r="F152" s="202" t="str">
        <f t="shared" si="8"/>
        <v/>
      </c>
      <c r="G152" s="202" t="str">
        <f t="shared" si="8"/>
        <v/>
      </c>
      <c r="H152" s="202" t="str">
        <f t="shared" si="8"/>
        <v/>
      </c>
      <c r="I152" s="202" t="str">
        <f t="shared" si="8"/>
        <v/>
      </c>
      <c r="J152" s="187"/>
      <c r="K152" s="199"/>
      <c r="L152" s="206"/>
      <c r="M152" s="207"/>
      <c r="N152" s="202" t="str">
        <f t="shared" si="9"/>
        <v/>
      </c>
      <c r="O152" s="202" t="str">
        <f t="shared" si="9"/>
        <v/>
      </c>
      <c r="P152" s="202" t="str">
        <f t="shared" si="9"/>
        <v/>
      </c>
      <c r="Q152" s="202" t="str">
        <f t="shared" si="9"/>
        <v/>
      </c>
      <c r="R152" s="202" t="str">
        <f t="shared" si="9"/>
        <v/>
      </c>
      <c r="S152" s="202" t="str">
        <f t="shared" si="9"/>
        <v/>
      </c>
      <c r="T152" s="187"/>
      <c r="U152" s="199"/>
      <c r="V152" s="206"/>
      <c r="W152" s="207"/>
      <c r="X152" s="202" t="str">
        <f t="shared" si="10"/>
        <v/>
      </c>
      <c r="Y152" s="202" t="str">
        <f t="shared" si="10"/>
        <v/>
      </c>
      <c r="Z152" s="202" t="str">
        <f t="shared" si="10"/>
        <v/>
      </c>
      <c r="AA152" s="202" t="str">
        <f t="shared" si="10"/>
        <v/>
      </c>
      <c r="AB152" s="202" t="str">
        <f t="shared" si="10"/>
        <v/>
      </c>
      <c r="AC152" s="202" t="str">
        <f t="shared" si="10"/>
        <v/>
      </c>
    </row>
    <row r="153" spans="1:29" ht="14.25" hidden="1" customHeight="1">
      <c r="A153" s="199"/>
      <c r="B153" s="206"/>
      <c r="C153" s="207"/>
      <c r="D153" s="202" t="str">
        <f t="shared" si="8"/>
        <v/>
      </c>
      <c r="E153" s="202" t="str">
        <f t="shared" si="8"/>
        <v/>
      </c>
      <c r="F153" s="202" t="str">
        <f t="shared" si="8"/>
        <v/>
      </c>
      <c r="G153" s="202" t="str">
        <f t="shared" si="8"/>
        <v/>
      </c>
      <c r="H153" s="202" t="str">
        <f t="shared" si="8"/>
        <v/>
      </c>
      <c r="I153" s="202" t="str">
        <f t="shared" si="8"/>
        <v/>
      </c>
      <c r="J153" s="187"/>
      <c r="K153" s="199"/>
      <c r="L153" s="206"/>
      <c r="M153" s="207"/>
      <c r="N153" s="202" t="str">
        <f t="shared" ref="N153:S162" si="11">IF(AND(ISNUMBER($L153),ISNUMBER(N$5)),IF(N96=0,0,((N96/N$120)*(LN(N96/N$120)))),"")</f>
        <v/>
      </c>
      <c r="O153" s="202" t="str">
        <f t="shared" si="11"/>
        <v/>
      </c>
      <c r="P153" s="202" t="str">
        <f t="shared" si="11"/>
        <v/>
      </c>
      <c r="Q153" s="202" t="str">
        <f t="shared" si="11"/>
        <v/>
      </c>
      <c r="R153" s="202" t="str">
        <f t="shared" si="11"/>
        <v/>
      </c>
      <c r="S153" s="202" t="str">
        <f t="shared" si="11"/>
        <v/>
      </c>
      <c r="T153" s="187"/>
      <c r="U153" s="199"/>
      <c r="V153" s="206"/>
      <c r="W153" s="207"/>
      <c r="X153" s="202" t="str">
        <f t="shared" ref="X153:AC162" si="12">IF(AND(ISNUMBER($V153),ISNUMBER(X$5)),IF(X96=0,0,((X96/X$120)*(LN(X96/X$120)))),"")</f>
        <v/>
      </c>
      <c r="Y153" s="202" t="str">
        <f t="shared" si="12"/>
        <v/>
      </c>
      <c r="Z153" s="202" t="str">
        <f t="shared" si="12"/>
        <v/>
      </c>
      <c r="AA153" s="202" t="str">
        <f t="shared" si="12"/>
        <v/>
      </c>
      <c r="AB153" s="202" t="str">
        <f t="shared" si="12"/>
        <v/>
      </c>
      <c r="AC153" s="202" t="str">
        <f t="shared" si="12"/>
        <v/>
      </c>
    </row>
    <row r="154" spans="1:29" ht="14.25" hidden="1" customHeight="1">
      <c r="A154" s="199"/>
      <c r="B154" s="206"/>
      <c r="C154" s="207"/>
      <c r="D154" s="202" t="str">
        <f t="shared" si="8"/>
        <v/>
      </c>
      <c r="E154" s="202" t="str">
        <f t="shared" si="8"/>
        <v/>
      </c>
      <c r="F154" s="202" t="str">
        <f t="shared" si="8"/>
        <v/>
      </c>
      <c r="G154" s="202" t="str">
        <f t="shared" si="8"/>
        <v/>
      </c>
      <c r="H154" s="202" t="str">
        <f t="shared" si="8"/>
        <v/>
      </c>
      <c r="I154" s="202" t="str">
        <f t="shared" si="8"/>
        <v/>
      </c>
      <c r="J154" s="187"/>
      <c r="K154" s="199"/>
      <c r="L154" s="206"/>
      <c r="M154" s="207"/>
      <c r="N154" s="202" t="str">
        <f t="shared" si="11"/>
        <v/>
      </c>
      <c r="O154" s="202" t="str">
        <f t="shared" si="11"/>
        <v/>
      </c>
      <c r="P154" s="202" t="str">
        <f t="shared" si="11"/>
        <v/>
      </c>
      <c r="Q154" s="202" t="str">
        <f t="shared" si="11"/>
        <v/>
      </c>
      <c r="R154" s="202" t="str">
        <f t="shared" si="11"/>
        <v/>
      </c>
      <c r="S154" s="202" t="str">
        <f t="shared" si="11"/>
        <v/>
      </c>
      <c r="T154" s="187"/>
      <c r="U154" s="199"/>
      <c r="V154" s="206"/>
      <c r="W154" s="207"/>
      <c r="X154" s="202" t="str">
        <f t="shared" si="12"/>
        <v/>
      </c>
      <c r="Y154" s="202" t="str">
        <f t="shared" si="12"/>
        <v/>
      </c>
      <c r="Z154" s="202" t="str">
        <f t="shared" si="12"/>
        <v/>
      </c>
      <c r="AA154" s="202" t="str">
        <f t="shared" si="12"/>
        <v/>
      </c>
      <c r="AB154" s="202" t="str">
        <f t="shared" si="12"/>
        <v/>
      </c>
      <c r="AC154" s="202" t="str">
        <f t="shared" si="12"/>
        <v/>
      </c>
    </row>
    <row r="155" spans="1:29" ht="14.25" hidden="1" customHeight="1">
      <c r="A155" s="199"/>
      <c r="B155" s="206"/>
      <c r="C155" s="207"/>
      <c r="D155" s="202" t="str">
        <f t="shared" ref="D155:I170" si="13">IF(AND(ISNUMBER($B155),ISNUMBER(D$5)),IF(D98=0,0,((D98/D$120)*(LN(D98/D$120)))),"")</f>
        <v/>
      </c>
      <c r="E155" s="202" t="str">
        <f t="shared" si="13"/>
        <v/>
      </c>
      <c r="F155" s="202" t="str">
        <f t="shared" si="13"/>
        <v/>
      </c>
      <c r="G155" s="202" t="str">
        <f t="shared" si="13"/>
        <v/>
      </c>
      <c r="H155" s="202" t="str">
        <f t="shared" si="13"/>
        <v/>
      </c>
      <c r="I155" s="202" t="str">
        <f t="shared" si="13"/>
        <v/>
      </c>
      <c r="J155" s="187"/>
      <c r="K155" s="199"/>
      <c r="L155" s="206"/>
      <c r="M155" s="207"/>
      <c r="N155" s="202" t="str">
        <f t="shared" si="11"/>
        <v/>
      </c>
      <c r="O155" s="202" t="str">
        <f t="shared" si="11"/>
        <v/>
      </c>
      <c r="P155" s="202" t="str">
        <f t="shared" si="11"/>
        <v/>
      </c>
      <c r="Q155" s="202" t="str">
        <f t="shared" si="11"/>
        <v/>
      </c>
      <c r="R155" s="202" t="str">
        <f t="shared" si="11"/>
        <v/>
      </c>
      <c r="S155" s="202" t="str">
        <f t="shared" si="11"/>
        <v/>
      </c>
      <c r="T155" s="187"/>
      <c r="U155" s="199"/>
      <c r="V155" s="206"/>
      <c r="W155" s="207"/>
      <c r="X155" s="202" t="str">
        <f t="shared" si="12"/>
        <v/>
      </c>
      <c r="Y155" s="202" t="str">
        <f t="shared" si="12"/>
        <v/>
      </c>
      <c r="Z155" s="202" t="str">
        <f t="shared" si="12"/>
        <v/>
      </c>
      <c r="AA155" s="202" t="str">
        <f t="shared" si="12"/>
        <v/>
      </c>
      <c r="AB155" s="202" t="str">
        <f t="shared" si="12"/>
        <v/>
      </c>
      <c r="AC155" s="202" t="str">
        <f t="shared" si="12"/>
        <v/>
      </c>
    </row>
    <row r="156" spans="1:29" ht="14.25" hidden="1" customHeight="1">
      <c r="A156" s="199"/>
      <c r="B156" s="206"/>
      <c r="C156" s="207"/>
      <c r="D156" s="202" t="str">
        <f t="shared" si="13"/>
        <v/>
      </c>
      <c r="E156" s="202" t="str">
        <f t="shared" si="13"/>
        <v/>
      </c>
      <c r="F156" s="202" t="str">
        <f t="shared" si="13"/>
        <v/>
      </c>
      <c r="G156" s="202" t="str">
        <f t="shared" si="13"/>
        <v/>
      </c>
      <c r="H156" s="202" t="str">
        <f t="shared" si="13"/>
        <v/>
      </c>
      <c r="I156" s="202" t="str">
        <f t="shared" si="13"/>
        <v/>
      </c>
      <c r="J156" s="187"/>
      <c r="K156" s="199"/>
      <c r="L156" s="206"/>
      <c r="M156" s="207"/>
      <c r="N156" s="202" t="str">
        <f t="shared" si="11"/>
        <v/>
      </c>
      <c r="O156" s="202" t="str">
        <f t="shared" si="11"/>
        <v/>
      </c>
      <c r="P156" s="202" t="str">
        <f t="shared" si="11"/>
        <v/>
      </c>
      <c r="Q156" s="202" t="str">
        <f t="shared" si="11"/>
        <v/>
      </c>
      <c r="R156" s="202" t="str">
        <f t="shared" si="11"/>
        <v/>
      </c>
      <c r="S156" s="202" t="str">
        <f t="shared" si="11"/>
        <v/>
      </c>
      <c r="T156" s="187"/>
      <c r="U156" s="199"/>
      <c r="V156" s="206"/>
      <c r="W156" s="207"/>
      <c r="X156" s="202" t="str">
        <f t="shared" si="12"/>
        <v/>
      </c>
      <c r="Y156" s="202" t="str">
        <f t="shared" si="12"/>
        <v/>
      </c>
      <c r="Z156" s="202" t="str">
        <f t="shared" si="12"/>
        <v/>
      </c>
      <c r="AA156" s="202" t="str">
        <f t="shared" si="12"/>
        <v/>
      </c>
      <c r="AB156" s="202" t="str">
        <f t="shared" si="12"/>
        <v/>
      </c>
      <c r="AC156" s="202" t="str">
        <f t="shared" si="12"/>
        <v/>
      </c>
    </row>
    <row r="157" spans="1:29" ht="14.25" hidden="1" customHeight="1">
      <c r="A157" s="199"/>
      <c r="B157" s="206"/>
      <c r="C157" s="207"/>
      <c r="D157" s="202" t="str">
        <f t="shared" si="13"/>
        <v/>
      </c>
      <c r="E157" s="202" t="str">
        <f t="shared" si="13"/>
        <v/>
      </c>
      <c r="F157" s="202" t="str">
        <f t="shared" si="13"/>
        <v/>
      </c>
      <c r="G157" s="202" t="str">
        <f t="shared" si="13"/>
        <v/>
      </c>
      <c r="H157" s="202" t="str">
        <f t="shared" si="13"/>
        <v/>
      </c>
      <c r="I157" s="202" t="str">
        <f t="shared" si="13"/>
        <v/>
      </c>
      <c r="J157" s="187"/>
      <c r="K157" s="199"/>
      <c r="L157" s="206"/>
      <c r="M157" s="207"/>
      <c r="N157" s="202" t="str">
        <f t="shared" si="11"/>
        <v/>
      </c>
      <c r="O157" s="202" t="str">
        <f t="shared" si="11"/>
        <v/>
      </c>
      <c r="P157" s="202" t="str">
        <f t="shared" si="11"/>
        <v/>
      </c>
      <c r="Q157" s="202" t="str">
        <f t="shared" si="11"/>
        <v/>
      </c>
      <c r="R157" s="202" t="str">
        <f t="shared" si="11"/>
        <v/>
      </c>
      <c r="S157" s="202" t="str">
        <f t="shared" si="11"/>
        <v/>
      </c>
      <c r="T157" s="187"/>
      <c r="U157" s="199"/>
      <c r="V157" s="206"/>
      <c r="W157" s="207"/>
      <c r="X157" s="202" t="str">
        <f t="shared" si="12"/>
        <v/>
      </c>
      <c r="Y157" s="202" t="str">
        <f t="shared" si="12"/>
        <v/>
      </c>
      <c r="Z157" s="202" t="str">
        <f t="shared" si="12"/>
        <v/>
      </c>
      <c r="AA157" s="202" t="str">
        <f t="shared" si="12"/>
        <v/>
      </c>
      <c r="AB157" s="202" t="str">
        <f t="shared" si="12"/>
        <v/>
      </c>
      <c r="AC157" s="202" t="str">
        <f t="shared" si="12"/>
        <v/>
      </c>
    </row>
    <row r="158" spans="1:29" ht="14.25" hidden="1" customHeight="1">
      <c r="A158" s="199"/>
      <c r="B158" s="206"/>
      <c r="C158" s="207"/>
      <c r="D158" s="202" t="str">
        <f t="shared" si="13"/>
        <v/>
      </c>
      <c r="E158" s="202" t="str">
        <f t="shared" si="13"/>
        <v/>
      </c>
      <c r="F158" s="202" t="str">
        <f t="shared" si="13"/>
        <v/>
      </c>
      <c r="G158" s="202" t="str">
        <f t="shared" si="13"/>
        <v/>
      </c>
      <c r="H158" s="202" t="str">
        <f t="shared" si="13"/>
        <v/>
      </c>
      <c r="I158" s="202" t="str">
        <f t="shared" si="13"/>
        <v/>
      </c>
      <c r="J158" s="187"/>
      <c r="K158" s="199"/>
      <c r="L158" s="206"/>
      <c r="M158" s="207"/>
      <c r="N158" s="202" t="str">
        <f t="shared" si="11"/>
        <v/>
      </c>
      <c r="O158" s="202" t="str">
        <f t="shared" si="11"/>
        <v/>
      </c>
      <c r="P158" s="202" t="str">
        <f t="shared" si="11"/>
        <v/>
      </c>
      <c r="Q158" s="202" t="str">
        <f t="shared" si="11"/>
        <v/>
      </c>
      <c r="R158" s="202" t="str">
        <f t="shared" si="11"/>
        <v/>
      </c>
      <c r="S158" s="202" t="str">
        <f t="shared" si="11"/>
        <v/>
      </c>
      <c r="T158" s="187"/>
      <c r="U158" s="199"/>
      <c r="V158" s="206"/>
      <c r="W158" s="207"/>
      <c r="X158" s="202" t="str">
        <f t="shared" si="12"/>
        <v/>
      </c>
      <c r="Y158" s="202" t="str">
        <f t="shared" si="12"/>
        <v/>
      </c>
      <c r="Z158" s="202" t="str">
        <f t="shared" si="12"/>
        <v/>
      </c>
      <c r="AA158" s="202" t="str">
        <f t="shared" si="12"/>
        <v/>
      </c>
      <c r="AB158" s="202" t="str">
        <f t="shared" si="12"/>
        <v/>
      </c>
      <c r="AC158" s="202" t="str">
        <f t="shared" si="12"/>
        <v/>
      </c>
    </row>
    <row r="159" spans="1:29" ht="14.25" hidden="1" customHeight="1">
      <c r="A159" s="199"/>
      <c r="B159" s="206"/>
      <c r="C159" s="207"/>
      <c r="D159" s="202" t="str">
        <f t="shared" si="13"/>
        <v/>
      </c>
      <c r="E159" s="202" t="str">
        <f t="shared" si="13"/>
        <v/>
      </c>
      <c r="F159" s="202" t="str">
        <f t="shared" si="13"/>
        <v/>
      </c>
      <c r="G159" s="202" t="str">
        <f t="shared" si="13"/>
        <v/>
      </c>
      <c r="H159" s="202" t="str">
        <f t="shared" si="13"/>
        <v/>
      </c>
      <c r="I159" s="202" t="str">
        <f t="shared" si="13"/>
        <v/>
      </c>
      <c r="J159" s="187"/>
      <c r="K159" s="199"/>
      <c r="L159" s="206"/>
      <c r="M159" s="207"/>
      <c r="N159" s="202" t="str">
        <f t="shared" si="11"/>
        <v/>
      </c>
      <c r="O159" s="202" t="str">
        <f t="shared" si="11"/>
        <v/>
      </c>
      <c r="P159" s="202" t="str">
        <f t="shared" si="11"/>
        <v/>
      </c>
      <c r="Q159" s="202" t="str">
        <f t="shared" si="11"/>
        <v/>
      </c>
      <c r="R159" s="202" t="str">
        <f t="shared" si="11"/>
        <v/>
      </c>
      <c r="S159" s="202" t="str">
        <f t="shared" si="11"/>
        <v/>
      </c>
      <c r="T159" s="187"/>
      <c r="U159" s="199"/>
      <c r="V159" s="206"/>
      <c r="W159" s="207"/>
      <c r="X159" s="202" t="str">
        <f t="shared" si="12"/>
        <v/>
      </c>
      <c r="Y159" s="202" t="str">
        <f t="shared" si="12"/>
        <v/>
      </c>
      <c r="Z159" s="202" t="str">
        <f t="shared" si="12"/>
        <v/>
      </c>
      <c r="AA159" s="202" t="str">
        <f t="shared" si="12"/>
        <v/>
      </c>
      <c r="AB159" s="202" t="str">
        <f t="shared" si="12"/>
        <v/>
      </c>
      <c r="AC159" s="202" t="str">
        <f t="shared" si="12"/>
        <v/>
      </c>
    </row>
    <row r="160" spans="1:29" ht="14.25" hidden="1" customHeight="1">
      <c r="A160" s="199"/>
      <c r="B160" s="206"/>
      <c r="C160" s="207"/>
      <c r="D160" s="202" t="str">
        <f t="shared" si="13"/>
        <v/>
      </c>
      <c r="E160" s="202" t="str">
        <f t="shared" si="13"/>
        <v/>
      </c>
      <c r="F160" s="202" t="str">
        <f t="shared" si="13"/>
        <v/>
      </c>
      <c r="G160" s="202" t="str">
        <f t="shared" si="13"/>
        <v/>
      </c>
      <c r="H160" s="202" t="str">
        <f t="shared" si="13"/>
        <v/>
      </c>
      <c r="I160" s="202" t="str">
        <f t="shared" si="13"/>
        <v/>
      </c>
      <c r="J160" s="187"/>
      <c r="K160" s="199"/>
      <c r="L160" s="206"/>
      <c r="M160" s="207"/>
      <c r="N160" s="202" t="str">
        <f t="shared" si="11"/>
        <v/>
      </c>
      <c r="O160" s="202" t="str">
        <f t="shared" si="11"/>
        <v/>
      </c>
      <c r="P160" s="202" t="str">
        <f t="shared" si="11"/>
        <v/>
      </c>
      <c r="Q160" s="202" t="str">
        <f t="shared" si="11"/>
        <v/>
      </c>
      <c r="R160" s="202" t="str">
        <f t="shared" si="11"/>
        <v/>
      </c>
      <c r="S160" s="202" t="str">
        <f t="shared" si="11"/>
        <v/>
      </c>
      <c r="T160" s="187"/>
      <c r="U160" s="199"/>
      <c r="V160" s="206"/>
      <c r="W160" s="207"/>
      <c r="X160" s="202" t="str">
        <f t="shared" si="12"/>
        <v/>
      </c>
      <c r="Y160" s="202" t="str">
        <f t="shared" si="12"/>
        <v/>
      </c>
      <c r="Z160" s="202" t="str">
        <f t="shared" si="12"/>
        <v/>
      </c>
      <c r="AA160" s="202" t="str">
        <f t="shared" si="12"/>
        <v/>
      </c>
      <c r="AB160" s="202" t="str">
        <f t="shared" si="12"/>
        <v/>
      </c>
      <c r="AC160" s="202" t="str">
        <f t="shared" si="12"/>
        <v/>
      </c>
    </row>
    <row r="161" spans="1:29" ht="14.25" hidden="1" customHeight="1">
      <c r="A161" s="199"/>
      <c r="B161" s="206"/>
      <c r="C161" s="207"/>
      <c r="D161" s="202" t="str">
        <f t="shared" si="13"/>
        <v/>
      </c>
      <c r="E161" s="202" t="str">
        <f t="shared" si="13"/>
        <v/>
      </c>
      <c r="F161" s="202" t="str">
        <f t="shared" si="13"/>
        <v/>
      </c>
      <c r="G161" s="202" t="str">
        <f t="shared" si="13"/>
        <v/>
      </c>
      <c r="H161" s="202" t="str">
        <f t="shared" si="13"/>
        <v/>
      </c>
      <c r="I161" s="202" t="str">
        <f t="shared" si="13"/>
        <v/>
      </c>
      <c r="J161" s="187"/>
      <c r="K161" s="199"/>
      <c r="L161" s="206"/>
      <c r="M161" s="207"/>
      <c r="N161" s="202" t="str">
        <f t="shared" si="11"/>
        <v/>
      </c>
      <c r="O161" s="202" t="str">
        <f t="shared" si="11"/>
        <v/>
      </c>
      <c r="P161" s="202" t="str">
        <f t="shared" si="11"/>
        <v/>
      </c>
      <c r="Q161" s="202" t="str">
        <f t="shared" si="11"/>
        <v/>
      </c>
      <c r="R161" s="202" t="str">
        <f t="shared" si="11"/>
        <v/>
      </c>
      <c r="S161" s="202" t="str">
        <f t="shared" si="11"/>
        <v/>
      </c>
      <c r="T161" s="187"/>
      <c r="U161" s="199"/>
      <c r="V161" s="206"/>
      <c r="W161" s="207"/>
      <c r="X161" s="202" t="str">
        <f t="shared" si="12"/>
        <v/>
      </c>
      <c r="Y161" s="202" t="str">
        <f t="shared" si="12"/>
        <v/>
      </c>
      <c r="Z161" s="202" t="str">
        <f t="shared" si="12"/>
        <v/>
      </c>
      <c r="AA161" s="202" t="str">
        <f t="shared" si="12"/>
        <v/>
      </c>
      <c r="AB161" s="202" t="str">
        <f t="shared" si="12"/>
        <v/>
      </c>
      <c r="AC161" s="202" t="str">
        <f t="shared" si="12"/>
        <v/>
      </c>
    </row>
    <row r="162" spans="1:29" ht="14.25" hidden="1" customHeight="1">
      <c r="A162" s="199"/>
      <c r="B162" s="206"/>
      <c r="C162" s="207"/>
      <c r="D162" s="202" t="str">
        <f t="shared" si="13"/>
        <v/>
      </c>
      <c r="E162" s="202" t="str">
        <f t="shared" si="13"/>
        <v/>
      </c>
      <c r="F162" s="202" t="str">
        <f t="shared" si="13"/>
        <v/>
      </c>
      <c r="G162" s="202" t="str">
        <f t="shared" si="13"/>
        <v/>
      </c>
      <c r="H162" s="202" t="str">
        <f t="shared" si="13"/>
        <v/>
      </c>
      <c r="I162" s="202" t="str">
        <f t="shared" si="13"/>
        <v/>
      </c>
      <c r="J162" s="187"/>
      <c r="K162" s="199"/>
      <c r="L162" s="206"/>
      <c r="M162" s="207"/>
      <c r="N162" s="202" t="str">
        <f t="shared" si="11"/>
        <v/>
      </c>
      <c r="O162" s="202" t="str">
        <f t="shared" si="11"/>
        <v/>
      </c>
      <c r="P162" s="202" t="str">
        <f t="shared" si="11"/>
        <v/>
      </c>
      <c r="Q162" s="202" t="str">
        <f t="shared" si="11"/>
        <v/>
      </c>
      <c r="R162" s="202" t="str">
        <f t="shared" si="11"/>
        <v/>
      </c>
      <c r="S162" s="202" t="str">
        <f t="shared" si="11"/>
        <v/>
      </c>
      <c r="T162" s="187"/>
      <c r="U162" s="199"/>
      <c r="V162" s="206"/>
      <c r="W162" s="207"/>
      <c r="X162" s="202" t="str">
        <f t="shared" si="12"/>
        <v/>
      </c>
      <c r="Y162" s="202" t="str">
        <f t="shared" si="12"/>
        <v/>
      </c>
      <c r="Z162" s="202" t="str">
        <f t="shared" si="12"/>
        <v/>
      </c>
      <c r="AA162" s="202" t="str">
        <f t="shared" si="12"/>
        <v/>
      </c>
      <c r="AB162" s="202" t="str">
        <f t="shared" si="12"/>
        <v/>
      </c>
      <c r="AC162" s="202" t="str">
        <f t="shared" si="12"/>
        <v/>
      </c>
    </row>
    <row r="163" spans="1:29" ht="14.25" hidden="1" customHeight="1">
      <c r="A163" s="199"/>
      <c r="B163" s="206"/>
      <c r="C163" s="207"/>
      <c r="D163" s="202" t="str">
        <f t="shared" si="13"/>
        <v/>
      </c>
      <c r="E163" s="202" t="str">
        <f t="shared" si="13"/>
        <v/>
      </c>
      <c r="F163" s="202" t="str">
        <f t="shared" si="13"/>
        <v/>
      </c>
      <c r="G163" s="202" t="str">
        <f t="shared" si="13"/>
        <v/>
      </c>
      <c r="H163" s="202" t="str">
        <f t="shared" si="13"/>
        <v/>
      </c>
      <c r="I163" s="202" t="str">
        <f t="shared" si="13"/>
        <v/>
      </c>
      <c r="J163" s="187"/>
      <c r="K163" s="199"/>
      <c r="L163" s="206"/>
      <c r="M163" s="207"/>
      <c r="N163" s="202" t="str">
        <f t="shared" ref="N163:S172" si="14">IF(AND(ISNUMBER($L163),ISNUMBER(N$5)),IF(N106=0,0,((N106/N$120)*(LN(N106/N$120)))),"")</f>
        <v/>
      </c>
      <c r="O163" s="202" t="str">
        <f t="shared" si="14"/>
        <v/>
      </c>
      <c r="P163" s="202" t="str">
        <f t="shared" si="14"/>
        <v/>
      </c>
      <c r="Q163" s="202" t="str">
        <f t="shared" si="14"/>
        <v/>
      </c>
      <c r="R163" s="202" t="str">
        <f t="shared" si="14"/>
        <v/>
      </c>
      <c r="S163" s="202" t="str">
        <f t="shared" si="14"/>
        <v/>
      </c>
      <c r="T163" s="187"/>
      <c r="U163" s="199"/>
      <c r="V163" s="206"/>
      <c r="W163" s="207"/>
      <c r="X163" s="202" t="str">
        <f t="shared" ref="X163:AC172" si="15">IF(AND(ISNUMBER($V163),ISNUMBER(X$5)),IF(X106=0,0,((X106/X$120)*(LN(X106/X$120)))),"")</f>
        <v/>
      </c>
      <c r="Y163" s="202" t="str">
        <f t="shared" si="15"/>
        <v/>
      </c>
      <c r="Z163" s="202" t="str">
        <f t="shared" si="15"/>
        <v/>
      </c>
      <c r="AA163" s="202" t="str">
        <f t="shared" si="15"/>
        <v/>
      </c>
      <c r="AB163" s="202" t="str">
        <f t="shared" si="15"/>
        <v/>
      </c>
      <c r="AC163" s="202" t="str">
        <f t="shared" si="15"/>
        <v/>
      </c>
    </row>
    <row r="164" spans="1:29" ht="14.25" hidden="1" customHeight="1">
      <c r="A164" s="199"/>
      <c r="B164" s="206"/>
      <c r="C164" s="207"/>
      <c r="D164" s="202" t="str">
        <f t="shared" si="13"/>
        <v/>
      </c>
      <c r="E164" s="202" t="str">
        <f t="shared" si="13"/>
        <v/>
      </c>
      <c r="F164" s="202" t="str">
        <f t="shared" si="13"/>
        <v/>
      </c>
      <c r="G164" s="202" t="str">
        <f t="shared" si="13"/>
        <v/>
      </c>
      <c r="H164" s="202" t="str">
        <f t="shared" si="13"/>
        <v/>
      </c>
      <c r="I164" s="202" t="str">
        <f t="shared" si="13"/>
        <v/>
      </c>
      <c r="J164" s="187"/>
      <c r="K164" s="199"/>
      <c r="L164" s="206"/>
      <c r="M164" s="207"/>
      <c r="N164" s="202" t="str">
        <f t="shared" si="14"/>
        <v/>
      </c>
      <c r="O164" s="202" t="str">
        <f t="shared" si="14"/>
        <v/>
      </c>
      <c r="P164" s="202" t="str">
        <f t="shared" si="14"/>
        <v/>
      </c>
      <c r="Q164" s="202" t="str">
        <f t="shared" si="14"/>
        <v/>
      </c>
      <c r="R164" s="202" t="str">
        <f t="shared" si="14"/>
        <v/>
      </c>
      <c r="S164" s="202" t="str">
        <f t="shared" si="14"/>
        <v/>
      </c>
      <c r="T164" s="187"/>
      <c r="U164" s="199"/>
      <c r="V164" s="206"/>
      <c r="W164" s="207"/>
      <c r="X164" s="202" t="str">
        <f t="shared" si="15"/>
        <v/>
      </c>
      <c r="Y164" s="202" t="str">
        <f t="shared" si="15"/>
        <v/>
      </c>
      <c r="Z164" s="202" t="str">
        <f t="shared" si="15"/>
        <v/>
      </c>
      <c r="AA164" s="202" t="str">
        <f t="shared" si="15"/>
        <v/>
      </c>
      <c r="AB164" s="202" t="str">
        <f t="shared" si="15"/>
        <v/>
      </c>
      <c r="AC164" s="202" t="str">
        <f t="shared" si="15"/>
        <v/>
      </c>
    </row>
    <row r="165" spans="1:29" ht="14.25" hidden="1" customHeight="1">
      <c r="A165" s="199"/>
      <c r="B165" s="206"/>
      <c r="C165" s="207"/>
      <c r="D165" s="202" t="str">
        <f t="shared" si="13"/>
        <v/>
      </c>
      <c r="E165" s="202" t="str">
        <f t="shared" si="13"/>
        <v/>
      </c>
      <c r="F165" s="202" t="str">
        <f t="shared" si="13"/>
        <v/>
      </c>
      <c r="G165" s="202" t="str">
        <f t="shared" si="13"/>
        <v/>
      </c>
      <c r="H165" s="202" t="str">
        <f t="shared" si="13"/>
        <v/>
      </c>
      <c r="I165" s="202" t="str">
        <f t="shared" si="13"/>
        <v/>
      </c>
      <c r="J165" s="187"/>
      <c r="K165" s="199"/>
      <c r="L165" s="206"/>
      <c r="M165" s="207"/>
      <c r="N165" s="202" t="str">
        <f t="shared" si="14"/>
        <v/>
      </c>
      <c r="O165" s="202" t="str">
        <f t="shared" si="14"/>
        <v/>
      </c>
      <c r="P165" s="202" t="str">
        <f t="shared" si="14"/>
        <v/>
      </c>
      <c r="Q165" s="202" t="str">
        <f t="shared" si="14"/>
        <v/>
      </c>
      <c r="R165" s="202" t="str">
        <f t="shared" si="14"/>
        <v/>
      </c>
      <c r="S165" s="202" t="str">
        <f t="shared" si="14"/>
        <v/>
      </c>
      <c r="T165" s="187"/>
      <c r="U165" s="199"/>
      <c r="V165" s="206"/>
      <c r="W165" s="207"/>
      <c r="X165" s="202" t="str">
        <f t="shared" si="15"/>
        <v/>
      </c>
      <c r="Y165" s="202" t="str">
        <f t="shared" si="15"/>
        <v/>
      </c>
      <c r="Z165" s="202" t="str">
        <f t="shared" si="15"/>
        <v/>
      </c>
      <c r="AA165" s="202" t="str">
        <f t="shared" si="15"/>
        <v/>
      </c>
      <c r="AB165" s="202" t="str">
        <f t="shared" si="15"/>
        <v/>
      </c>
      <c r="AC165" s="202" t="str">
        <f t="shared" si="15"/>
        <v/>
      </c>
    </row>
    <row r="166" spans="1:29" ht="14.25" hidden="1" customHeight="1">
      <c r="A166" s="199"/>
      <c r="B166" s="206"/>
      <c r="C166" s="207"/>
      <c r="D166" s="202" t="str">
        <f t="shared" si="13"/>
        <v/>
      </c>
      <c r="E166" s="202" t="str">
        <f t="shared" si="13"/>
        <v/>
      </c>
      <c r="F166" s="202" t="str">
        <f t="shared" si="13"/>
        <v/>
      </c>
      <c r="G166" s="202" t="str">
        <f t="shared" si="13"/>
        <v/>
      </c>
      <c r="H166" s="202" t="str">
        <f t="shared" si="13"/>
        <v/>
      </c>
      <c r="I166" s="202" t="str">
        <f t="shared" si="13"/>
        <v/>
      </c>
      <c r="J166" s="187"/>
      <c r="K166" s="199"/>
      <c r="L166" s="206"/>
      <c r="M166" s="207"/>
      <c r="N166" s="202" t="str">
        <f t="shared" si="14"/>
        <v/>
      </c>
      <c r="O166" s="202" t="str">
        <f t="shared" si="14"/>
        <v/>
      </c>
      <c r="P166" s="202" t="str">
        <f t="shared" si="14"/>
        <v/>
      </c>
      <c r="Q166" s="202" t="str">
        <f t="shared" si="14"/>
        <v/>
      </c>
      <c r="R166" s="202" t="str">
        <f t="shared" si="14"/>
        <v/>
      </c>
      <c r="S166" s="202" t="str">
        <f t="shared" si="14"/>
        <v/>
      </c>
      <c r="T166" s="187"/>
      <c r="U166" s="199"/>
      <c r="V166" s="206"/>
      <c r="W166" s="207"/>
      <c r="X166" s="202" t="str">
        <f t="shared" si="15"/>
        <v/>
      </c>
      <c r="Y166" s="202" t="str">
        <f t="shared" si="15"/>
        <v/>
      </c>
      <c r="Z166" s="202" t="str">
        <f t="shared" si="15"/>
        <v/>
      </c>
      <c r="AA166" s="202" t="str">
        <f t="shared" si="15"/>
        <v/>
      </c>
      <c r="AB166" s="202" t="str">
        <f t="shared" si="15"/>
        <v/>
      </c>
      <c r="AC166" s="202" t="str">
        <f t="shared" si="15"/>
        <v/>
      </c>
    </row>
    <row r="167" spans="1:29" ht="14.25" hidden="1" customHeight="1">
      <c r="A167" s="199"/>
      <c r="B167" s="206"/>
      <c r="C167" s="207"/>
      <c r="D167" s="202" t="str">
        <f t="shared" si="13"/>
        <v/>
      </c>
      <c r="E167" s="202" t="str">
        <f t="shared" si="13"/>
        <v/>
      </c>
      <c r="F167" s="202" t="str">
        <f t="shared" si="13"/>
        <v/>
      </c>
      <c r="G167" s="202" t="str">
        <f t="shared" si="13"/>
        <v/>
      </c>
      <c r="H167" s="202" t="str">
        <f t="shared" si="13"/>
        <v/>
      </c>
      <c r="I167" s="202" t="str">
        <f t="shared" si="13"/>
        <v/>
      </c>
      <c r="J167" s="187"/>
      <c r="K167" s="199"/>
      <c r="L167" s="206"/>
      <c r="M167" s="207"/>
      <c r="N167" s="202" t="str">
        <f t="shared" si="14"/>
        <v/>
      </c>
      <c r="O167" s="202" t="str">
        <f t="shared" si="14"/>
        <v/>
      </c>
      <c r="P167" s="202" t="str">
        <f t="shared" si="14"/>
        <v/>
      </c>
      <c r="Q167" s="202" t="str">
        <f t="shared" si="14"/>
        <v/>
      </c>
      <c r="R167" s="202" t="str">
        <f t="shared" si="14"/>
        <v/>
      </c>
      <c r="S167" s="202" t="str">
        <f t="shared" si="14"/>
        <v/>
      </c>
      <c r="T167" s="187"/>
      <c r="U167" s="199"/>
      <c r="V167" s="206"/>
      <c r="W167" s="207"/>
      <c r="X167" s="202" t="str">
        <f t="shared" si="15"/>
        <v/>
      </c>
      <c r="Y167" s="202" t="str">
        <f t="shared" si="15"/>
        <v/>
      </c>
      <c r="Z167" s="202" t="str">
        <f t="shared" si="15"/>
        <v/>
      </c>
      <c r="AA167" s="202" t="str">
        <f t="shared" si="15"/>
        <v/>
      </c>
      <c r="AB167" s="202" t="str">
        <f t="shared" si="15"/>
        <v/>
      </c>
      <c r="AC167" s="202" t="str">
        <f t="shared" si="15"/>
        <v/>
      </c>
    </row>
    <row r="168" spans="1:29" ht="14.25" hidden="1" customHeight="1">
      <c r="A168" s="199"/>
      <c r="B168" s="206"/>
      <c r="C168" s="207"/>
      <c r="D168" s="202" t="str">
        <f t="shared" si="13"/>
        <v/>
      </c>
      <c r="E168" s="202" t="str">
        <f t="shared" si="13"/>
        <v/>
      </c>
      <c r="F168" s="202" t="str">
        <f t="shared" si="13"/>
        <v/>
      </c>
      <c r="G168" s="202" t="str">
        <f t="shared" si="13"/>
        <v/>
      </c>
      <c r="H168" s="202" t="str">
        <f t="shared" si="13"/>
        <v/>
      </c>
      <c r="I168" s="202" t="str">
        <f t="shared" si="13"/>
        <v/>
      </c>
      <c r="J168" s="187"/>
      <c r="K168" s="199"/>
      <c r="L168" s="206"/>
      <c r="M168" s="207"/>
      <c r="N168" s="202" t="str">
        <f t="shared" si="14"/>
        <v/>
      </c>
      <c r="O168" s="202" t="str">
        <f t="shared" si="14"/>
        <v/>
      </c>
      <c r="P168" s="202" t="str">
        <f t="shared" si="14"/>
        <v/>
      </c>
      <c r="Q168" s="202" t="str">
        <f t="shared" si="14"/>
        <v/>
      </c>
      <c r="R168" s="202" t="str">
        <f t="shared" si="14"/>
        <v/>
      </c>
      <c r="S168" s="202" t="str">
        <f t="shared" si="14"/>
        <v/>
      </c>
      <c r="T168" s="187"/>
      <c r="U168" s="199"/>
      <c r="V168" s="206"/>
      <c r="W168" s="207"/>
      <c r="X168" s="202" t="str">
        <f t="shared" si="15"/>
        <v/>
      </c>
      <c r="Y168" s="202" t="str">
        <f t="shared" si="15"/>
        <v/>
      </c>
      <c r="Z168" s="202" t="str">
        <f t="shared" si="15"/>
        <v/>
      </c>
      <c r="AA168" s="202" t="str">
        <f t="shared" si="15"/>
        <v/>
      </c>
      <c r="AB168" s="202" t="str">
        <f t="shared" si="15"/>
        <v/>
      </c>
      <c r="AC168" s="202" t="str">
        <f t="shared" si="15"/>
        <v/>
      </c>
    </row>
    <row r="169" spans="1:29" ht="14.25" hidden="1" customHeight="1">
      <c r="A169" s="199"/>
      <c r="B169" s="206"/>
      <c r="C169" s="207"/>
      <c r="D169" s="202" t="str">
        <f t="shared" si="13"/>
        <v/>
      </c>
      <c r="E169" s="202" t="str">
        <f t="shared" si="13"/>
        <v/>
      </c>
      <c r="F169" s="202" t="str">
        <f t="shared" si="13"/>
        <v/>
      </c>
      <c r="G169" s="202" t="str">
        <f t="shared" si="13"/>
        <v/>
      </c>
      <c r="H169" s="202" t="str">
        <f t="shared" si="13"/>
        <v/>
      </c>
      <c r="I169" s="202" t="str">
        <f t="shared" si="13"/>
        <v/>
      </c>
      <c r="J169" s="187"/>
      <c r="K169" s="199"/>
      <c r="L169" s="206"/>
      <c r="M169" s="207"/>
      <c r="N169" s="202" t="str">
        <f t="shared" si="14"/>
        <v/>
      </c>
      <c r="O169" s="202" t="str">
        <f t="shared" si="14"/>
        <v/>
      </c>
      <c r="P169" s="202" t="str">
        <f t="shared" si="14"/>
        <v/>
      </c>
      <c r="Q169" s="202" t="str">
        <f t="shared" si="14"/>
        <v/>
      </c>
      <c r="R169" s="202" t="str">
        <f t="shared" si="14"/>
        <v/>
      </c>
      <c r="S169" s="202" t="str">
        <f t="shared" si="14"/>
        <v/>
      </c>
      <c r="T169" s="187"/>
      <c r="U169" s="199"/>
      <c r="V169" s="206"/>
      <c r="W169" s="207"/>
      <c r="X169" s="202" t="str">
        <f t="shared" si="15"/>
        <v/>
      </c>
      <c r="Y169" s="202" t="str">
        <f t="shared" si="15"/>
        <v/>
      </c>
      <c r="Z169" s="202" t="str">
        <f t="shared" si="15"/>
        <v/>
      </c>
      <c r="AA169" s="202" t="str">
        <f t="shared" si="15"/>
        <v/>
      </c>
      <c r="AB169" s="202" t="str">
        <f t="shared" si="15"/>
        <v/>
      </c>
      <c r="AC169" s="202" t="str">
        <f t="shared" si="15"/>
        <v/>
      </c>
    </row>
    <row r="170" spans="1:29" ht="14.25" hidden="1" customHeight="1">
      <c r="A170" s="199"/>
      <c r="B170" s="206"/>
      <c r="C170" s="207"/>
      <c r="D170" s="202" t="str">
        <f t="shared" si="13"/>
        <v/>
      </c>
      <c r="E170" s="202" t="str">
        <f t="shared" si="13"/>
        <v/>
      </c>
      <c r="F170" s="202" t="str">
        <f t="shared" si="13"/>
        <v/>
      </c>
      <c r="G170" s="202" t="str">
        <f t="shared" si="13"/>
        <v/>
      </c>
      <c r="H170" s="202" t="str">
        <f t="shared" si="13"/>
        <v/>
      </c>
      <c r="I170" s="202" t="str">
        <f t="shared" si="13"/>
        <v/>
      </c>
      <c r="J170" s="187"/>
      <c r="K170" s="199"/>
      <c r="L170" s="206"/>
      <c r="M170" s="207"/>
      <c r="N170" s="202" t="str">
        <f t="shared" si="14"/>
        <v/>
      </c>
      <c r="O170" s="202" t="str">
        <f t="shared" si="14"/>
        <v/>
      </c>
      <c r="P170" s="202" t="str">
        <f t="shared" si="14"/>
        <v/>
      </c>
      <c r="Q170" s="202" t="str">
        <f t="shared" si="14"/>
        <v/>
      </c>
      <c r="R170" s="202" t="str">
        <f t="shared" si="14"/>
        <v/>
      </c>
      <c r="S170" s="202" t="str">
        <f t="shared" si="14"/>
        <v/>
      </c>
      <c r="T170" s="187"/>
      <c r="U170" s="199"/>
      <c r="V170" s="206"/>
      <c r="W170" s="207"/>
      <c r="X170" s="202" t="str">
        <f t="shared" si="15"/>
        <v/>
      </c>
      <c r="Y170" s="202" t="str">
        <f t="shared" si="15"/>
        <v/>
      </c>
      <c r="Z170" s="202" t="str">
        <f t="shared" si="15"/>
        <v/>
      </c>
      <c r="AA170" s="202" t="str">
        <f t="shared" si="15"/>
        <v/>
      </c>
      <c r="AB170" s="202" t="str">
        <f t="shared" si="15"/>
        <v/>
      </c>
      <c r="AC170" s="202" t="str">
        <f t="shared" si="15"/>
        <v/>
      </c>
    </row>
    <row r="171" spans="1:29" ht="14.25" hidden="1" customHeight="1">
      <c r="A171" s="199"/>
      <c r="B171" s="206"/>
      <c r="C171" s="207"/>
      <c r="D171" s="202" t="str">
        <f t="shared" ref="D171:I176" si="16">IF(AND(ISNUMBER($B171),ISNUMBER(D$5)),IF(D114=0,0,((D114/D$120)*(LN(D114/D$120)))),"")</f>
        <v/>
      </c>
      <c r="E171" s="202" t="str">
        <f t="shared" si="16"/>
        <v/>
      </c>
      <c r="F171" s="202" t="str">
        <f t="shared" si="16"/>
        <v/>
      </c>
      <c r="G171" s="202" t="str">
        <f t="shared" si="16"/>
        <v/>
      </c>
      <c r="H171" s="202" t="str">
        <f t="shared" si="16"/>
        <v/>
      </c>
      <c r="I171" s="202" t="str">
        <f t="shared" si="16"/>
        <v/>
      </c>
      <c r="J171" s="187"/>
      <c r="K171" s="199"/>
      <c r="L171" s="206"/>
      <c r="M171" s="207"/>
      <c r="N171" s="202" t="str">
        <f t="shared" si="14"/>
        <v/>
      </c>
      <c r="O171" s="202" t="str">
        <f t="shared" si="14"/>
        <v/>
      </c>
      <c r="P171" s="202" t="str">
        <f t="shared" si="14"/>
        <v/>
      </c>
      <c r="Q171" s="202" t="str">
        <f t="shared" si="14"/>
        <v/>
      </c>
      <c r="R171" s="202" t="str">
        <f t="shared" si="14"/>
        <v/>
      </c>
      <c r="S171" s="202" t="str">
        <f t="shared" si="14"/>
        <v/>
      </c>
      <c r="T171" s="187"/>
      <c r="U171" s="199"/>
      <c r="V171" s="206"/>
      <c r="W171" s="207"/>
      <c r="X171" s="202" t="str">
        <f t="shared" si="15"/>
        <v/>
      </c>
      <c r="Y171" s="202" t="str">
        <f t="shared" si="15"/>
        <v/>
      </c>
      <c r="Z171" s="202" t="str">
        <f t="shared" si="15"/>
        <v/>
      </c>
      <c r="AA171" s="202" t="str">
        <f t="shared" si="15"/>
        <v/>
      </c>
      <c r="AB171" s="202" t="str">
        <f t="shared" si="15"/>
        <v/>
      </c>
      <c r="AC171" s="202" t="str">
        <f t="shared" si="15"/>
        <v/>
      </c>
    </row>
    <row r="172" spans="1:29" ht="14.25" hidden="1" customHeight="1">
      <c r="A172" s="199"/>
      <c r="B172" s="206"/>
      <c r="C172" s="207"/>
      <c r="D172" s="202" t="str">
        <f t="shared" si="16"/>
        <v/>
      </c>
      <c r="E172" s="202" t="str">
        <f t="shared" si="16"/>
        <v/>
      </c>
      <c r="F172" s="202" t="str">
        <f t="shared" si="16"/>
        <v/>
      </c>
      <c r="G172" s="202" t="str">
        <f t="shared" si="16"/>
        <v/>
      </c>
      <c r="H172" s="202" t="str">
        <f t="shared" si="16"/>
        <v/>
      </c>
      <c r="I172" s="202" t="str">
        <f t="shared" si="16"/>
        <v/>
      </c>
      <c r="J172" s="187"/>
      <c r="K172" s="199"/>
      <c r="L172" s="206"/>
      <c r="M172" s="207"/>
      <c r="N172" s="202" t="str">
        <f t="shared" si="14"/>
        <v/>
      </c>
      <c r="O172" s="202" t="str">
        <f t="shared" si="14"/>
        <v/>
      </c>
      <c r="P172" s="202" t="str">
        <f t="shared" si="14"/>
        <v/>
      </c>
      <c r="Q172" s="202" t="str">
        <f t="shared" si="14"/>
        <v/>
      </c>
      <c r="R172" s="202" t="str">
        <f t="shared" si="14"/>
        <v/>
      </c>
      <c r="S172" s="202" t="str">
        <f t="shared" si="14"/>
        <v/>
      </c>
      <c r="T172" s="187"/>
      <c r="U172" s="199"/>
      <c r="V172" s="206"/>
      <c r="W172" s="207"/>
      <c r="X172" s="202" t="str">
        <f t="shared" si="15"/>
        <v/>
      </c>
      <c r="Y172" s="202" t="str">
        <f t="shared" si="15"/>
        <v/>
      </c>
      <c r="Z172" s="202" t="str">
        <f t="shared" si="15"/>
        <v/>
      </c>
      <c r="AA172" s="202" t="str">
        <f t="shared" si="15"/>
        <v/>
      </c>
      <c r="AB172" s="202" t="str">
        <f t="shared" si="15"/>
        <v/>
      </c>
      <c r="AC172" s="202" t="str">
        <f t="shared" si="15"/>
        <v/>
      </c>
    </row>
    <row r="173" spans="1:29" ht="14.25" hidden="1" customHeight="1">
      <c r="A173" s="199"/>
      <c r="B173" s="206"/>
      <c r="C173" s="207"/>
      <c r="D173" s="202" t="str">
        <f t="shared" si="16"/>
        <v/>
      </c>
      <c r="E173" s="202" t="str">
        <f t="shared" si="16"/>
        <v/>
      </c>
      <c r="F173" s="202" t="str">
        <f t="shared" si="16"/>
        <v/>
      </c>
      <c r="G173" s="202" t="str">
        <f t="shared" si="16"/>
        <v/>
      </c>
      <c r="H173" s="202" t="str">
        <f t="shared" si="16"/>
        <v/>
      </c>
      <c r="I173" s="202" t="str">
        <f t="shared" si="16"/>
        <v/>
      </c>
      <c r="J173" s="187"/>
      <c r="K173" s="199"/>
      <c r="L173" s="206"/>
      <c r="M173" s="207"/>
      <c r="N173" s="202" t="str">
        <f t="shared" ref="N173:S176" si="17">IF(AND(ISNUMBER($L173),ISNUMBER(N$5)),IF(N116=0,0,((N116/N$120)*(LN(N116/N$120)))),"")</f>
        <v/>
      </c>
      <c r="O173" s="202" t="str">
        <f t="shared" si="17"/>
        <v/>
      </c>
      <c r="P173" s="202" t="str">
        <f t="shared" si="17"/>
        <v/>
      </c>
      <c r="Q173" s="202" t="str">
        <f t="shared" si="17"/>
        <v/>
      </c>
      <c r="R173" s="202" t="str">
        <f t="shared" si="17"/>
        <v/>
      </c>
      <c r="S173" s="202" t="str">
        <f t="shared" si="17"/>
        <v/>
      </c>
      <c r="T173" s="187"/>
      <c r="U173" s="199"/>
      <c r="V173" s="206"/>
      <c r="W173" s="207"/>
      <c r="X173" s="202" t="str">
        <f t="shared" ref="X173:AC176" si="18">IF(AND(ISNUMBER($V173),ISNUMBER(X$5)),IF(X116=0,0,((X116/X$120)*(LN(X116/X$120)))),"")</f>
        <v/>
      </c>
      <c r="Y173" s="202" t="str">
        <f t="shared" si="18"/>
        <v/>
      </c>
      <c r="Z173" s="202" t="str">
        <f t="shared" si="18"/>
        <v/>
      </c>
      <c r="AA173" s="202" t="str">
        <f t="shared" si="18"/>
        <v/>
      </c>
      <c r="AB173" s="202" t="str">
        <f t="shared" si="18"/>
        <v/>
      </c>
      <c r="AC173" s="202" t="str">
        <f t="shared" si="18"/>
        <v/>
      </c>
    </row>
    <row r="174" spans="1:29" ht="14.25" hidden="1" customHeight="1">
      <c r="A174" s="199"/>
      <c r="B174" s="206"/>
      <c r="C174" s="207"/>
      <c r="D174" s="202" t="str">
        <f t="shared" si="16"/>
        <v/>
      </c>
      <c r="E174" s="202" t="str">
        <f t="shared" si="16"/>
        <v/>
      </c>
      <c r="F174" s="202" t="str">
        <f t="shared" si="16"/>
        <v/>
      </c>
      <c r="G174" s="202" t="str">
        <f t="shared" si="16"/>
        <v/>
      </c>
      <c r="H174" s="202" t="str">
        <f t="shared" si="16"/>
        <v/>
      </c>
      <c r="I174" s="202" t="str">
        <f t="shared" si="16"/>
        <v/>
      </c>
      <c r="J174" s="187"/>
      <c r="K174" s="199"/>
      <c r="L174" s="206"/>
      <c r="M174" s="207"/>
      <c r="N174" s="202" t="str">
        <f t="shared" si="17"/>
        <v/>
      </c>
      <c r="O174" s="202" t="str">
        <f t="shared" si="17"/>
        <v/>
      </c>
      <c r="P174" s="202" t="str">
        <f t="shared" si="17"/>
        <v/>
      </c>
      <c r="Q174" s="202" t="str">
        <f t="shared" si="17"/>
        <v/>
      </c>
      <c r="R174" s="202" t="str">
        <f t="shared" si="17"/>
        <v/>
      </c>
      <c r="S174" s="202" t="str">
        <f t="shared" si="17"/>
        <v/>
      </c>
      <c r="T174" s="187"/>
      <c r="U174" s="199"/>
      <c r="V174" s="206"/>
      <c r="W174" s="207"/>
      <c r="X174" s="202" t="str">
        <f t="shared" si="18"/>
        <v/>
      </c>
      <c r="Y174" s="202" t="str">
        <f t="shared" si="18"/>
        <v/>
      </c>
      <c r="Z174" s="202" t="str">
        <f t="shared" si="18"/>
        <v/>
      </c>
      <c r="AA174" s="202" t="str">
        <f t="shared" si="18"/>
        <v/>
      </c>
      <c r="AB174" s="202" t="str">
        <f t="shared" si="18"/>
        <v/>
      </c>
      <c r="AC174" s="202" t="str">
        <f t="shared" si="18"/>
        <v/>
      </c>
    </row>
    <row r="175" spans="1:29" ht="14.25" hidden="1" customHeight="1">
      <c r="A175" s="199"/>
      <c r="B175" s="206"/>
      <c r="C175" s="207"/>
      <c r="D175" s="202" t="str">
        <f t="shared" si="16"/>
        <v/>
      </c>
      <c r="E175" s="202" t="str">
        <f t="shared" si="16"/>
        <v/>
      </c>
      <c r="F175" s="202" t="str">
        <f t="shared" si="16"/>
        <v/>
      </c>
      <c r="G175" s="202" t="str">
        <f t="shared" si="16"/>
        <v/>
      </c>
      <c r="H175" s="202" t="str">
        <f t="shared" si="16"/>
        <v/>
      </c>
      <c r="I175" s="202" t="str">
        <f t="shared" si="16"/>
        <v/>
      </c>
      <c r="J175" s="187"/>
      <c r="K175" s="199"/>
      <c r="L175" s="206"/>
      <c r="M175" s="207"/>
      <c r="N175" s="202" t="str">
        <f t="shared" si="17"/>
        <v/>
      </c>
      <c r="O175" s="202" t="str">
        <f t="shared" si="17"/>
        <v/>
      </c>
      <c r="P175" s="202" t="str">
        <f t="shared" si="17"/>
        <v/>
      </c>
      <c r="Q175" s="202" t="str">
        <f t="shared" si="17"/>
        <v/>
      </c>
      <c r="R175" s="202" t="str">
        <f t="shared" si="17"/>
        <v/>
      </c>
      <c r="S175" s="202" t="str">
        <f t="shared" si="17"/>
        <v/>
      </c>
      <c r="T175" s="187"/>
      <c r="U175" s="199"/>
      <c r="V175" s="206"/>
      <c r="W175" s="207"/>
      <c r="X175" s="202" t="str">
        <f t="shared" si="18"/>
        <v/>
      </c>
      <c r="Y175" s="202" t="str">
        <f t="shared" si="18"/>
        <v/>
      </c>
      <c r="Z175" s="202" t="str">
        <f t="shared" si="18"/>
        <v/>
      </c>
      <c r="AA175" s="202" t="str">
        <f t="shared" si="18"/>
        <v/>
      </c>
      <c r="AB175" s="202" t="str">
        <f t="shared" si="18"/>
        <v/>
      </c>
      <c r="AC175" s="202" t="str">
        <f t="shared" si="18"/>
        <v/>
      </c>
    </row>
    <row r="176" spans="1:29" ht="14.25" hidden="1" customHeight="1">
      <c r="A176" s="199"/>
      <c r="B176" s="206"/>
      <c r="C176" s="207"/>
      <c r="D176" s="202" t="str">
        <f t="shared" si="16"/>
        <v/>
      </c>
      <c r="E176" s="202" t="str">
        <f t="shared" si="16"/>
        <v/>
      </c>
      <c r="F176" s="202" t="str">
        <f t="shared" si="16"/>
        <v/>
      </c>
      <c r="G176" s="202" t="str">
        <f t="shared" si="16"/>
        <v/>
      </c>
      <c r="H176" s="202" t="str">
        <f t="shared" si="16"/>
        <v/>
      </c>
      <c r="I176" s="202" t="str">
        <f t="shared" si="16"/>
        <v/>
      </c>
      <c r="J176" s="187"/>
      <c r="K176" s="199"/>
      <c r="L176" s="206"/>
      <c r="M176" s="207"/>
      <c r="N176" s="202" t="str">
        <f t="shared" si="17"/>
        <v/>
      </c>
      <c r="O176" s="202" t="str">
        <f t="shared" si="17"/>
        <v/>
      </c>
      <c r="P176" s="202" t="str">
        <f t="shared" si="17"/>
        <v/>
      </c>
      <c r="Q176" s="202" t="str">
        <f t="shared" si="17"/>
        <v/>
      </c>
      <c r="R176" s="202" t="str">
        <f t="shared" si="17"/>
        <v/>
      </c>
      <c r="S176" s="202" t="str">
        <f t="shared" si="17"/>
        <v/>
      </c>
      <c r="T176" s="187"/>
      <c r="U176" s="199"/>
      <c r="V176" s="206"/>
      <c r="W176" s="207"/>
      <c r="X176" s="202" t="str">
        <f t="shared" si="18"/>
        <v/>
      </c>
      <c r="Y176" s="202" t="str">
        <f t="shared" si="18"/>
        <v/>
      </c>
      <c r="Z176" s="202" t="str">
        <f t="shared" si="18"/>
        <v/>
      </c>
      <c r="AA176" s="202" t="str">
        <f t="shared" si="18"/>
        <v/>
      </c>
      <c r="AB176" s="202" t="str">
        <f t="shared" si="18"/>
        <v/>
      </c>
      <c r="AC176" s="202" t="str">
        <f t="shared" si="18"/>
        <v/>
      </c>
    </row>
    <row r="177" spans="1:29" ht="14.25" customHeight="1">
      <c r="A177" s="208"/>
      <c r="B177" s="307" t="s">
        <v>145</v>
      </c>
      <c r="C177" s="307"/>
      <c r="D177" s="202">
        <f ca="1">SUM(D123:D149)</f>
        <v>-3.2258656450299075</v>
      </c>
      <c r="E177" s="202">
        <f t="shared" ref="E177:I177" ca="1" si="19">SUM(E123:E149)</f>
        <v>-3.1591577041297958</v>
      </c>
      <c r="F177" s="202">
        <f t="shared" ca="1" si="19"/>
        <v>-3.260319506761884</v>
      </c>
      <c r="G177" s="202">
        <f t="shared" ca="1" si="19"/>
        <v>-3.2494574105353511</v>
      </c>
      <c r="H177" s="202">
        <f t="shared" ca="1" si="19"/>
        <v>-3.2645345657567999</v>
      </c>
      <c r="I177" s="202">
        <f t="shared" ca="1" si="19"/>
        <v>-3.2732761023958665</v>
      </c>
      <c r="J177" s="187"/>
      <c r="K177" s="208"/>
      <c r="L177" s="307" t="s">
        <v>145</v>
      </c>
      <c r="M177" s="307"/>
      <c r="N177" s="202">
        <f t="shared" ref="N177:S177" ca="1" si="20">SUM(N123:N149)</f>
        <v>-3.2231379110011806</v>
      </c>
      <c r="O177" s="202">
        <f t="shared" ca="1" si="20"/>
        <v>-3.171860323392242</v>
      </c>
      <c r="P177" s="202">
        <f t="shared" ca="1" si="20"/>
        <v>-3.2633055070113373</v>
      </c>
      <c r="Q177" s="202">
        <f t="shared" ca="1" si="20"/>
        <v>-3.2539676085667328</v>
      </c>
      <c r="R177" s="202">
        <f t="shared" ca="1" si="20"/>
        <v>-3.2548662153748977</v>
      </c>
      <c r="S177" s="202">
        <f t="shared" ca="1" si="20"/>
        <v>-3.2743496800776497</v>
      </c>
      <c r="T177" s="187"/>
      <c r="U177" s="208"/>
      <c r="V177" s="307" t="s">
        <v>145</v>
      </c>
      <c r="W177" s="307"/>
      <c r="X177" s="202">
        <f t="shared" ref="X177:AC177" ca="1" si="21">SUM(X123:X149)</f>
        <v>-3.225865442314034</v>
      </c>
      <c r="Y177" s="202">
        <f t="shared" ca="1" si="21"/>
        <v>-3.1688760703979533</v>
      </c>
      <c r="Z177" s="202">
        <f t="shared" ca="1" si="21"/>
        <v>-3.2639820079999344</v>
      </c>
      <c r="AA177" s="202">
        <f t="shared" ca="1" si="21"/>
        <v>-3.2531931592280809</v>
      </c>
      <c r="AB177" s="202">
        <f t="shared" ca="1" si="21"/>
        <v>-3.2619699355376564</v>
      </c>
      <c r="AC177" s="202">
        <f t="shared" ca="1" si="21"/>
        <v>-3.27396742036606</v>
      </c>
    </row>
    <row r="178" spans="1:29" ht="14.25" hidden="1" customHeight="1">
      <c r="A178" s="209"/>
      <c r="B178" s="187"/>
      <c r="C178" s="187"/>
      <c r="D178" s="187"/>
      <c r="E178" s="187"/>
      <c r="F178" s="187"/>
      <c r="G178" s="187"/>
      <c r="H178" s="187"/>
      <c r="I178" s="187"/>
      <c r="J178" s="187"/>
      <c r="K178" s="209"/>
      <c r="L178" s="187"/>
      <c r="M178" s="187"/>
      <c r="N178" s="187"/>
      <c r="O178" s="187"/>
      <c r="P178" s="187"/>
      <c r="Q178" s="187"/>
      <c r="R178" s="187"/>
      <c r="S178" s="187"/>
      <c r="T178" s="187"/>
      <c r="U178" s="209"/>
      <c r="V178" s="187"/>
      <c r="W178" s="187"/>
      <c r="X178" s="187"/>
      <c r="Y178" s="187"/>
      <c r="Z178" s="187"/>
      <c r="AA178" s="187"/>
      <c r="AB178" s="187"/>
      <c r="AC178" s="187"/>
    </row>
    <row r="179" spans="1:29" ht="14.25" hidden="1" customHeight="1">
      <c r="A179" s="206"/>
      <c r="B179" s="187"/>
      <c r="C179" s="187"/>
      <c r="D179" s="187"/>
      <c r="E179" s="187"/>
      <c r="F179" s="187"/>
      <c r="G179" s="187"/>
      <c r="H179" s="187"/>
      <c r="I179" s="187"/>
      <c r="J179" s="187"/>
      <c r="K179" s="206"/>
      <c r="L179" s="187"/>
      <c r="M179" s="187"/>
      <c r="N179" s="187"/>
      <c r="O179" s="187"/>
      <c r="P179" s="187"/>
      <c r="Q179" s="187"/>
      <c r="R179" s="187"/>
      <c r="S179" s="187"/>
      <c r="T179" s="187"/>
      <c r="U179" s="206"/>
      <c r="V179" s="187"/>
      <c r="W179" s="187"/>
      <c r="X179" s="187"/>
      <c r="Y179" s="187"/>
      <c r="Z179" s="187"/>
      <c r="AA179" s="187"/>
      <c r="AB179" s="187"/>
      <c r="AC179" s="187"/>
    </row>
    <row r="180" spans="1:29" ht="14.25" hidden="1" customHeight="1">
      <c r="A180" s="206"/>
      <c r="B180" s="187"/>
      <c r="C180" s="187"/>
      <c r="D180" s="187"/>
      <c r="E180" s="187"/>
      <c r="F180" s="187"/>
      <c r="G180" s="187"/>
      <c r="H180" s="187"/>
      <c r="I180" s="187"/>
      <c r="J180" s="187"/>
      <c r="K180" s="206"/>
      <c r="L180" s="187"/>
      <c r="M180" s="187"/>
      <c r="N180" s="187"/>
      <c r="O180" s="187"/>
      <c r="P180" s="187"/>
      <c r="Q180" s="187"/>
      <c r="R180" s="187"/>
      <c r="S180" s="187"/>
      <c r="T180" s="187"/>
      <c r="U180" s="206"/>
      <c r="V180" s="187"/>
      <c r="W180" s="187"/>
      <c r="X180" s="187"/>
      <c r="Y180" s="187"/>
      <c r="Z180" s="187"/>
      <c r="AA180" s="187"/>
      <c r="AB180" s="187"/>
      <c r="AC180" s="187"/>
    </row>
    <row r="181" spans="1:29" ht="14.25" hidden="1" customHeight="1" thickBot="1">
      <c r="A181" s="210"/>
      <c r="B181" s="187"/>
      <c r="C181" s="187"/>
      <c r="D181" s="187"/>
      <c r="E181" s="187"/>
      <c r="F181" s="187"/>
      <c r="G181" s="187"/>
      <c r="H181" s="187"/>
      <c r="I181" s="187"/>
      <c r="J181" s="187"/>
      <c r="K181" s="210"/>
      <c r="L181" s="187"/>
      <c r="M181" s="187"/>
      <c r="N181" s="187"/>
      <c r="O181" s="187"/>
      <c r="P181" s="187"/>
      <c r="Q181" s="187"/>
      <c r="R181" s="187"/>
      <c r="S181" s="187"/>
      <c r="T181" s="187"/>
      <c r="U181" s="210"/>
      <c r="V181" s="187"/>
      <c r="W181" s="187"/>
      <c r="X181" s="187"/>
      <c r="Y181" s="187"/>
      <c r="Z181" s="187"/>
      <c r="AA181" s="187"/>
      <c r="AB181" s="187"/>
      <c r="AC181" s="187"/>
    </row>
    <row r="182" spans="1:29" ht="14.25" hidden="1" customHeight="1">
      <c r="A182" s="187"/>
      <c r="B182" s="187"/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187"/>
      <c r="AA182" s="187"/>
      <c r="AB182" s="187"/>
      <c r="AC182" s="187"/>
    </row>
    <row r="183" spans="1:29" ht="14.25" hidden="1" customHeight="1">
      <c r="A183" s="187"/>
      <c r="B183" s="187"/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187"/>
      <c r="AA183" s="187"/>
      <c r="AB183" s="187"/>
      <c r="AC183" s="187"/>
    </row>
    <row r="184" spans="1:29" ht="14.25" hidden="1" customHeight="1">
      <c r="A184" s="187"/>
      <c r="B184" s="187"/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187"/>
      <c r="AA184" s="187"/>
      <c r="AB184" s="187"/>
      <c r="AC184" s="187"/>
    </row>
    <row r="185" spans="1:29" ht="14.25" hidden="1" customHeight="1">
      <c r="A185" s="187"/>
      <c r="B185" s="187"/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187"/>
      <c r="AA185" s="187"/>
      <c r="AB185" s="187"/>
      <c r="AC185" s="187"/>
    </row>
    <row r="186" spans="1:29" ht="14.25" hidden="1" customHeight="1">
      <c r="A186" s="187"/>
      <c r="B186" s="187"/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187"/>
      <c r="AA186" s="187"/>
      <c r="AB186" s="187"/>
      <c r="AC186" s="187"/>
    </row>
    <row r="187" spans="1:29" ht="14.25" hidden="1" customHeight="1">
      <c r="A187" s="187"/>
      <c r="B187" s="187"/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187"/>
      <c r="AA187" s="187"/>
      <c r="AB187" s="187"/>
      <c r="AC187" s="187"/>
    </row>
    <row r="188" spans="1:29" ht="14.25" hidden="1" customHeight="1">
      <c r="A188" s="187"/>
      <c r="B188" s="187"/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187"/>
      <c r="AA188" s="187"/>
      <c r="AB188" s="187"/>
      <c r="AC188" s="187"/>
    </row>
    <row r="189" spans="1:29" ht="14.25" hidden="1" customHeight="1">
      <c r="A189" s="187"/>
      <c r="B189" s="187"/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187"/>
      <c r="AA189" s="187"/>
      <c r="AB189" s="187"/>
      <c r="AC189" s="187"/>
    </row>
    <row r="190" spans="1:29" ht="14.25" hidden="1" customHeight="1">
      <c r="A190" s="187"/>
      <c r="B190" s="187"/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187"/>
      <c r="AA190" s="187"/>
      <c r="AB190" s="187"/>
      <c r="AC190" s="187"/>
    </row>
    <row r="191" spans="1:29" ht="14.25" hidden="1" customHeight="1">
      <c r="A191" s="187"/>
      <c r="B191" s="187"/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187"/>
      <c r="AA191" s="187"/>
      <c r="AB191" s="187"/>
      <c r="AC191" s="187"/>
    </row>
    <row r="192" spans="1:29" ht="14.25" hidden="1" customHeight="1">
      <c r="A192" s="187"/>
      <c r="B192" s="187"/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187"/>
      <c r="AA192" s="187"/>
      <c r="AB192" s="187"/>
      <c r="AC192" s="187"/>
    </row>
    <row r="193" spans="1:29" ht="14.25" hidden="1" customHeight="1">
      <c r="A193" s="187"/>
      <c r="B193" s="187"/>
      <c r="C193" s="187"/>
      <c r="D193" s="187"/>
      <c r="E193" s="187"/>
      <c r="F193" s="187"/>
      <c r="G193" s="187"/>
      <c r="H193" s="187"/>
      <c r="I193" s="187"/>
      <c r="J193" s="187"/>
      <c r="K193" s="187"/>
      <c r="L193" s="187"/>
      <c r="M193" s="187"/>
      <c r="N193" s="187"/>
      <c r="O193" s="187"/>
      <c r="P193" s="187"/>
      <c r="Q193" s="187"/>
      <c r="R193" s="187"/>
      <c r="S193" s="187"/>
      <c r="T193" s="187"/>
      <c r="U193" s="187"/>
      <c r="V193" s="187"/>
      <c r="W193" s="187"/>
      <c r="X193" s="187"/>
      <c r="Y193" s="187"/>
      <c r="Z193" s="187"/>
      <c r="AA193" s="187"/>
      <c r="AB193" s="187"/>
      <c r="AC193" s="187"/>
    </row>
    <row r="194" spans="1:29" ht="14.25" hidden="1" customHeight="1">
      <c r="A194" s="187"/>
      <c r="B194" s="187"/>
      <c r="C194" s="187"/>
      <c r="D194" s="187"/>
      <c r="E194" s="187"/>
      <c r="F194" s="187"/>
      <c r="G194" s="187"/>
      <c r="H194" s="187"/>
      <c r="I194" s="187"/>
      <c r="J194" s="187"/>
      <c r="K194" s="187"/>
      <c r="L194" s="187"/>
      <c r="M194" s="187"/>
      <c r="N194" s="187"/>
      <c r="O194" s="187"/>
      <c r="P194" s="187"/>
      <c r="Q194" s="187"/>
      <c r="R194" s="187"/>
      <c r="S194" s="187"/>
      <c r="T194" s="187"/>
      <c r="U194" s="187"/>
      <c r="V194" s="187"/>
      <c r="W194" s="187"/>
      <c r="X194" s="187"/>
      <c r="Y194" s="187"/>
      <c r="Z194" s="187"/>
      <c r="AA194" s="187"/>
      <c r="AB194" s="187"/>
      <c r="AC194" s="187"/>
    </row>
    <row r="195" spans="1:29" ht="14.25" hidden="1" customHeight="1">
      <c r="A195" s="187"/>
      <c r="B195" s="187"/>
      <c r="C195" s="187"/>
      <c r="D195" s="187"/>
      <c r="E195" s="187"/>
      <c r="F195" s="187"/>
      <c r="G195" s="187"/>
      <c r="H195" s="187"/>
      <c r="I195" s="187"/>
      <c r="J195" s="187"/>
      <c r="K195" s="187"/>
      <c r="L195" s="187"/>
      <c r="M195" s="187"/>
      <c r="N195" s="187"/>
      <c r="O195" s="187"/>
      <c r="P195" s="187"/>
      <c r="Q195" s="187"/>
      <c r="R195" s="187"/>
      <c r="S195" s="187"/>
      <c r="T195" s="187"/>
      <c r="U195" s="187"/>
      <c r="V195" s="187"/>
      <c r="W195" s="187"/>
      <c r="X195" s="187"/>
      <c r="Y195" s="187"/>
      <c r="Z195" s="187"/>
      <c r="AA195" s="187"/>
      <c r="AB195" s="187"/>
      <c r="AC195" s="187"/>
    </row>
    <row r="196" spans="1:29" ht="14.25" hidden="1" customHeight="1">
      <c r="A196" s="187"/>
      <c r="B196" s="187"/>
      <c r="C196" s="187"/>
      <c r="D196" s="187"/>
      <c r="E196" s="187"/>
      <c r="F196" s="187"/>
      <c r="G196" s="187"/>
      <c r="H196" s="187"/>
      <c r="I196" s="187"/>
      <c r="J196" s="187"/>
      <c r="K196" s="187"/>
      <c r="L196" s="187"/>
      <c r="M196" s="187"/>
      <c r="N196" s="187"/>
      <c r="O196" s="187"/>
      <c r="P196" s="187"/>
      <c r="Q196" s="187"/>
      <c r="R196" s="187"/>
      <c r="S196" s="187"/>
      <c r="T196" s="187"/>
      <c r="U196" s="187"/>
      <c r="V196" s="187"/>
      <c r="W196" s="187"/>
      <c r="X196" s="187"/>
      <c r="Y196" s="187"/>
      <c r="Z196" s="187"/>
      <c r="AA196" s="187"/>
      <c r="AB196" s="187"/>
      <c r="AC196" s="187"/>
    </row>
    <row r="197" spans="1:29" ht="14.25" hidden="1" customHeight="1">
      <c r="A197" s="187"/>
      <c r="B197" s="187"/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/>
      <c r="AA197" s="187"/>
      <c r="AB197" s="187"/>
      <c r="AC197" s="187"/>
    </row>
    <row r="198" spans="1:29" ht="14.25" hidden="1" customHeight="1">
      <c r="A198" s="187"/>
      <c r="B198" s="187"/>
      <c r="C198" s="187"/>
      <c r="D198" s="187"/>
      <c r="E198" s="187"/>
      <c r="F198" s="187"/>
      <c r="G198" s="187"/>
      <c r="H198" s="187"/>
      <c r="I198" s="187"/>
      <c r="J198" s="187"/>
      <c r="K198" s="187"/>
      <c r="L198" s="187"/>
      <c r="M198" s="187"/>
      <c r="N198" s="187"/>
      <c r="O198" s="187"/>
      <c r="P198" s="187"/>
      <c r="Q198" s="187"/>
      <c r="R198" s="187"/>
      <c r="S198" s="187"/>
      <c r="T198" s="187"/>
      <c r="U198" s="187"/>
      <c r="V198" s="187"/>
      <c r="W198" s="187"/>
      <c r="X198" s="187"/>
      <c r="Y198" s="187"/>
      <c r="Z198" s="187"/>
      <c r="AA198" s="187"/>
      <c r="AB198" s="187"/>
      <c r="AC198" s="187"/>
    </row>
    <row r="199" spans="1:29" ht="14.25" hidden="1" customHeight="1">
      <c r="A199" s="187"/>
      <c r="B199" s="187"/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187"/>
      <c r="AA199" s="187"/>
      <c r="AB199" s="187"/>
      <c r="AC199" s="187"/>
    </row>
    <row r="200" spans="1:29" ht="14.25" hidden="1" customHeight="1">
      <c r="A200" s="187"/>
      <c r="B200" s="187"/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187"/>
      <c r="AA200" s="187"/>
      <c r="AB200" s="187"/>
      <c r="AC200" s="187"/>
    </row>
    <row r="201" spans="1:29" ht="14.25" hidden="1" customHeight="1">
      <c r="A201" s="187"/>
      <c r="B201" s="187"/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187"/>
      <c r="AA201" s="187"/>
      <c r="AB201" s="187"/>
      <c r="AC201" s="187"/>
    </row>
    <row r="202" spans="1:29" ht="14.25" hidden="1" customHeight="1">
      <c r="A202" s="187"/>
      <c r="B202" s="187"/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187"/>
      <c r="AA202" s="187"/>
      <c r="AB202" s="187"/>
      <c r="AC202" s="187"/>
    </row>
    <row r="203" spans="1:29" ht="14.25" hidden="1" customHeight="1">
      <c r="A203" s="187"/>
      <c r="B203" s="187"/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187"/>
      <c r="AA203" s="187"/>
      <c r="AB203" s="187"/>
      <c r="AC203" s="187"/>
    </row>
    <row r="204" spans="1:29" ht="14.25" hidden="1" customHeight="1">
      <c r="A204" s="187"/>
      <c r="B204" s="187"/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187"/>
      <c r="AA204" s="187"/>
      <c r="AB204" s="187"/>
      <c r="AC204" s="187"/>
    </row>
    <row r="205" spans="1:29" ht="14.25" hidden="1" customHeight="1">
      <c r="A205" s="187"/>
      <c r="B205" s="187"/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187"/>
      <c r="AA205" s="187"/>
      <c r="AB205" s="187"/>
      <c r="AC205" s="187"/>
    </row>
    <row r="206" spans="1:29" ht="14.25" hidden="1" customHeight="1">
      <c r="A206" s="187"/>
      <c r="B206" s="187"/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187"/>
      <c r="AA206" s="187"/>
      <c r="AB206" s="187"/>
      <c r="AC206" s="187"/>
    </row>
    <row r="207" spans="1:29" ht="14.25" hidden="1" customHeight="1">
      <c r="A207" s="187"/>
      <c r="B207" s="187"/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187"/>
      <c r="AA207" s="187"/>
      <c r="AB207" s="187"/>
      <c r="AC207" s="187"/>
    </row>
    <row r="208" spans="1:29" ht="14.25" hidden="1" customHeight="1">
      <c r="A208" s="187"/>
      <c r="B208" s="187"/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187"/>
      <c r="AA208" s="187"/>
      <c r="AB208" s="187"/>
      <c r="AC208" s="187"/>
    </row>
    <row r="209" spans="1:29" ht="14.25" hidden="1" customHeight="1">
      <c r="A209" s="187"/>
      <c r="B209" s="187"/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187"/>
      <c r="AA209" s="187"/>
      <c r="AB209" s="187"/>
      <c r="AC209" s="187"/>
    </row>
    <row r="210" spans="1:29" ht="14.25" hidden="1" customHeight="1">
      <c r="A210" s="187"/>
      <c r="B210" s="187"/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187"/>
      <c r="AA210" s="187"/>
      <c r="AB210" s="187"/>
      <c r="AC210" s="187"/>
    </row>
    <row r="211" spans="1:29" ht="14.25" hidden="1" customHeight="1">
      <c r="A211" s="187"/>
      <c r="B211" s="187"/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187"/>
      <c r="AA211" s="187"/>
      <c r="AB211" s="187"/>
      <c r="AC211" s="187"/>
    </row>
    <row r="212" spans="1:29" ht="14.25" hidden="1" customHeight="1">
      <c r="A212" s="187"/>
      <c r="B212" s="187"/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187"/>
      <c r="AA212" s="187"/>
      <c r="AB212" s="187"/>
      <c r="AC212" s="187"/>
    </row>
    <row r="213" spans="1:29" ht="14.25" hidden="1" customHeight="1">
      <c r="A213" s="187"/>
      <c r="B213" s="187"/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187"/>
      <c r="AA213" s="187"/>
      <c r="AB213" s="187"/>
      <c r="AC213" s="187"/>
    </row>
    <row r="214" spans="1:29" ht="14.25" hidden="1" customHeight="1">
      <c r="A214" s="187"/>
      <c r="B214" s="187"/>
      <c r="C214" s="187"/>
      <c r="D214" s="187"/>
      <c r="E214" s="187"/>
      <c r="F214" s="187"/>
      <c r="G214" s="187"/>
      <c r="H214" s="187"/>
      <c r="I214" s="187"/>
      <c r="J214" s="187"/>
      <c r="K214" s="187"/>
      <c r="L214" s="187"/>
      <c r="M214" s="187"/>
      <c r="N214" s="187"/>
      <c r="O214" s="187"/>
      <c r="P214" s="187"/>
      <c r="Q214" s="187"/>
      <c r="R214" s="187"/>
      <c r="S214" s="187"/>
      <c r="T214" s="187"/>
      <c r="U214" s="187"/>
      <c r="V214" s="187"/>
      <c r="W214" s="187"/>
      <c r="X214" s="187"/>
      <c r="Y214" s="187"/>
      <c r="Z214" s="187"/>
      <c r="AA214" s="187"/>
      <c r="AB214" s="187"/>
      <c r="AC214" s="187"/>
    </row>
    <row r="215" spans="1:29" ht="14.25" hidden="1" customHeight="1">
      <c r="A215" s="187"/>
      <c r="B215" s="187"/>
      <c r="C215" s="187"/>
      <c r="D215" s="187"/>
      <c r="E215" s="187"/>
      <c r="F215" s="187"/>
      <c r="G215" s="187"/>
      <c r="H215" s="187"/>
      <c r="I215" s="187"/>
      <c r="J215" s="187"/>
      <c r="K215" s="187"/>
      <c r="L215" s="187"/>
      <c r="M215" s="187"/>
      <c r="N215" s="187"/>
      <c r="O215" s="187"/>
      <c r="P215" s="187"/>
      <c r="Q215" s="187"/>
      <c r="R215" s="187"/>
      <c r="S215" s="187"/>
      <c r="T215" s="187"/>
      <c r="U215" s="187"/>
      <c r="V215" s="187"/>
      <c r="W215" s="187"/>
      <c r="X215" s="187"/>
      <c r="Y215" s="187"/>
      <c r="Z215" s="187"/>
      <c r="AA215" s="187"/>
      <c r="AB215" s="187"/>
      <c r="AC215" s="187"/>
    </row>
    <row r="216" spans="1:29" ht="14.25" hidden="1" customHeight="1">
      <c r="A216" s="187"/>
      <c r="B216" s="187"/>
      <c r="C216" s="187"/>
      <c r="D216" s="187"/>
      <c r="E216" s="187"/>
      <c r="F216" s="187"/>
      <c r="G216" s="187"/>
      <c r="H216" s="187"/>
      <c r="I216" s="187"/>
      <c r="J216" s="187"/>
      <c r="K216" s="187"/>
      <c r="L216" s="187"/>
      <c r="M216" s="187"/>
      <c r="N216" s="187"/>
      <c r="O216" s="187"/>
      <c r="P216" s="187"/>
      <c r="Q216" s="187"/>
      <c r="R216" s="187"/>
      <c r="S216" s="187"/>
      <c r="T216" s="187"/>
      <c r="U216" s="187"/>
      <c r="V216" s="187"/>
      <c r="W216" s="187"/>
      <c r="X216" s="187"/>
      <c r="Y216" s="187"/>
      <c r="Z216" s="187"/>
      <c r="AA216" s="187"/>
      <c r="AB216" s="187"/>
      <c r="AC216" s="187"/>
    </row>
    <row r="217" spans="1:29" ht="14.25" hidden="1" customHeight="1">
      <c r="A217" s="187"/>
      <c r="B217" s="187"/>
      <c r="C217" s="187"/>
      <c r="D217" s="187"/>
      <c r="E217" s="187"/>
      <c r="F217" s="187"/>
      <c r="G217" s="187"/>
      <c r="H217" s="187"/>
      <c r="I217" s="187"/>
      <c r="J217" s="187"/>
      <c r="K217" s="187"/>
      <c r="L217" s="187"/>
      <c r="M217" s="187"/>
      <c r="N217" s="187"/>
      <c r="O217" s="187"/>
      <c r="P217" s="187"/>
      <c r="Q217" s="187"/>
      <c r="R217" s="187"/>
      <c r="S217" s="187"/>
      <c r="T217" s="187"/>
      <c r="U217" s="187"/>
      <c r="V217" s="187"/>
      <c r="W217" s="187"/>
      <c r="X217" s="187"/>
      <c r="Y217" s="187"/>
      <c r="Z217" s="187"/>
      <c r="AA217" s="187"/>
      <c r="AB217" s="187"/>
      <c r="AC217" s="187"/>
    </row>
    <row r="218" spans="1:29" ht="14.25" hidden="1" customHeight="1">
      <c r="A218" s="187"/>
      <c r="B218" s="187"/>
      <c r="C218" s="187"/>
      <c r="D218" s="187"/>
      <c r="E218" s="187"/>
      <c r="F218" s="187"/>
      <c r="G218" s="187"/>
      <c r="H218" s="187"/>
      <c r="I218" s="187"/>
      <c r="J218" s="187"/>
      <c r="K218" s="187"/>
      <c r="L218" s="187"/>
      <c r="M218" s="187"/>
      <c r="N218" s="187"/>
      <c r="O218" s="187"/>
      <c r="P218" s="187"/>
      <c r="Q218" s="187"/>
      <c r="R218" s="187"/>
      <c r="S218" s="187"/>
      <c r="T218" s="187"/>
      <c r="U218" s="187"/>
      <c r="V218" s="187"/>
      <c r="W218" s="187"/>
      <c r="X218" s="187"/>
      <c r="Y218" s="187"/>
      <c r="Z218" s="187"/>
      <c r="AA218" s="187"/>
      <c r="AB218" s="187"/>
      <c r="AC218" s="187"/>
    </row>
    <row r="219" spans="1:29" ht="14.25" hidden="1" customHeight="1">
      <c r="A219" s="187"/>
      <c r="B219" s="187"/>
      <c r="C219" s="187"/>
      <c r="D219" s="187"/>
      <c r="E219" s="187"/>
      <c r="F219" s="187"/>
      <c r="G219" s="187"/>
      <c r="H219" s="187"/>
      <c r="I219" s="187"/>
      <c r="J219" s="187"/>
      <c r="K219" s="187"/>
      <c r="L219" s="187"/>
      <c r="M219" s="187"/>
      <c r="N219" s="187"/>
      <c r="O219" s="187"/>
      <c r="P219" s="187"/>
      <c r="Q219" s="187"/>
      <c r="R219" s="187"/>
      <c r="S219" s="187"/>
      <c r="T219" s="187"/>
      <c r="U219" s="187"/>
      <c r="V219" s="187"/>
      <c r="W219" s="187"/>
      <c r="X219" s="187"/>
      <c r="Y219" s="187"/>
      <c r="Z219" s="187"/>
      <c r="AA219" s="187"/>
      <c r="AB219" s="187"/>
      <c r="AC219" s="187"/>
    </row>
    <row r="220" spans="1:29" ht="14.25" hidden="1" customHeight="1">
      <c r="A220" s="187"/>
      <c r="B220" s="187"/>
      <c r="C220" s="187"/>
      <c r="D220" s="187"/>
      <c r="E220" s="187"/>
      <c r="F220" s="187"/>
      <c r="G220" s="187"/>
      <c r="H220" s="187"/>
      <c r="I220" s="187"/>
      <c r="J220" s="187"/>
      <c r="K220" s="187"/>
      <c r="L220" s="187"/>
      <c r="M220" s="187"/>
      <c r="N220" s="187"/>
      <c r="O220" s="187"/>
      <c r="P220" s="187"/>
      <c r="Q220" s="187"/>
      <c r="R220" s="187"/>
      <c r="S220" s="187"/>
      <c r="T220" s="187"/>
      <c r="U220" s="187"/>
      <c r="V220" s="187"/>
      <c r="W220" s="187"/>
      <c r="X220" s="187"/>
      <c r="Y220" s="187"/>
      <c r="Z220" s="187"/>
      <c r="AA220" s="187"/>
      <c r="AB220" s="187"/>
      <c r="AC220" s="187"/>
    </row>
    <row r="221" spans="1:29" ht="14.25" hidden="1" customHeight="1">
      <c r="A221" s="187"/>
      <c r="B221" s="187"/>
      <c r="C221" s="187"/>
      <c r="D221" s="187"/>
      <c r="E221" s="187"/>
      <c r="F221" s="187"/>
      <c r="G221" s="187"/>
      <c r="H221" s="187"/>
      <c r="I221" s="187"/>
      <c r="J221" s="187"/>
      <c r="K221" s="187"/>
      <c r="L221" s="187"/>
      <c r="M221" s="187"/>
      <c r="N221" s="187"/>
      <c r="O221" s="187"/>
      <c r="P221" s="187"/>
      <c r="Q221" s="187"/>
      <c r="R221" s="187"/>
      <c r="S221" s="187"/>
      <c r="T221" s="187"/>
      <c r="U221" s="187"/>
      <c r="V221" s="187"/>
      <c r="W221" s="187"/>
      <c r="X221" s="187"/>
      <c r="Y221" s="187"/>
      <c r="Z221" s="187"/>
      <c r="AA221" s="187"/>
      <c r="AB221" s="187"/>
      <c r="AC221" s="187"/>
    </row>
    <row r="222" spans="1:29" ht="14.25" hidden="1" customHeight="1">
      <c r="A222" s="187"/>
      <c r="B222" s="187"/>
      <c r="C222" s="187"/>
      <c r="D222" s="187"/>
      <c r="E222" s="187"/>
      <c r="F222" s="187"/>
      <c r="G222" s="187"/>
      <c r="H222" s="187"/>
      <c r="I222" s="187"/>
      <c r="J222" s="187"/>
      <c r="K222" s="187"/>
      <c r="L222" s="187"/>
      <c r="M222" s="187"/>
      <c r="N222" s="187"/>
      <c r="O222" s="187"/>
      <c r="P222" s="187"/>
      <c r="Q222" s="187"/>
      <c r="R222" s="187"/>
      <c r="S222" s="187"/>
      <c r="T222" s="187"/>
      <c r="U222" s="187"/>
      <c r="V222" s="187"/>
      <c r="W222" s="187"/>
      <c r="X222" s="187"/>
      <c r="Y222" s="187"/>
      <c r="Z222" s="187"/>
      <c r="AA222" s="187"/>
      <c r="AB222" s="187"/>
      <c r="AC222" s="187"/>
    </row>
    <row r="223" spans="1:29" ht="14.25" hidden="1" customHeight="1">
      <c r="A223" s="187"/>
      <c r="B223" s="187"/>
      <c r="C223" s="187"/>
      <c r="D223" s="187"/>
      <c r="E223" s="187"/>
      <c r="F223" s="187"/>
      <c r="G223" s="187"/>
      <c r="H223" s="187"/>
      <c r="I223" s="187"/>
      <c r="J223" s="187"/>
      <c r="K223" s="187"/>
      <c r="L223" s="187"/>
      <c r="M223" s="187"/>
      <c r="N223" s="187"/>
      <c r="O223" s="187"/>
      <c r="P223" s="187"/>
      <c r="Q223" s="187"/>
      <c r="R223" s="187"/>
      <c r="S223" s="187"/>
      <c r="T223" s="187"/>
      <c r="U223" s="187"/>
      <c r="V223" s="187"/>
      <c r="W223" s="187"/>
      <c r="X223" s="187"/>
      <c r="Y223" s="187"/>
      <c r="Z223" s="187"/>
      <c r="AA223" s="187"/>
      <c r="AB223" s="187"/>
      <c r="AC223" s="187"/>
    </row>
    <row r="224" spans="1:29" ht="14.25" hidden="1" customHeight="1">
      <c r="A224" s="187"/>
      <c r="B224" s="187"/>
      <c r="C224" s="187"/>
      <c r="D224" s="187"/>
      <c r="E224" s="187"/>
      <c r="F224" s="187"/>
      <c r="G224" s="187"/>
      <c r="H224" s="187"/>
      <c r="I224" s="187"/>
      <c r="J224" s="187"/>
      <c r="K224" s="187"/>
      <c r="L224" s="187"/>
      <c r="M224" s="187"/>
      <c r="N224" s="187"/>
      <c r="O224" s="187"/>
      <c r="P224" s="187"/>
      <c r="Q224" s="187"/>
      <c r="R224" s="187"/>
      <c r="S224" s="187"/>
      <c r="T224" s="187"/>
      <c r="U224" s="187"/>
      <c r="V224" s="187"/>
      <c r="W224" s="187"/>
      <c r="X224" s="187"/>
      <c r="Y224" s="187"/>
      <c r="Z224" s="187"/>
      <c r="AA224" s="187"/>
      <c r="AB224" s="187"/>
      <c r="AC224" s="187"/>
    </row>
    <row r="225" spans="1:29" ht="14.25" hidden="1" customHeight="1">
      <c r="A225" s="187"/>
      <c r="B225" s="187"/>
      <c r="C225" s="187"/>
      <c r="D225" s="187"/>
      <c r="E225" s="187"/>
      <c r="F225" s="187"/>
      <c r="G225" s="187"/>
      <c r="H225" s="187"/>
      <c r="I225" s="187"/>
      <c r="J225" s="187"/>
      <c r="K225" s="187"/>
      <c r="L225" s="187"/>
      <c r="M225" s="187"/>
      <c r="N225" s="187"/>
      <c r="O225" s="187"/>
      <c r="P225" s="187"/>
      <c r="Q225" s="187"/>
      <c r="R225" s="187"/>
      <c r="S225" s="187"/>
      <c r="T225" s="187"/>
      <c r="U225" s="187"/>
      <c r="V225" s="187"/>
      <c r="W225" s="187"/>
      <c r="X225" s="187"/>
      <c r="Y225" s="187"/>
      <c r="Z225" s="187"/>
      <c r="AA225" s="187"/>
      <c r="AB225" s="187"/>
      <c r="AC225" s="187"/>
    </row>
    <row r="226" spans="1:29" ht="14.25" hidden="1" customHeight="1">
      <c r="A226" s="187"/>
      <c r="B226" s="187"/>
      <c r="C226" s="187"/>
      <c r="D226" s="187"/>
      <c r="E226" s="187"/>
      <c r="F226" s="187"/>
      <c r="G226" s="187"/>
      <c r="H226" s="187"/>
      <c r="I226" s="187"/>
      <c r="J226" s="187"/>
      <c r="K226" s="187"/>
      <c r="L226" s="187"/>
      <c r="M226" s="187"/>
      <c r="N226" s="187"/>
      <c r="O226" s="187"/>
      <c r="P226" s="187"/>
      <c r="Q226" s="187"/>
      <c r="R226" s="187"/>
      <c r="S226" s="187"/>
      <c r="T226" s="187"/>
      <c r="U226" s="187"/>
      <c r="V226" s="187"/>
      <c r="W226" s="187"/>
      <c r="X226" s="187"/>
      <c r="Y226" s="187"/>
      <c r="Z226" s="187"/>
      <c r="AA226" s="187"/>
      <c r="AB226" s="187"/>
      <c r="AC226" s="187"/>
    </row>
    <row r="227" spans="1:29" ht="14.25" hidden="1" customHeight="1">
      <c r="A227" s="187"/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87"/>
      <c r="N227" s="187"/>
      <c r="O227" s="187"/>
      <c r="P227" s="187"/>
      <c r="Q227" s="187"/>
      <c r="R227" s="187"/>
      <c r="S227" s="187"/>
      <c r="T227" s="187"/>
      <c r="U227" s="187"/>
      <c r="V227" s="187"/>
      <c r="W227" s="187"/>
      <c r="X227" s="187"/>
      <c r="Y227" s="187"/>
      <c r="Z227" s="187"/>
      <c r="AA227" s="187"/>
      <c r="AB227" s="187"/>
      <c r="AC227" s="187"/>
    </row>
    <row r="228" spans="1:29" ht="14.25" hidden="1" customHeight="1">
      <c r="A228" s="187"/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87"/>
      <c r="N228" s="187"/>
      <c r="O228" s="187"/>
      <c r="P228" s="187"/>
      <c r="Q228" s="187"/>
      <c r="R228" s="187"/>
      <c r="S228" s="187"/>
      <c r="T228" s="187"/>
      <c r="U228" s="187"/>
      <c r="V228" s="187"/>
      <c r="W228" s="187"/>
      <c r="X228" s="187"/>
      <c r="Y228" s="187"/>
      <c r="Z228" s="187"/>
      <c r="AA228" s="187"/>
      <c r="AB228" s="187"/>
      <c r="AC228" s="187"/>
    </row>
    <row r="229" spans="1:29" ht="14.25" hidden="1" customHeight="1">
      <c r="A229" s="187"/>
      <c r="B229" s="187"/>
      <c r="C229" s="187"/>
      <c r="D229" s="187"/>
      <c r="E229" s="187"/>
      <c r="F229" s="187"/>
      <c r="G229" s="187"/>
      <c r="H229" s="187"/>
      <c r="I229" s="187"/>
      <c r="J229" s="187"/>
      <c r="K229" s="187"/>
      <c r="L229" s="187"/>
      <c r="M229" s="187"/>
      <c r="N229" s="187"/>
      <c r="O229" s="187"/>
      <c r="P229" s="187"/>
      <c r="Q229" s="187"/>
      <c r="R229" s="187"/>
      <c r="S229" s="187"/>
      <c r="T229" s="187"/>
      <c r="U229" s="187"/>
      <c r="V229" s="187"/>
      <c r="W229" s="187"/>
      <c r="X229" s="187"/>
      <c r="Y229" s="187"/>
      <c r="Z229" s="187"/>
      <c r="AA229" s="187"/>
      <c r="AB229" s="187"/>
      <c r="AC229" s="187"/>
    </row>
    <row r="230" spans="1:29" ht="14.25" hidden="1" customHeight="1">
      <c r="A230" s="187"/>
      <c r="B230" s="187"/>
      <c r="C230" s="187"/>
      <c r="D230" s="187"/>
      <c r="E230" s="187"/>
      <c r="F230" s="187"/>
      <c r="G230" s="187"/>
      <c r="H230" s="187"/>
      <c r="I230" s="187"/>
      <c r="J230" s="187"/>
      <c r="K230" s="187"/>
      <c r="L230" s="187"/>
      <c r="M230" s="187"/>
      <c r="N230" s="187"/>
      <c r="O230" s="187"/>
      <c r="P230" s="187"/>
      <c r="Q230" s="187"/>
      <c r="R230" s="187"/>
      <c r="S230" s="187"/>
      <c r="T230" s="187"/>
      <c r="U230" s="187"/>
      <c r="V230" s="187"/>
      <c r="W230" s="187"/>
      <c r="X230" s="187"/>
      <c r="Y230" s="187"/>
      <c r="Z230" s="187"/>
      <c r="AA230" s="187"/>
      <c r="AB230" s="187"/>
      <c r="AC230" s="187"/>
    </row>
    <row r="231" spans="1:29" ht="14.25" hidden="1" customHeight="1">
      <c r="A231" s="187"/>
      <c r="B231" s="187"/>
      <c r="C231" s="187"/>
      <c r="D231" s="187"/>
      <c r="E231" s="187"/>
      <c r="F231" s="187"/>
      <c r="G231" s="187"/>
      <c r="H231" s="187"/>
      <c r="I231" s="187"/>
      <c r="J231" s="187"/>
      <c r="K231" s="187"/>
      <c r="L231" s="187"/>
      <c r="M231" s="187"/>
      <c r="N231" s="187"/>
      <c r="O231" s="187"/>
      <c r="P231" s="187"/>
      <c r="Q231" s="187"/>
      <c r="R231" s="187"/>
      <c r="S231" s="187"/>
      <c r="T231" s="187"/>
      <c r="U231" s="187"/>
      <c r="V231" s="187"/>
      <c r="W231" s="187"/>
      <c r="X231" s="187"/>
      <c r="Y231" s="187"/>
      <c r="Z231" s="187"/>
      <c r="AA231" s="187"/>
      <c r="AB231" s="187"/>
      <c r="AC231" s="187"/>
    </row>
    <row r="232" spans="1:29" ht="14.25" hidden="1" customHeight="1">
      <c r="A232" s="187"/>
      <c r="B232" s="187"/>
      <c r="C232" s="187"/>
      <c r="D232" s="187"/>
      <c r="E232" s="187"/>
      <c r="F232" s="187"/>
      <c r="G232" s="187"/>
      <c r="H232" s="187"/>
      <c r="I232" s="187"/>
      <c r="J232" s="187"/>
      <c r="K232" s="187"/>
      <c r="L232" s="187"/>
      <c r="M232" s="187"/>
      <c r="N232" s="187"/>
      <c r="O232" s="187"/>
      <c r="P232" s="187"/>
      <c r="Q232" s="187"/>
      <c r="R232" s="187"/>
      <c r="S232" s="187"/>
      <c r="T232" s="187"/>
      <c r="U232" s="187"/>
      <c r="V232" s="187"/>
      <c r="W232" s="187"/>
      <c r="X232" s="187"/>
      <c r="Y232" s="187"/>
      <c r="Z232" s="187"/>
      <c r="AA232" s="187"/>
      <c r="AB232" s="187"/>
      <c r="AC232" s="187"/>
    </row>
    <row r="233" spans="1:29" ht="14.25" customHeight="1">
      <c r="A233" s="187"/>
      <c r="B233" s="303" t="s">
        <v>148</v>
      </c>
      <c r="C233" s="303" t="s">
        <v>142</v>
      </c>
      <c r="D233" s="211">
        <f t="shared" ref="D233:I233" ca="1" si="22">IF(ISNUMBER(D$5),-(D177*(1/LN($C$5))),"")</f>
        <v>0.97876981664470231</v>
      </c>
      <c r="E233" s="212">
        <f t="shared" ca="1" si="22"/>
        <v>0.9585297551331069</v>
      </c>
      <c r="F233" s="212">
        <f t="shared" ca="1" si="22"/>
        <v>0.98922356879710982</v>
      </c>
      <c r="G233" s="212">
        <f t="shared" ca="1" si="22"/>
        <v>0.98592786677418121</v>
      </c>
      <c r="H233" s="212">
        <f t="shared" ca="1" si="22"/>
        <v>0.99050247281034931</v>
      </c>
      <c r="I233" s="212">
        <f t="shared" ca="1" si="22"/>
        <v>0.99315476932697411</v>
      </c>
      <c r="J233" s="187"/>
      <c r="K233" s="187"/>
      <c r="L233" s="303" t="s">
        <v>148</v>
      </c>
      <c r="M233" s="303" t="s">
        <v>142</v>
      </c>
      <c r="N233" s="211">
        <f t="shared" ref="N233:S233" ca="1" si="23">IF(ISNUMBER(N$5),-(N177*(1/LN($M$5))),"")</f>
        <v>0.97794218647378506</v>
      </c>
      <c r="O233" s="212">
        <f t="shared" ca="1" si="23"/>
        <v>0.96238389591096829</v>
      </c>
      <c r="P233" s="212">
        <f t="shared" ca="1" si="23"/>
        <v>0.99012956031636645</v>
      </c>
      <c r="Q233" s="212">
        <f t="shared" ca="1" si="23"/>
        <v>0.98729631983018751</v>
      </c>
      <c r="R233" s="212">
        <f t="shared" ca="1" si="23"/>
        <v>0.98756896888555601</v>
      </c>
      <c r="S233" s="212">
        <f t="shared" ca="1" si="23"/>
        <v>0.99348050683323752</v>
      </c>
      <c r="T233" s="187"/>
      <c r="U233" s="187"/>
      <c r="V233" s="303" t="s">
        <v>148</v>
      </c>
      <c r="W233" s="303" t="s">
        <v>142</v>
      </c>
      <c r="X233" s="211">
        <f t="shared" ref="X233:AC233" ca="1" si="24">IF(ISNUMBER(X$5),-(X177*(1/LN($W$5))),"")</f>
        <v>0.97876975513805575</v>
      </c>
      <c r="Y233" s="212">
        <f t="shared" ca="1" si="24"/>
        <v>0.96147843453177484</v>
      </c>
      <c r="Z233" s="212">
        <f t="shared" ca="1" si="24"/>
        <v>0.99033481956192404</v>
      </c>
      <c r="AA233" s="212">
        <f t="shared" ca="1" si="24"/>
        <v>0.98706134177449545</v>
      </c>
      <c r="AB233" s="212">
        <f t="shared" ca="1" si="24"/>
        <v>0.9897243304679304</v>
      </c>
      <c r="AC233" s="212">
        <f t="shared" ca="1" si="24"/>
        <v>0.9933645242384882</v>
      </c>
    </row>
    <row r="234" spans="1:29" ht="14.25" customHeight="1">
      <c r="A234" s="187"/>
      <c r="B234" s="304" t="s">
        <v>149</v>
      </c>
      <c r="C234" s="304"/>
      <c r="D234" s="213" t="str">
        <f t="shared" ref="D234:I234" si="25">D9</f>
        <v>PR</v>
      </c>
      <c r="E234" s="213" t="str">
        <f t="shared" si="25"/>
        <v>DR</v>
      </c>
      <c r="F234" s="213" t="str">
        <f t="shared" si="25"/>
        <v>RR</v>
      </c>
      <c r="G234" s="213" t="str">
        <f t="shared" si="25"/>
        <v>HS</v>
      </c>
      <c r="H234" s="213" t="str">
        <f t="shared" si="25"/>
        <v>CA</v>
      </c>
      <c r="I234" s="213" t="str">
        <f t="shared" si="25"/>
        <v>RE</v>
      </c>
      <c r="J234" s="187"/>
      <c r="K234" s="187"/>
      <c r="L234" s="304" t="s">
        <v>149</v>
      </c>
      <c r="M234" s="304"/>
      <c r="N234" s="213" t="str">
        <f t="shared" ref="N234:S234" si="26">N9</f>
        <v>PR</v>
      </c>
      <c r="O234" s="213" t="str">
        <f t="shared" si="26"/>
        <v>DR</v>
      </c>
      <c r="P234" s="213" t="str">
        <f t="shared" si="26"/>
        <v>RR</v>
      </c>
      <c r="Q234" s="213" t="str">
        <f t="shared" si="26"/>
        <v>HS</v>
      </c>
      <c r="R234" s="213" t="str">
        <f t="shared" si="26"/>
        <v>CA</v>
      </c>
      <c r="S234" s="213" t="str">
        <f t="shared" si="26"/>
        <v>RE</v>
      </c>
      <c r="T234" s="187"/>
      <c r="U234" s="187"/>
      <c r="V234" s="304" t="s">
        <v>149</v>
      </c>
      <c r="W234" s="304"/>
      <c r="X234" s="213" t="str">
        <f t="shared" ref="X234:AC234" si="27">X9</f>
        <v>PR</v>
      </c>
      <c r="Y234" s="213" t="str">
        <f t="shared" si="27"/>
        <v>DR</v>
      </c>
      <c r="Z234" s="213" t="str">
        <f t="shared" si="27"/>
        <v>RR</v>
      </c>
      <c r="AA234" s="213" t="str">
        <f t="shared" si="27"/>
        <v>HS</v>
      </c>
      <c r="AB234" s="213" t="str">
        <f t="shared" si="27"/>
        <v>CA</v>
      </c>
      <c r="AC234" s="213" t="str">
        <f t="shared" si="27"/>
        <v>RE</v>
      </c>
    </row>
    <row r="235" spans="1:29" ht="14.25" customHeight="1">
      <c r="A235" s="187"/>
      <c r="B235" s="303" t="s">
        <v>150</v>
      </c>
      <c r="C235" s="303" t="s">
        <v>150</v>
      </c>
      <c r="D235" s="214">
        <f t="shared" ref="D235:I235" ca="1" si="28">IF(ISNUMBER(D$5),1-D233,"")</f>
        <v>2.1230183355297694E-2</v>
      </c>
      <c r="E235" s="215">
        <f t="shared" ca="1" si="28"/>
        <v>4.1470244866893102E-2</v>
      </c>
      <c r="F235" s="215">
        <f t="shared" ca="1" si="28"/>
        <v>1.077643120289018E-2</v>
      </c>
      <c r="G235" s="215">
        <f t="shared" ca="1" si="28"/>
        <v>1.4072133225818795E-2</v>
      </c>
      <c r="H235" s="215">
        <f t="shared" ca="1" si="28"/>
        <v>9.4975271896506896E-3</v>
      </c>
      <c r="I235" s="215">
        <f t="shared" ca="1" si="28"/>
        <v>6.8452306730258927E-3</v>
      </c>
      <c r="J235" s="187"/>
      <c r="K235" s="187"/>
      <c r="L235" s="303" t="s">
        <v>150</v>
      </c>
      <c r="M235" s="303" t="s">
        <v>150</v>
      </c>
      <c r="N235" s="214">
        <f t="shared" ref="N235:S235" ca="1" si="29">IF(ISNUMBER(N$5),1-N233,"")</f>
        <v>2.2057813526214942E-2</v>
      </c>
      <c r="O235" s="215">
        <f t="shared" ca="1" si="29"/>
        <v>3.761610408903171E-2</v>
      </c>
      <c r="P235" s="215">
        <f t="shared" ca="1" si="29"/>
        <v>9.8704396836335473E-3</v>
      </c>
      <c r="Q235" s="215">
        <f t="shared" ca="1" si="29"/>
        <v>1.2703680169812492E-2</v>
      </c>
      <c r="R235" s="215">
        <f t="shared" ca="1" si="29"/>
        <v>1.2431031114443991E-2</v>
      </c>
      <c r="S235" s="215">
        <f t="shared" ca="1" si="29"/>
        <v>6.51949316676248E-3</v>
      </c>
      <c r="T235" s="187"/>
      <c r="U235" s="187"/>
      <c r="V235" s="303" t="s">
        <v>150</v>
      </c>
      <c r="W235" s="303" t="s">
        <v>150</v>
      </c>
      <c r="X235" s="214">
        <f t="shared" ref="X235:AC235" ca="1" si="30">IF(ISNUMBER(X$5),1-X233,"")</f>
        <v>2.1230244861944247E-2</v>
      </c>
      <c r="Y235" s="215">
        <f t="shared" ca="1" si="30"/>
        <v>3.8521565468225161E-2</v>
      </c>
      <c r="Z235" s="215">
        <f t="shared" ca="1" si="30"/>
        <v>9.6651804380759598E-3</v>
      </c>
      <c r="AA235" s="215">
        <f t="shared" ca="1" si="30"/>
        <v>1.2938658225504551E-2</v>
      </c>
      <c r="AB235" s="215">
        <f t="shared" ca="1" si="30"/>
        <v>1.0275669532069598E-2</v>
      </c>
      <c r="AC235" s="215">
        <f t="shared" ca="1" si="30"/>
        <v>6.6354757615117999E-3</v>
      </c>
    </row>
    <row r="236" spans="1:29" ht="14.25" customHeight="1" thickBot="1">
      <c r="A236" s="187"/>
      <c r="B236" s="303" t="s">
        <v>151</v>
      </c>
      <c r="C236" s="303" t="s">
        <v>142</v>
      </c>
      <c r="D236" s="216">
        <f t="shared" ref="D236:I236" ca="1" si="31">IF(ISNUMBER(D$5),D235/SUM($D$235:$I$235),"")</f>
        <v>0.20434907728812768</v>
      </c>
      <c r="E236" s="217">
        <f t="shared" ca="1" si="31"/>
        <v>0.39916783249767129</v>
      </c>
      <c r="F236" s="217">
        <f t="shared" ca="1" si="31"/>
        <v>0.10372749664548138</v>
      </c>
      <c r="G236" s="217">
        <f t="shared" ca="1" si="31"/>
        <v>0.13544995782874866</v>
      </c>
      <c r="H236" s="217">
        <f t="shared" ca="1" si="31"/>
        <v>9.1417529714349868E-2</v>
      </c>
      <c r="I236" s="217">
        <f t="shared" ca="1" si="31"/>
        <v>6.588810602562109E-2</v>
      </c>
      <c r="J236" s="187"/>
      <c r="K236" s="187"/>
      <c r="L236" s="303" t="s">
        <v>151</v>
      </c>
      <c r="M236" s="303" t="s">
        <v>142</v>
      </c>
      <c r="N236" s="216">
        <f t="shared" ref="N236:S236" ca="1" si="32">IF(ISNUMBER(N$5),N235/SUM($N$235:$S$235),"")</f>
        <v>0.21796568197014837</v>
      </c>
      <c r="O236" s="217">
        <f t="shared" ca="1" si="32"/>
        <v>0.37170591595951402</v>
      </c>
      <c r="P236" s="217">
        <f t="shared" ca="1" si="32"/>
        <v>9.7535375137318914E-2</v>
      </c>
      <c r="Q236" s="217">
        <f t="shared" ca="1" si="32"/>
        <v>0.12553222051918292</v>
      </c>
      <c r="R236" s="217">
        <f t="shared" ca="1" si="32"/>
        <v>0.12283802160317142</v>
      </c>
      <c r="S236" s="217">
        <f t="shared" ca="1" si="32"/>
        <v>6.4422784810664324E-2</v>
      </c>
      <c r="T236" s="187"/>
      <c r="U236" s="187"/>
      <c r="V236" s="303" t="s">
        <v>151</v>
      </c>
      <c r="W236" s="303" t="s">
        <v>142</v>
      </c>
      <c r="X236" s="216">
        <f t="shared" ref="X236:AC236" ca="1" si="33">IF(ISNUMBER(X$5),X235/SUM($X$235:$AC$235),"")</f>
        <v>0.21387055978147676</v>
      </c>
      <c r="Y236" s="217">
        <f t="shared" ca="1" si="33"/>
        <v>0.388060939660478</v>
      </c>
      <c r="Z236" s="217">
        <f t="shared" ca="1" si="33"/>
        <v>9.7365695220294382E-2</v>
      </c>
      <c r="AA236" s="217">
        <f t="shared" ca="1" si="33"/>
        <v>0.13034225914511893</v>
      </c>
      <c r="AB236" s="217">
        <f t="shared" ca="1" si="33"/>
        <v>0.10351567818666836</v>
      </c>
      <c r="AC236" s="217">
        <f t="shared" ca="1" si="33"/>
        <v>6.6844868005963565E-2</v>
      </c>
    </row>
    <row r="237" spans="1:29">
      <c r="A237" s="187"/>
      <c r="B237" s="187"/>
      <c r="C237" s="187"/>
      <c r="D237" s="187"/>
      <c r="E237" s="187"/>
      <c r="F237" s="187"/>
      <c r="G237" s="187"/>
      <c r="H237" s="187"/>
      <c r="I237" s="187"/>
      <c r="J237" s="187"/>
      <c r="K237" s="187"/>
      <c r="L237" s="187"/>
      <c r="M237" s="187"/>
      <c r="N237" s="187"/>
      <c r="O237" s="187"/>
      <c r="P237" s="187"/>
      <c r="Q237" s="187"/>
      <c r="R237" s="187"/>
      <c r="S237" s="187"/>
      <c r="T237" s="187"/>
      <c r="U237" s="187"/>
      <c r="V237" s="187"/>
      <c r="W237" s="187"/>
      <c r="X237" s="187"/>
      <c r="Y237" s="187"/>
      <c r="Z237" s="187"/>
      <c r="AA237" s="187"/>
      <c r="AB237" s="187"/>
      <c r="AC237" s="187"/>
    </row>
    <row r="238" spans="1:29">
      <c r="A238" s="187"/>
      <c r="B238" s="187"/>
      <c r="C238" s="187"/>
      <c r="D238" s="187"/>
      <c r="E238" s="187"/>
      <c r="F238" s="187"/>
      <c r="G238" s="187"/>
      <c r="H238" s="187"/>
      <c r="I238" s="187"/>
      <c r="J238" s="187"/>
      <c r="K238" s="187"/>
      <c r="L238" s="187"/>
      <c r="M238" s="187"/>
      <c r="N238" s="187"/>
      <c r="O238" s="187"/>
      <c r="P238" s="187"/>
      <c r="Q238" s="187"/>
      <c r="R238" s="187"/>
      <c r="S238" s="187"/>
      <c r="T238" s="187"/>
      <c r="U238" s="187"/>
      <c r="V238" s="187"/>
      <c r="W238" s="187"/>
      <c r="X238" s="187"/>
      <c r="Y238" s="187"/>
      <c r="Z238" s="187"/>
      <c r="AA238" s="187"/>
      <c r="AB238" s="187"/>
      <c r="AC238" s="187"/>
    </row>
    <row r="239" spans="1:29">
      <c r="A239" s="187"/>
      <c r="B239" s="187"/>
      <c r="C239" s="187"/>
      <c r="D239" s="187"/>
      <c r="E239" s="187"/>
      <c r="F239" s="187"/>
      <c r="G239" s="187"/>
      <c r="H239" s="187"/>
      <c r="I239" s="187"/>
      <c r="J239" s="187"/>
      <c r="K239" s="187"/>
      <c r="L239" s="187"/>
      <c r="M239" s="187"/>
      <c r="N239" s="187"/>
      <c r="O239" s="187"/>
      <c r="P239" s="187"/>
      <c r="Q239" s="187"/>
      <c r="R239" s="187"/>
      <c r="S239" s="187"/>
      <c r="T239" s="187"/>
      <c r="U239" s="187"/>
      <c r="V239" s="187"/>
      <c r="W239" s="187"/>
      <c r="X239" s="187"/>
      <c r="Y239" s="187"/>
      <c r="Z239" s="187"/>
      <c r="AA239" s="187"/>
      <c r="AB239" s="187"/>
      <c r="AC239" s="187"/>
    </row>
    <row r="240" spans="1:29">
      <c r="A240" s="187"/>
      <c r="B240" s="187"/>
      <c r="C240" s="187"/>
      <c r="D240" s="187"/>
      <c r="E240" s="187"/>
      <c r="F240" s="187"/>
      <c r="G240" s="187"/>
      <c r="H240" s="187"/>
      <c r="I240" s="187"/>
      <c r="J240" s="187"/>
      <c r="K240" s="187"/>
      <c r="L240" s="187"/>
      <c r="M240" s="187"/>
      <c r="N240" s="187"/>
      <c r="O240" s="187"/>
      <c r="P240" s="187"/>
      <c r="Q240" s="187"/>
      <c r="R240" s="187"/>
      <c r="S240" s="187"/>
      <c r="T240" s="187"/>
      <c r="U240" s="187"/>
      <c r="V240" s="187"/>
      <c r="W240" s="187"/>
      <c r="X240" s="187"/>
      <c r="Y240" s="187"/>
      <c r="Z240" s="187"/>
      <c r="AA240" s="187"/>
      <c r="AB240" s="187"/>
      <c r="AC240" s="187"/>
    </row>
    <row r="241" spans="1:29">
      <c r="A241" s="187"/>
      <c r="B241" s="187"/>
      <c r="C241" s="187"/>
      <c r="D241" s="187"/>
      <c r="E241" s="187"/>
      <c r="F241" s="187"/>
      <c r="G241" s="187"/>
      <c r="H241" s="187"/>
      <c r="I241" s="187"/>
      <c r="J241" s="187"/>
      <c r="K241" s="187"/>
      <c r="L241" s="187"/>
      <c r="M241" s="187"/>
      <c r="N241" s="187"/>
      <c r="O241" s="187"/>
      <c r="P241" s="187"/>
      <c r="Q241" s="187"/>
      <c r="R241" s="187"/>
      <c r="S241" s="187"/>
      <c r="T241" s="187"/>
      <c r="U241" s="187"/>
      <c r="V241" s="187"/>
      <c r="W241" s="187"/>
      <c r="X241" s="187"/>
      <c r="Y241" s="187"/>
      <c r="Z241" s="187"/>
      <c r="AA241" s="187"/>
      <c r="AB241" s="187"/>
      <c r="AC241" s="187"/>
    </row>
    <row r="242" spans="1:29">
      <c r="A242" s="187"/>
      <c r="B242" s="187"/>
      <c r="C242" s="187"/>
      <c r="D242" s="187"/>
      <c r="E242" s="187"/>
      <c r="F242" s="187"/>
      <c r="G242" s="187"/>
      <c r="H242" s="187"/>
      <c r="I242" s="187"/>
      <c r="J242" s="187"/>
      <c r="K242" s="187"/>
      <c r="L242" s="187"/>
      <c r="M242" s="187"/>
      <c r="N242" s="187"/>
      <c r="O242" s="187"/>
      <c r="P242" s="187"/>
      <c r="Q242" s="187"/>
      <c r="R242" s="187"/>
      <c r="S242" s="187"/>
      <c r="T242" s="187"/>
      <c r="U242" s="187"/>
      <c r="V242" s="187"/>
      <c r="W242" s="187"/>
      <c r="X242" s="187"/>
      <c r="Y242" s="187"/>
      <c r="Z242" s="187"/>
      <c r="AA242" s="187"/>
      <c r="AB242" s="187"/>
      <c r="AC242" s="187"/>
    </row>
    <row r="243" spans="1:29">
      <c r="A243" s="187"/>
      <c r="B243" s="187"/>
      <c r="C243" s="187"/>
      <c r="D243" s="187"/>
      <c r="E243" s="187"/>
      <c r="F243" s="187"/>
      <c r="G243" s="187"/>
      <c r="H243" s="187"/>
      <c r="I243" s="187"/>
      <c r="J243" s="187"/>
      <c r="K243" s="187"/>
      <c r="L243" s="187"/>
      <c r="M243" s="187"/>
      <c r="N243" s="187"/>
      <c r="O243" s="187"/>
      <c r="P243" s="187"/>
      <c r="Q243" s="187"/>
      <c r="R243" s="187"/>
      <c r="S243" s="187"/>
      <c r="T243" s="187"/>
      <c r="U243" s="187"/>
      <c r="V243" s="187"/>
      <c r="W243" s="187"/>
      <c r="X243" s="187"/>
      <c r="Y243" s="187"/>
      <c r="Z243" s="187"/>
      <c r="AA243" s="187"/>
      <c r="AB243" s="187"/>
      <c r="AC243" s="187"/>
    </row>
    <row r="244" spans="1:29">
      <c r="A244" s="187"/>
      <c r="B244" s="187"/>
      <c r="C244" s="187"/>
      <c r="D244" s="187"/>
      <c r="E244" s="187"/>
      <c r="F244" s="187"/>
      <c r="G244" s="187"/>
      <c r="H244" s="187"/>
      <c r="I244" s="187"/>
      <c r="J244" s="187"/>
      <c r="K244" s="187"/>
      <c r="L244" s="187"/>
      <c r="M244" s="187"/>
      <c r="N244" s="187"/>
      <c r="O244" s="187"/>
      <c r="P244" s="187"/>
      <c r="Q244" s="187"/>
      <c r="R244" s="187"/>
      <c r="S244" s="187"/>
      <c r="T244" s="187"/>
      <c r="U244" s="187"/>
      <c r="V244" s="187"/>
      <c r="W244" s="187"/>
      <c r="X244" s="187"/>
      <c r="Y244" s="187"/>
      <c r="Z244" s="187"/>
      <c r="AA244" s="187"/>
      <c r="AB244" s="187"/>
      <c r="AC244" s="187"/>
    </row>
    <row r="245" spans="1:29">
      <c r="A245" s="187"/>
      <c r="B245" s="187"/>
      <c r="C245" s="187"/>
      <c r="D245" s="187"/>
      <c r="E245" s="187"/>
      <c r="F245" s="187"/>
      <c r="G245" s="187"/>
      <c r="H245" s="187"/>
      <c r="I245" s="187"/>
      <c r="J245" s="187"/>
      <c r="K245" s="187"/>
      <c r="L245" s="187"/>
      <c r="M245" s="187"/>
      <c r="N245" s="187"/>
      <c r="O245" s="187"/>
      <c r="P245" s="187"/>
      <c r="Q245" s="187"/>
      <c r="R245" s="187"/>
      <c r="S245" s="187"/>
      <c r="T245" s="187"/>
      <c r="U245" s="187"/>
      <c r="V245" s="187"/>
      <c r="W245" s="187"/>
      <c r="X245" s="187"/>
      <c r="Y245" s="187"/>
      <c r="Z245" s="187"/>
      <c r="AA245" s="187"/>
      <c r="AB245" s="187"/>
      <c r="AC245" s="187"/>
    </row>
    <row r="246" spans="1:29">
      <c r="A246" s="187"/>
      <c r="B246" s="187"/>
      <c r="C246" s="187"/>
      <c r="D246" s="187"/>
      <c r="E246" s="187"/>
      <c r="F246" s="187"/>
      <c r="G246" s="187"/>
      <c r="H246" s="187"/>
      <c r="I246" s="187"/>
      <c r="J246" s="187"/>
      <c r="K246" s="187"/>
      <c r="L246" s="187"/>
      <c r="M246" s="187"/>
      <c r="N246" s="187"/>
      <c r="O246" s="187"/>
      <c r="P246" s="187"/>
      <c r="Q246" s="187"/>
      <c r="R246" s="187"/>
      <c r="S246" s="187"/>
      <c r="T246" s="187"/>
      <c r="U246" s="187"/>
      <c r="V246" s="187"/>
      <c r="W246" s="187"/>
      <c r="X246" s="187"/>
      <c r="Y246" s="187"/>
      <c r="Z246" s="187"/>
      <c r="AA246" s="187"/>
      <c r="AB246" s="187"/>
      <c r="AC246" s="187"/>
    </row>
    <row r="247" spans="1:29">
      <c r="A247" s="187"/>
      <c r="B247" s="187"/>
      <c r="C247" s="187"/>
      <c r="D247" s="187"/>
      <c r="E247" s="187"/>
      <c r="F247" s="187"/>
      <c r="G247" s="187"/>
      <c r="H247" s="187"/>
      <c r="I247" s="187"/>
      <c r="J247" s="187"/>
      <c r="K247" s="187"/>
      <c r="L247" s="187"/>
      <c r="M247" s="187"/>
      <c r="N247" s="187"/>
      <c r="O247" s="187"/>
      <c r="P247" s="187"/>
      <c r="Q247" s="187"/>
      <c r="R247" s="187"/>
      <c r="S247" s="187"/>
      <c r="T247" s="187"/>
      <c r="U247" s="187"/>
      <c r="V247" s="187"/>
      <c r="W247" s="187"/>
      <c r="X247" s="187"/>
      <c r="Y247" s="187"/>
      <c r="Z247" s="187"/>
      <c r="AA247" s="187"/>
      <c r="AB247" s="187"/>
      <c r="AC247" s="187"/>
    </row>
    <row r="248" spans="1:29">
      <c r="A248" s="187"/>
      <c r="B248" s="187"/>
      <c r="C248" s="187"/>
      <c r="D248" s="187"/>
      <c r="E248" s="187"/>
      <c r="F248" s="187"/>
      <c r="G248" s="187"/>
      <c r="H248" s="187"/>
      <c r="I248" s="187"/>
      <c r="J248" s="187"/>
      <c r="K248" s="187"/>
      <c r="L248" s="187"/>
      <c r="M248" s="187"/>
      <c r="N248" s="187"/>
      <c r="O248" s="187"/>
      <c r="P248" s="187"/>
      <c r="Q248" s="187"/>
      <c r="R248" s="187"/>
      <c r="S248" s="187"/>
      <c r="T248" s="187"/>
      <c r="U248" s="187"/>
      <c r="V248" s="187"/>
      <c r="W248" s="187"/>
      <c r="X248" s="187"/>
      <c r="Y248" s="187"/>
      <c r="Z248" s="187"/>
      <c r="AA248" s="187"/>
      <c r="AB248" s="187"/>
      <c r="AC248" s="187"/>
    </row>
    <row r="249" spans="1:29">
      <c r="A249" s="187"/>
      <c r="B249" s="187"/>
      <c r="C249" s="187"/>
      <c r="D249" s="187"/>
      <c r="E249" s="187"/>
      <c r="F249" s="187"/>
      <c r="G249" s="187"/>
      <c r="H249" s="187"/>
      <c r="I249" s="187"/>
      <c r="J249" s="187"/>
      <c r="K249" s="187"/>
      <c r="L249" s="187"/>
      <c r="M249" s="187"/>
      <c r="N249" s="187"/>
      <c r="O249" s="187"/>
      <c r="P249" s="187"/>
      <c r="Q249" s="187"/>
      <c r="R249" s="187"/>
      <c r="S249" s="187"/>
      <c r="T249" s="187"/>
      <c r="U249" s="187"/>
      <c r="V249" s="187"/>
      <c r="W249" s="187"/>
      <c r="X249" s="187"/>
      <c r="Y249" s="187"/>
      <c r="Z249" s="187"/>
      <c r="AA249" s="187"/>
      <c r="AB249" s="187"/>
      <c r="AC249" s="187"/>
    </row>
    <row r="250" spans="1:29">
      <c r="A250" s="187"/>
      <c r="B250" s="187"/>
      <c r="C250" s="187"/>
      <c r="D250" s="187"/>
      <c r="E250" s="187"/>
      <c r="F250" s="187"/>
      <c r="G250" s="187"/>
      <c r="H250" s="187"/>
      <c r="I250" s="187"/>
      <c r="J250" s="187"/>
      <c r="K250" s="187"/>
      <c r="L250" s="187"/>
      <c r="M250" s="187"/>
      <c r="N250" s="187"/>
      <c r="O250" s="187"/>
      <c r="P250" s="187"/>
      <c r="Q250" s="187"/>
      <c r="R250" s="187"/>
      <c r="S250" s="187"/>
      <c r="T250" s="187"/>
      <c r="U250" s="187"/>
      <c r="V250" s="187"/>
      <c r="W250" s="187"/>
      <c r="X250" s="187"/>
      <c r="Y250" s="187"/>
      <c r="Z250" s="187"/>
      <c r="AA250" s="187"/>
      <c r="AB250" s="187"/>
      <c r="AC250" s="187"/>
    </row>
    <row r="251" spans="1:29">
      <c r="A251" s="187"/>
      <c r="B251" s="187"/>
      <c r="C251" s="187"/>
      <c r="D251" s="187"/>
      <c r="E251" s="187"/>
      <c r="F251" s="187"/>
      <c r="G251" s="187"/>
      <c r="H251" s="187"/>
      <c r="I251" s="187"/>
      <c r="J251" s="187"/>
      <c r="K251" s="187"/>
      <c r="L251" s="187"/>
      <c r="M251" s="187"/>
      <c r="N251" s="187"/>
      <c r="O251" s="187"/>
      <c r="P251" s="187"/>
      <c r="Q251" s="187"/>
      <c r="R251" s="187"/>
      <c r="S251" s="187"/>
      <c r="T251" s="187"/>
      <c r="U251" s="187"/>
      <c r="V251" s="187"/>
      <c r="W251" s="187"/>
      <c r="X251" s="187"/>
      <c r="Y251" s="187"/>
      <c r="Z251" s="187"/>
      <c r="AA251" s="187"/>
      <c r="AB251" s="187"/>
      <c r="AC251" s="187"/>
    </row>
  </sheetData>
  <sheetProtection algorithmName="SHA-512" hashValue="fqXiaGEUHfWMkl6wY8QqXL3IOlHrOeHkvj/vgdrI1LbqUjpKPAVC0Sk3v3YNNdZm4jLKbBNaQG/qZY0o02d/+g==" saltValue="nAOSoRw906WhcuqJYDqV4w==" spinCount="100000" sheet="1" formatCells="0" formatColumns="0" formatRows="0" insertColumns="0" insertRows="0" insertHyperlinks="0" deleteColumns="0" deleteRows="0" sort="0" autoFilter="0" pivotTables="0"/>
  <mergeCells count="55">
    <mergeCell ref="A2:H2"/>
    <mergeCell ref="K2:R2"/>
    <mergeCell ref="U2:AB2"/>
    <mergeCell ref="A1:AC1"/>
    <mergeCell ref="B235:C235"/>
    <mergeCell ref="L235:M235"/>
    <mergeCell ref="V235:W235"/>
    <mergeCell ref="A122:A125"/>
    <mergeCell ref="K122:K125"/>
    <mergeCell ref="U122:U125"/>
    <mergeCell ref="B177:C177"/>
    <mergeCell ref="L177:M177"/>
    <mergeCell ref="V177:W177"/>
    <mergeCell ref="B120:C120"/>
    <mergeCell ref="L120:M120"/>
    <mergeCell ref="V120:W120"/>
    <mergeCell ref="B236:C236"/>
    <mergeCell ref="L236:M236"/>
    <mergeCell ref="V236:W236"/>
    <mergeCell ref="B233:C233"/>
    <mergeCell ref="L233:M233"/>
    <mergeCell ref="V233:W233"/>
    <mergeCell ref="B234:C234"/>
    <mergeCell ref="L234:M234"/>
    <mergeCell ref="V234:W234"/>
    <mergeCell ref="B121:I121"/>
    <mergeCell ref="L121:S121"/>
    <mergeCell ref="V121:AC121"/>
    <mergeCell ref="B64:I64"/>
    <mergeCell ref="L64:S64"/>
    <mergeCell ref="V64:AC64"/>
    <mergeCell ref="A65:A68"/>
    <mergeCell ref="K65:K68"/>
    <mergeCell ref="U65:U68"/>
    <mergeCell ref="B8:I8"/>
    <mergeCell ref="L8:S8"/>
    <mergeCell ref="V8:AC8"/>
    <mergeCell ref="A9:A12"/>
    <mergeCell ref="K9:K12"/>
    <mergeCell ref="U9:U12"/>
    <mergeCell ref="A5:B5"/>
    <mergeCell ref="K5:L5"/>
    <mergeCell ref="U5:V5"/>
    <mergeCell ref="A6:B6"/>
    <mergeCell ref="K6:L6"/>
    <mergeCell ref="U6:V6"/>
    <mergeCell ref="A3:I3"/>
    <mergeCell ref="K3:S3"/>
    <mergeCell ref="U3:AC3"/>
    <mergeCell ref="A4:B4"/>
    <mergeCell ref="C4:I4"/>
    <mergeCell ref="K4:L4"/>
    <mergeCell ref="M4:S4"/>
    <mergeCell ref="U4:V4"/>
    <mergeCell ref="W4:AC4"/>
  </mergeCells>
  <conditionalFormatting sqref="A178:A181">
    <cfRule type="notContainsBlanks" dxfId="160" priority="25">
      <formula>LEN(TRIM(A178))&gt;0</formula>
    </cfRule>
  </conditionalFormatting>
  <conditionalFormatting sqref="B10:B63">
    <cfRule type="notContainsBlanks" dxfId="159" priority="32">
      <formula>LEN(TRIM(B10))&gt;0</formula>
    </cfRule>
  </conditionalFormatting>
  <conditionalFormatting sqref="B120">
    <cfRule type="notContainsBlanks" dxfId="158" priority="28">
      <formula>LEN(TRIM(B120))&gt;0</formula>
    </cfRule>
  </conditionalFormatting>
  <conditionalFormatting sqref="B123:B177">
    <cfRule type="notContainsBlanks" dxfId="157" priority="23">
      <formula>LEN(TRIM(B123))&gt;0</formula>
    </cfRule>
  </conditionalFormatting>
  <conditionalFormatting sqref="B233 B235:B236 L235:L236 V235:V236">
    <cfRule type="expression" dxfId="156" priority="24">
      <formula>#REF!&lt;$C$5+1</formula>
    </cfRule>
  </conditionalFormatting>
  <conditionalFormatting sqref="C123:C176">
    <cfRule type="expression" dxfId="155" priority="30">
      <formula>B123&lt;$C$5+1</formula>
    </cfRule>
  </conditionalFormatting>
  <conditionalFormatting sqref="C233">
    <cfRule type="expression" dxfId="154" priority="33">
      <formula>A180&lt;$C$5+1</formula>
    </cfRule>
  </conditionalFormatting>
  <conditionalFormatting sqref="C235:C236">
    <cfRule type="expression" dxfId="153" priority="27">
      <formula>A181&lt;$C$5+1</formula>
    </cfRule>
  </conditionalFormatting>
  <conditionalFormatting sqref="C9:I9">
    <cfRule type="notContainsBlanks" dxfId="152" priority="31">
      <formula>LEN(TRIM(C9))&gt;0</formula>
    </cfRule>
  </conditionalFormatting>
  <conditionalFormatting sqref="C65:I65">
    <cfRule type="notContainsBlanks" dxfId="151" priority="29">
      <formula>LEN(TRIM(C65))&gt;0</formula>
    </cfRule>
  </conditionalFormatting>
  <conditionalFormatting sqref="C122:I122">
    <cfRule type="notContainsBlanks" dxfId="150" priority="26">
      <formula>LEN(TRIM(C122))&gt;0</formula>
    </cfRule>
  </conditionalFormatting>
  <conditionalFormatting sqref="K178:K181">
    <cfRule type="notContainsBlanks" dxfId="149" priority="14">
      <formula>LEN(TRIM(K178))&gt;0</formula>
    </cfRule>
  </conditionalFormatting>
  <conditionalFormatting sqref="L10:L63">
    <cfRule type="notContainsBlanks" dxfId="148" priority="21">
      <formula>LEN(TRIM(L10))&gt;0</formula>
    </cfRule>
  </conditionalFormatting>
  <conditionalFormatting sqref="L120">
    <cfRule type="notContainsBlanks" dxfId="147" priority="17">
      <formula>LEN(TRIM(L120))&gt;0</formula>
    </cfRule>
  </conditionalFormatting>
  <conditionalFormatting sqref="L123:L177">
    <cfRule type="notContainsBlanks" dxfId="146" priority="12">
      <formula>LEN(TRIM(L123))&gt;0</formula>
    </cfRule>
  </conditionalFormatting>
  <conditionalFormatting sqref="L233">
    <cfRule type="expression" dxfId="145" priority="13">
      <formula>#REF!&lt;$C$5+1</formula>
    </cfRule>
  </conditionalFormatting>
  <conditionalFormatting sqref="M123:M176">
    <cfRule type="expression" dxfId="144" priority="19">
      <formula>L123&lt;$C$5+1</formula>
    </cfRule>
  </conditionalFormatting>
  <conditionalFormatting sqref="M233">
    <cfRule type="expression" dxfId="143" priority="22">
      <formula>K180&lt;$C$5+1</formula>
    </cfRule>
  </conditionalFormatting>
  <conditionalFormatting sqref="M235:M236">
    <cfRule type="expression" dxfId="142" priority="16">
      <formula>K181&lt;$C$5+1</formula>
    </cfRule>
  </conditionalFormatting>
  <conditionalFormatting sqref="M9:S9">
    <cfRule type="notContainsBlanks" dxfId="141" priority="20">
      <formula>LEN(TRIM(M9))&gt;0</formula>
    </cfRule>
  </conditionalFormatting>
  <conditionalFormatting sqref="M65:S65">
    <cfRule type="notContainsBlanks" dxfId="140" priority="18">
      <formula>LEN(TRIM(M65))&gt;0</formula>
    </cfRule>
  </conditionalFormatting>
  <conditionalFormatting sqref="M122:S122">
    <cfRule type="notContainsBlanks" dxfId="139" priority="15">
      <formula>LEN(TRIM(M122))&gt;0</formula>
    </cfRule>
  </conditionalFormatting>
  <conditionalFormatting sqref="U178:U181">
    <cfRule type="notContainsBlanks" dxfId="138" priority="3">
      <formula>LEN(TRIM(U178))&gt;0</formula>
    </cfRule>
  </conditionalFormatting>
  <conditionalFormatting sqref="V10:V63">
    <cfRule type="notContainsBlanks" dxfId="137" priority="10">
      <formula>LEN(TRIM(V10))&gt;0</formula>
    </cfRule>
  </conditionalFormatting>
  <conditionalFormatting sqref="V120">
    <cfRule type="notContainsBlanks" dxfId="136" priority="6">
      <formula>LEN(TRIM(V120))&gt;0</formula>
    </cfRule>
  </conditionalFormatting>
  <conditionalFormatting sqref="V123:V177">
    <cfRule type="notContainsBlanks" dxfId="135" priority="1">
      <formula>LEN(TRIM(V123))&gt;0</formula>
    </cfRule>
  </conditionalFormatting>
  <conditionalFormatting sqref="V233">
    <cfRule type="expression" dxfId="134" priority="2">
      <formula>#REF!&lt;$C$5+1</formula>
    </cfRule>
  </conditionalFormatting>
  <conditionalFormatting sqref="W123:W176">
    <cfRule type="expression" dxfId="133" priority="8">
      <formula>V123&lt;$C$5+1</formula>
    </cfRule>
  </conditionalFormatting>
  <conditionalFormatting sqref="W233">
    <cfRule type="expression" dxfId="132" priority="11">
      <formula>U180&lt;$C$5+1</formula>
    </cfRule>
  </conditionalFormatting>
  <conditionalFormatting sqref="W235:W236">
    <cfRule type="expression" dxfId="131" priority="5">
      <formula>U181&lt;$C$5+1</formula>
    </cfRule>
  </conditionalFormatting>
  <conditionalFormatting sqref="W9:AC9">
    <cfRule type="notContainsBlanks" dxfId="130" priority="9">
      <formula>LEN(TRIM(W9))&gt;0</formula>
    </cfRule>
  </conditionalFormatting>
  <conditionalFormatting sqref="W65:AC65">
    <cfRule type="notContainsBlanks" dxfId="129" priority="7">
      <formula>LEN(TRIM(W65))&gt;0</formula>
    </cfRule>
  </conditionalFormatting>
  <conditionalFormatting sqref="W122:AC122">
    <cfRule type="notContainsBlanks" dxfId="128" priority="4">
      <formula>LEN(TRIM(W122))&gt;0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36"/>
  <sheetViews>
    <sheetView workbookViewId="0">
      <pane ySplit="1" topLeftCell="A2" activePane="bottomLeft" state="frozen"/>
      <selection activeCell="K12" sqref="K12"/>
      <selection pane="bottomLeft" activeCell="K9" sqref="K9:K12"/>
    </sheetView>
  </sheetViews>
  <sheetFormatPr defaultRowHeight="14.25"/>
  <cols>
    <col min="3" max="3" width="24" customWidth="1"/>
  </cols>
  <sheetData>
    <row r="1" spans="1:29" ht="49.5" customHeight="1">
      <c r="A1" s="282" t="str">
        <f>Main!B17</f>
        <v>Step 2: Assessing Cross-Regional Variations in Health Security Determinants: Entropy-Driven Estimation of Criterion Weights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</row>
    <row r="2" spans="1:29" ht="18.75" thickBot="1">
      <c r="A2" s="312" t="str">
        <f>Main!C20</f>
        <v>2.2.a. EMR region based on 2019 data</v>
      </c>
      <c r="B2" s="312"/>
      <c r="C2" s="312"/>
      <c r="D2" s="312"/>
      <c r="E2" s="312"/>
      <c r="F2" s="312"/>
      <c r="G2" s="312"/>
      <c r="H2" s="312"/>
      <c r="I2" s="312"/>
      <c r="K2" s="312" t="str">
        <f>Main!C21</f>
        <v>2.2.b. EMR region based on 2021 data</v>
      </c>
      <c r="L2" s="312"/>
      <c r="M2" s="312"/>
      <c r="N2" s="312"/>
      <c r="O2" s="312"/>
      <c r="P2" s="312"/>
      <c r="Q2" s="312"/>
      <c r="R2" s="312"/>
      <c r="S2" s="312"/>
      <c r="U2" s="312" t="str">
        <f>Main!C22</f>
        <v>2.2.c. EMR region based on 2017-2021 data</v>
      </c>
      <c r="V2" s="312"/>
      <c r="W2" s="312"/>
      <c r="X2" s="312"/>
      <c r="Y2" s="312"/>
      <c r="Z2" s="312"/>
      <c r="AA2" s="312"/>
      <c r="AB2" s="312"/>
      <c r="AC2" s="312"/>
    </row>
    <row r="3" spans="1:29" ht="18.75" thickBot="1">
      <c r="A3" s="312" t="s">
        <v>128</v>
      </c>
      <c r="B3" s="312"/>
      <c r="C3" s="312"/>
      <c r="D3" s="312"/>
      <c r="E3" s="312"/>
      <c r="F3" s="312"/>
      <c r="G3" s="312"/>
      <c r="H3" s="312"/>
      <c r="I3" s="312"/>
      <c r="K3" s="312" t="s">
        <v>128</v>
      </c>
      <c r="L3" s="312"/>
      <c r="M3" s="312"/>
      <c r="N3" s="312"/>
      <c r="O3" s="312"/>
      <c r="P3" s="312"/>
      <c r="Q3" s="312"/>
      <c r="R3" s="312"/>
      <c r="S3" s="312"/>
      <c r="U3" s="312" t="s">
        <v>128</v>
      </c>
      <c r="V3" s="312"/>
      <c r="W3" s="312"/>
      <c r="X3" s="312"/>
      <c r="Y3" s="312"/>
      <c r="Z3" s="312"/>
      <c r="AA3" s="312"/>
      <c r="AB3" s="312"/>
      <c r="AC3" s="312"/>
    </row>
    <row r="4" spans="1:29" ht="18">
      <c r="A4" s="313" t="s">
        <v>129</v>
      </c>
      <c r="B4" s="314"/>
      <c r="C4" s="315"/>
      <c r="D4" s="316"/>
      <c r="E4" s="316"/>
      <c r="F4" s="316"/>
      <c r="G4" s="316"/>
      <c r="H4" s="316"/>
      <c r="I4" s="316"/>
      <c r="K4" s="313" t="s">
        <v>129</v>
      </c>
      <c r="L4" s="314"/>
      <c r="M4" s="315"/>
      <c r="N4" s="316"/>
      <c r="O4" s="316"/>
      <c r="P4" s="316"/>
      <c r="Q4" s="316"/>
      <c r="R4" s="316"/>
      <c r="S4" s="316"/>
      <c r="U4" s="313" t="s">
        <v>129</v>
      </c>
      <c r="V4" s="314"/>
      <c r="W4" s="315"/>
      <c r="X4" s="316"/>
      <c r="Y4" s="316"/>
      <c r="Z4" s="316"/>
      <c r="AA4" s="316"/>
      <c r="AB4" s="316"/>
      <c r="AC4" s="316"/>
    </row>
    <row r="5" spans="1:29">
      <c r="A5" s="317" t="s">
        <v>130</v>
      </c>
      <c r="B5" s="318"/>
      <c r="C5" s="3">
        <v>21</v>
      </c>
      <c r="D5" s="4">
        <v>1</v>
      </c>
      <c r="E5" s="4">
        <v>2</v>
      </c>
      <c r="F5" s="4">
        <v>3</v>
      </c>
      <c r="G5" s="4">
        <v>4</v>
      </c>
      <c r="H5" s="4">
        <v>5</v>
      </c>
      <c r="I5" s="4">
        <v>6</v>
      </c>
      <c r="K5" s="317" t="s">
        <v>130</v>
      </c>
      <c r="L5" s="318"/>
      <c r="M5" s="3">
        <v>21</v>
      </c>
      <c r="N5" s="4">
        <v>1</v>
      </c>
      <c r="O5" s="4">
        <v>2</v>
      </c>
      <c r="P5" s="4">
        <v>3</v>
      </c>
      <c r="Q5" s="4">
        <v>4</v>
      </c>
      <c r="R5" s="4">
        <v>5</v>
      </c>
      <c r="S5" s="4">
        <v>6</v>
      </c>
      <c r="U5" s="317" t="s">
        <v>130</v>
      </c>
      <c r="V5" s="318"/>
      <c r="W5" s="3">
        <v>21</v>
      </c>
      <c r="X5" s="4">
        <v>1</v>
      </c>
      <c r="Y5" s="4">
        <v>2</v>
      </c>
      <c r="Z5" s="4">
        <v>3</v>
      </c>
      <c r="AA5" s="4">
        <v>4</v>
      </c>
      <c r="AB5" s="4">
        <v>5</v>
      </c>
      <c r="AC5" s="4">
        <v>6</v>
      </c>
    </row>
    <row r="6" spans="1:29" ht="15" thickBot="1">
      <c r="A6" s="319" t="s">
        <v>131</v>
      </c>
      <c r="B6" s="320"/>
      <c r="C6" s="5">
        <v>6</v>
      </c>
      <c r="D6" s="6"/>
      <c r="E6" s="6"/>
      <c r="F6" s="6"/>
      <c r="G6" s="6"/>
      <c r="H6" s="6"/>
      <c r="I6" s="6"/>
      <c r="K6" s="319" t="s">
        <v>131</v>
      </c>
      <c r="L6" s="320"/>
      <c r="M6" s="5">
        <v>6</v>
      </c>
      <c r="N6" s="6"/>
      <c r="O6" s="6"/>
      <c r="P6" s="6"/>
      <c r="Q6" s="6"/>
      <c r="R6" s="6"/>
      <c r="S6" s="6"/>
      <c r="U6" s="319" t="s">
        <v>131</v>
      </c>
      <c r="V6" s="320"/>
      <c r="W6" s="5">
        <v>6</v>
      </c>
      <c r="X6" s="6"/>
      <c r="Y6" s="6"/>
      <c r="Z6" s="6"/>
      <c r="AA6" s="6"/>
      <c r="AB6" s="6"/>
      <c r="AC6" s="6"/>
    </row>
    <row r="7" spans="1:29" ht="15.75" thickTop="1">
      <c r="A7" s="7"/>
      <c r="B7" s="8"/>
      <c r="C7" s="8" t="s">
        <v>132</v>
      </c>
      <c r="D7" s="9">
        <v>1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K7" s="7"/>
      <c r="L7" s="8"/>
      <c r="M7" s="8" t="s">
        <v>132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U7" s="7"/>
      <c r="V7" s="8"/>
      <c r="W7" s="8" t="s">
        <v>132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</row>
    <row r="8" spans="1:29" ht="15.75" thickBot="1">
      <c r="A8" s="7"/>
      <c r="B8" s="321" t="s">
        <v>133</v>
      </c>
      <c r="C8" s="321"/>
      <c r="D8" s="321"/>
      <c r="E8" s="321"/>
      <c r="F8" s="321"/>
      <c r="G8" s="321"/>
      <c r="H8" s="321"/>
      <c r="I8" s="321"/>
      <c r="K8" s="7"/>
      <c r="L8" s="321" t="s">
        <v>133</v>
      </c>
      <c r="M8" s="321"/>
      <c r="N8" s="321"/>
      <c r="O8" s="321"/>
      <c r="P8" s="321"/>
      <c r="Q8" s="321"/>
      <c r="R8" s="321"/>
      <c r="S8" s="321"/>
      <c r="U8" s="7"/>
      <c r="V8" s="321" t="s">
        <v>133</v>
      </c>
      <c r="W8" s="321"/>
      <c r="X8" s="321"/>
      <c r="Y8" s="321"/>
      <c r="Z8" s="321"/>
      <c r="AA8" s="321"/>
      <c r="AB8" s="321"/>
      <c r="AC8" s="321"/>
    </row>
    <row r="9" spans="1:29" ht="12.75" customHeight="1">
      <c r="A9" s="322" t="s">
        <v>134</v>
      </c>
      <c r="B9" s="10"/>
      <c r="C9" s="11" t="s">
        <v>25</v>
      </c>
      <c r="D9" s="11" t="s">
        <v>135</v>
      </c>
      <c r="E9" s="11" t="s">
        <v>136</v>
      </c>
      <c r="F9" s="11" t="s">
        <v>137</v>
      </c>
      <c r="G9" s="11" t="s">
        <v>138</v>
      </c>
      <c r="H9" s="11" t="s">
        <v>139</v>
      </c>
      <c r="I9" s="11" t="s">
        <v>140</v>
      </c>
      <c r="K9" s="322" t="s">
        <v>134</v>
      </c>
      <c r="L9" s="10"/>
      <c r="M9" s="11" t="s">
        <v>25</v>
      </c>
      <c r="N9" s="11" t="s">
        <v>135</v>
      </c>
      <c r="O9" s="11" t="s">
        <v>136</v>
      </c>
      <c r="P9" s="11" t="s">
        <v>137</v>
      </c>
      <c r="Q9" s="11" t="s">
        <v>138</v>
      </c>
      <c r="R9" s="11" t="s">
        <v>139</v>
      </c>
      <c r="S9" s="11" t="s">
        <v>140</v>
      </c>
      <c r="U9" s="322" t="s">
        <v>134</v>
      </c>
      <c r="V9" s="10"/>
      <c r="W9" s="11" t="s">
        <v>25</v>
      </c>
      <c r="X9" s="11" t="s">
        <v>135</v>
      </c>
      <c r="Y9" s="11" t="s">
        <v>136</v>
      </c>
      <c r="Z9" s="11" t="s">
        <v>137</v>
      </c>
      <c r="AA9" s="11" t="s">
        <v>138</v>
      </c>
      <c r="AB9" s="11" t="s">
        <v>139</v>
      </c>
      <c r="AC9" s="11" t="s">
        <v>140</v>
      </c>
    </row>
    <row r="10" spans="1:29" ht="12.75" customHeight="1">
      <c r="A10" s="310"/>
      <c r="B10" s="12">
        <v>1</v>
      </c>
      <c r="C10" s="13" t="s">
        <v>107</v>
      </c>
      <c r="D10" s="13">
        <v>31.9</v>
      </c>
      <c r="E10" s="13">
        <v>33.5</v>
      </c>
      <c r="F10" s="13">
        <v>44.8</v>
      </c>
      <c r="G10" s="13">
        <v>38.9</v>
      </c>
      <c r="H10" s="13">
        <v>29.2</v>
      </c>
      <c r="I10" s="13">
        <v>55</v>
      </c>
      <c r="K10" s="310"/>
      <c r="L10" s="12">
        <v>1</v>
      </c>
      <c r="M10" s="13" t="s">
        <v>107</v>
      </c>
      <c r="N10" s="13">
        <v>28.6</v>
      </c>
      <c r="O10" s="13">
        <v>37.200000000000003</v>
      </c>
      <c r="P10" s="13">
        <v>33.5</v>
      </c>
      <c r="Q10" s="13">
        <v>41.2</v>
      </c>
      <c r="R10" s="13">
        <v>21.9</v>
      </c>
      <c r="S10" s="13">
        <v>55.2</v>
      </c>
      <c r="U10" s="310"/>
      <c r="V10" s="12">
        <v>1</v>
      </c>
      <c r="W10" s="13" t="s">
        <v>107</v>
      </c>
      <c r="X10" s="13">
        <v>30.25</v>
      </c>
      <c r="Y10" s="13">
        <v>35.35</v>
      </c>
      <c r="Z10" s="13">
        <v>39.15</v>
      </c>
      <c r="AA10" s="13">
        <v>40.049999999999997</v>
      </c>
      <c r="AB10" s="13">
        <v>25.549999999999997</v>
      </c>
      <c r="AC10" s="13">
        <v>55.1</v>
      </c>
    </row>
    <row r="11" spans="1:29" ht="12.75" customHeight="1">
      <c r="A11" s="310"/>
      <c r="B11" s="12">
        <v>2</v>
      </c>
      <c r="C11" s="13" t="s">
        <v>108</v>
      </c>
      <c r="D11" s="13">
        <v>34.700000000000003</v>
      </c>
      <c r="E11" s="13">
        <v>17.899999999999999</v>
      </c>
      <c r="F11" s="13">
        <v>52.4</v>
      </c>
      <c r="G11" s="13">
        <v>42.5</v>
      </c>
      <c r="H11" s="13">
        <v>30.6</v>
      </c>
      <c r="I11" s="13">
        <v>62.8</v>
      </c>
      <c r="K11" s="310"/>
      <c r="L11" s="12">
        <v>2</v>
      </c>
      <c r="M11" s="13" t="s">
        <v>108</v>
      </c>
      <c r="N11" s="13">
        <v>27.2</v>
      </c>
      <c r="O11" s="13">
        <v>17.899999999999999</v>
      </c>
      <c r="P11" s="13">
        <v>40.299999999999997</v>
      </c>
      <c r="Q11" s="13">
        <v>42.5</v>
      </c>
      <c r="R11" s="13">
        <v>29.2</v>
      </c>
      <c r="S11" s="13">
        <v>63.9</v>
      </c>
      <c r="U11" s="310"/>
      <c r="V11" s="12">
        <v>2</v>
      </c>
      <c r="W11" s="13" t="s">
        <v>108</v>
      </c>
      <c r="X11" s="13">
        <v>30.950000000000003</v>
      </c>
      <c r="Y11" s="13">
        <v>17.899999999999999</v>
      </c>
      <c r="Z11" s="13">
        <v>46.349999999999994</v>
      </c>
      <c r="AA11" s="13">
        <v>42.5</v>
      </c>
      <c r="AB11" s="13">
        <v>29.9</v>
      </c>
      <c r="AC11" s="13">
        <v>63.349999999999994</v>
      </c>
    </row>
    <row r="12" spans="1:29" ht="12.75" customHeight="1" thickBot="1">
      <c r="A12" s="311"/>
      <c r="B12" s="12">
        <v>3</v>
      </c>
      <c r="C12" s="13" t="s">
        <v>109</v>
      </c>
      <c r="D12" s="13">
        <v>35.4</v>
      </c>
      <c r="E12" s="13">
        <v>33.5</v>
      </c>
      <c r="F12" s="13">
        <v>45.9</v>
      </c>
      <c r="G12" s="13">
        <v>26.2</v>
      </c>
      <c r="H12" s="13">
        <v>39.6</v>
      </c>
      <c r="I12" s="13">
        <v>64.7</v>
      </c>
      <c r="K12" s="311"/>
      <c r="L12" s="12">
        <v>3</v>
      </c>
      <c r="M12" s="13" t="s">
        <v>109</v>
      </c>
      <c r="N12" s="13">
        <v>35.4</v>
      </c>
      <c r="O12" s="13">
        <v>33.5</v>
      </c>
      <c r="P12" s="13">
        <v>31.7</v>
      </c>
      <c r="Q12" s="13">
        <v>28.6</v>
      </c>
      <c r="R12" s="13">
        <v>41.5</v>
      </c>
      <c r="S12" s="13">
        <v>64.2</v>
      </c>
      <c r="U12" s="311"/>
      <c r="V12" s="12">
        <v>3</v>
      </c>
      <c r="W12" s="13" t="s">
        <v>109</v>
      </c>
      <c r="X12" s="13">
        <v>35.4</v>
      </c>
      <c r="Y12" s="13">
        <v>33.5</v>
      </c>
      <c r="Z12" s="13">
        <v>38.799999999999997</v>
      </c>
      <c r="AA12" s="13">
        <v>27.4</v>
      </c>
      <c r="AB12" s="13">
        <v>40.549999999999997</v>
      </c>
      <c r="AC12" s="13">
        <v>64.45</v>
      </c>
    </row>
    <row r="13" spans="1:29" ht="12.75" customHeight="1">
      <c r="A13" s="14"/>
      <c r="B13" s="12">
        <v>4</v>
      </c>
      <c r="C13" s="13" t="s">
        <v>110</v>
      </c>
      <c r="D13" s="13">
        <v>32.1</v>
      </c>
      <c r="E13" s="13">
        <v>33.5</v>
      </c>
      <c r="F13" s="13">
        <v>54.2</v>
      </c>
      <c r="G13" s="13">
        <v>40</v>
      </c>
      <c r="H13" s="13">
        <v>43.8</v>
      </c>
      <c r="I13" s="13">
        <v>67</v>
      </c>
      <c r="K13" s="14"/>
      <c r="L13" s="12">
        <v>4</v>
      </c>
      <c r="M13" s="13" t="s">
        <v>110</v>
      </c>
      <c r="N13" s="13">
        <v>36.4</v>
      </c>
      <c r="O13" s="13">
        <v>39.700000000000003</v>
      </c>
      <c r="P13" s="13">
        <v>55.2</v>
      </c>
      <c r="Q13" s="13">
        <v>42.4</v>
      </c>
      <c r="R13" s="13">
        <v>46.7</v>
      </c>
      <c r="S13" s="13">
        <v>71.7</v>
      </c>
      <c r="U13" s="14"/>
      <c r="V13" s="12">
        <v>4</v>
      </c>
      <c r="W13" s="13" t="s">
        <v>110</v>
      </c>
      <c r="X13" s="13">
        <v>34.25</v>
      </c>
      <c r="Y13" s="13">
        <v>36.6</v>
      </c>
      <c r="Z13" s="13">
        <v>54.7</v>
      </c>
      <c r="AA13" s="13">
        <v>41.2</v>
      </c>
      <c r="AB13" s="13">
        <v>45.25</v>
      </c>
      <c r="AC13" s="13">
        <v>69.349999999999994</v>
      </c>
    </row>
    <row r="14" spans="1:29" ht="12.75" customHeight="1">
      <c r="A14" s="14"/>
      <c r="B14" s="12">
        <v>5</v>
      </c>
      <c r="C14" s="13" t="s">
        <v>111</v>
      </c>
      <c r="D14" s="13">
        <v>33.4</v>
      </c>
      <c r="E14" s="13">
        <v>50</v>
      </c>
      <c r="F14" s="13">
        <v>39.4</v>
      </c>
      <c r="G14" s="13">
        <v>38.4</v>
      </c>
      <c r="H14" s="13">
        <v>49.3</v>
      </c>
      <c r="I14" s="13">
        <v>59.7</v>
      </c>
      <c r="K14" s="14"/>
      <c r="L14" s="12">
        <v>5</v>
      </c>
      <c r="M14" s="13" t="s">
        <v>111</v>
      </c>
      <c r="N14" s="13">
        <v>33.4</v>
      </c>
      <c r="O14" s="13">
        <v>52.1</v>
      </c>
      <c r="P14" s="13">
        <v>32.700000000000003</v>
      </c>
      <c r="Q14" s="13">
        <v>40.700000000000003</v>
      </c>
      <c r="R14" s="13">
        <v>49.5</v>
      </c>
      <c r="S14" s="13">
        <v>61.2</v>
      </c>
      <c r="U14" s="14"/>
      <c r="V14" s="12">
        <v>5</v>
      </c>
      <c r="W14" s="13" t="s">
        <v>111</v>
      </c>
      <c r="X14" s="13">
        <v>33.4</v>
      </c>
      <c r="Y14" s="13">
        <v>51.05</v>
      </c>
      <c r="Z14" s="13">
        <v>36.049999999999997</v>
      </c>
      <c r="AA14" s="13">
        <v>39.549999999999997</v>
      </c>
      <c r="AB14" s="13">
        <v>49.4</v>
      </c>
      <c r="AC14" s="13">
        <v>60.45</v>
      </c>
    </row>
    <row r="15" spans="1:29" ht="12.75" customHeight="1">
      <c r="A15" s="14"/>
      <c r="B15" s="12">
        <v>6</v>
      </c>
      <c r="C15" s="13" t="s">
        <v>112</v>
      </c>
      <c r="D15" s="13">
        <v>39</v>
      </c>
      <c r="E15" s="13">
        <v>25.1</v>
      </c>
      <c r="F15" s="13">
        <v>42.1</v>
      </c>
      <c r="G15" s="13">
        <v>17.100000000000001</v>
      </c>
      <c r="H15" s="13">
        <v>43.4</v>
      </c>
      <c r="I15" s="13">
        <v>73.900000000000006</v>
      </c>
      <c r="K15" s="14"/>
      <c r="L15" s="12">
        <v>6</v>
      </c>
      <c r="M15" s="13" t="s">
        <v>112</v>
      </c>
      <c r="N15" s="13">
        <v>39</v>
      </c>
      <c r="O15" s="13">
        <v>22.6</v>
      </c>
      <c r="P15" s="13">
        <v>37.5</v>
      </c>
      <c r="Q15" s="13">
        <v>19.5</v>
      </c>
      <c r="R15" s="13">
        <v>43.9</v>
      </c>
      <c r="S15" s="13">
        <v>74.7</v>
      </c>
      <c r="U15" s="14"/>
      <c r="V15" s="12">
        <v>6</v>
      </c>
      <c r="W15" s="13" t="s">
        <v>112</v>
      </c>
      <c r="X15" s="13">
        <v>39</v>
      </c>
      <c r="Y15" s="13">
        <v>23.85</v>
      </c>
      <c r="Z15" s="13">
        <v>39.799999999999997</v>
      </c>
      <c r="AA15" s="13">
        <v>18.3</v>
      </c>
      <c r="AB15" s="13">
        <v>43.65</v>
      </c>
      <c r="AC15" s="13">
        <v>74.300000000000011</v>
      </c>
    </row>
    <row r="16" spans="1:29" ht="12.75" customHeight="1">
      <c r="A16" s="14"/>
      <c r="B16" s="12">
        <v>7</v>
      </c>
      <c r="C16" s="13" t="s">
        <v>113</v>
      </c>
      <c r="D16" s="13">
        <v>15.4</v>
      </c>
      <c r="E16" s="13">
        <v>20</v>
      </c>
      <c r="F16" s="13">
        <v>27.1</v>
      </c>
      <c r="G16" s="13">
        <v>20.6</v>
      </c>
      <c r="H16" s="13">
        <v>54.2</v>
      </c>
      <c r="I16" s="13">
        <v>30.4</v>
      </c>
      <c r="K16" s="14"/>
      <c r="L16" s="12">
        <v>7</v>
      </c>
      <c r="M16" s="13" t="s">
        <v>113</v>
      </c>
      <c r="N16" s="13">
        <v>12</v>
      </c>
      <c r="O16" s="13">
        <v>20.6</v>
      </c>
      <c r="P16" s="13">
        <v>24.5</v>
      </c>
      <c r="Q16" s="13">
        <v>23</v>
      </c>
      <c r="R16" s="13">
        <v>60.9</v>
      </c>
      <c r="S16" s="13">
        <v>31.6</v>
      </c>
      <c r="U16" s="14"/>
      <c r="V16" s="12">
        <v>7</v>
      </c>
      <c r="W16" s="13" t="s">
        <v>113</v>
      </c>
      <c r="X16" s="13">
        <v>13.7</v>
      </c>
      <c r="Y16" s="13">
        <v>20.3</v>
      </c>
      <c r="Z16" s="13">
        <v>25.8</v>
      </c>
      <c r="AA16" s="13">
        <v>21.8</v>
      </c>
      <c r="AB16" s="13">
        <v>57.55</v>
      </c>
      <c r="AC16" s="13">
        <v>31</v>
      </c>
    </row>
    <row r="17" spans="1:29" ht="12.75" customHeight="1">
      <c r="A17" s="14"/>
      <c r="B17" s="12">
        <v>8</v>
      </c>
      <c r="C17" s="13" t="s">
        <v>114</v>
      </c>
      <c r="D17" s="13">
        <v>12.7</v>
      </c>
      <c r="E17" s="13">
        <v>10</v>
      </c>
      <c r="F17" s="13">
        <v>26.9</v>
      </c>
      <c r="G17" s="13">
        <v>14</v>
      </c>
      <c r="H17" s="13">
        <v>33.200000000000003</v>
      </c>
      <c r="I17" s="13">
        <v>46.6</v>
      </c>
      <c r="K17" s="14"/>
      <c r="L17" s="12">
        <v>8</v>
      </c>
      <c r="M17" s="13" t="s">
        <v>114</v>
      </c>
      <c r="N17" s="13">
        <v>16.100000000000001</v>
      </c>
      <c r="O17" s="13">
        <v>14.2</v>
      </c>
      <c r="P17" s="13">
        <v>29.1</v>
      </c>
      <c r="Q17" s="13">
        <v>14</v>
      </c>
      <c r="R17" s="13">
        <v>33.200000000000003</v>
      </c>
      <c r="S17" s="13">
        <v>45</v>
      </c>
      <c r="U17" s="14"/>
      <c r="V17" s="12">
        <v>8</v>
      </c>
      <c r="W17" s="13" t="s">
        <v>114</v>
      </c>
      <c r="X17" s="13">
        <v>14.4</v>
      </c>
      <c r="Y17" s="13">
        <v>12.1</v>
      </c>
      <c r="Z17" s="13">
        <v>28</v>
      </c>
      <c r="AA17" s="13">
        <v>14</v>
      </c>
      <c r="AB17" s="13">
        <v>33.200000000000003</v>
      </c>
      <c r="AC17" s="13">
        <v>45.8</v>
      </c>
    </row>
    <row r="18" spans="1:29" ht="12.75" customHeight="1">
      <c r="A18" s="14"/>
      <c r="B18" s="12">
        <v>9</v>
      </c>
      <c r="C18" s="13" t="s">
        <v>115</v>
      </c>
      <c r="D18" s="13">
        <v>19.100000000000001</v>
      </c>
      <c r="E18" s="13">
        <v>18.3</v>
      </c>
      <c r="F18" s="13">
        <v>32.700000000000003</v>
      </c>
      <c r="G18" s="13">
        <v>16.5</v>
      </c>
      <c r="H18" s="13">
        <v>34.200000000000003</v>
      </c>
      <c r="I18" s="13">
        <v>61</v>
      </c>
      <c r="K18" s="14"/>
      <c r="L18" s="12">
        <v>9</v>
      </c>
      <c r="M18" s="13" t="s">
        <v>115</v>
      </c>
      <c r="N18" s="13">
        <v>15.7</v>
      </c>
      <c r="O18" s="13">
        <v>18.899999999999999</v>
      </c>
      <c r="P18" s="13">
        <v>20.9</v>
      </c>
      <c r="Q18" s="13">
        <v>18.8</v>
      </c>
      <c r="R18" s="13">
        <v>33.299999999999997</v>
      </c>
      <c r="S18" s="13">
        <v>60.3</v>
      </c>
      <c r="U18" s="14"/>
      <c r="V18" s="12">
        <v>9</v>
      </c>
      <c r="W18" s="13" t="s">
        <v>115</v>
      </c>
      <c r="X18" s="13">
        <v>17.399999999999999</v>
      </c>
      <c r="Y18" s="13">
        <v>18.600000000000001</v>
      </c>
      <c r="Z18" s="13">
        <v>26.8</v>
      </c>
      <c r="AA18" s="13">
        <v>17.649999999999999</v>
      </c>
      <c r="AB18" s="13">
        <v>33.75</v>
      </c>
      <c r="AC18" s="13">
        <v>60.65</v>
      </c>
    </row>
    <row r="19" spans="1:29" ht="12.75" customHeight="1">
      <c r="A19" s="14"/>
      <c r="B19" s="12">
        <v>10</v>
      </c>
      <c r="C19" s="13" t="s">
        <v>116</v>
      </c>
      <c r="D19" s="13">
        <v>42.9</v>
      </c>
      <c r="E19" s="13">
        <v>24.7</v>
      </c>
      <c r="F19" s="13">
        <v>51.2</v>
      </c>
      <c r="G19" s="13">
        <v>39.4</v>
      </c>
      <c r="H19" s="13">
        <v>27.1</v>
      </c>
      <c r="I19" s="13">
        <v>51.9</v>
      </c>
      <c r="K19" s="14"/>
      <c r="L19" s="12">
        <v>10</v>
      </c>
      <c r="M19" s="13" t="s">
        <v>116</v>
      </c>
      <c r="N19" s="13">
        <v>42.9</v>
      </c>
      <c r="O19" s="13">
        <v>28.9</v>
      </c>
      <c r="P19" s="13">
        <v>36.4</v>
      </c>
      <c r="Q19" s="13">
        <v>39.4</v>
      </c>
      <c r="R19" s="13">
        <v>27.1</v>
      </c>
      <c r="S19" s="13">
        <v>44.4</v>
      </c>
      <c r="U19" s="14"/>
      <c r="V19" s="12">
        <v>10</v>
      </c>
      <c r="W19" s="13" t="s">
        <v>116</v>
      </c>
      <c r="X19" s="13">
        <v>42.9</v>
      </c>
      <c r="Y19" s="13">
        <v>26.799999999999997</v>
      </c>
      <c r="Z19" s="13">
        <v>43.8</v>
      </c>
      <c r="AA19" s="13">
        <v>39.4</v>
      </c>
      <c r="AB19" s="13">
        <v>27.1</v>
      </c>
      <c r="AC19" s="13">
        <v>48.15</v>
      </c>
    </row>
    <row r="20" spans="1:29" ht="12.75" customHeight="1">
      <c r="A20" s="14"/>
      <c r="B20" s="12">
        <v>11</v>
      </c>
      <c r="C20" s="13" t="s">
        <v>117</v>
      </c>
      <c r="D20" s="13">
        <v>17.3</v>
      </c>
      <c r="E20" s="13">
        <v>15.8</v>
      </c>
      <c r="F20" s="13">
        <v>26.7</v>
      </c>
      <c r="G20" s="13">
        <v>15</v>
      </c>
      <c r="H20" s="13">
        <v>29.5</v>
      </c>
      <c r="I20" s="13">
        <v>35.4</v>
      </c>
      <c r="K20" s="14"/>
      <c r="L20" s="12">
        <v>11</v>
      </c>
      <c r="M20" s="13" t="s">
        <v>117</v>
      </c>
      <c r="N20" s="13">
        <v>15.4</v>
      </c>
      <c r="O20" s="13">
        <v>24.2</v>
      </c>
      <c r="P20" s="13">
        <v>21.3</v>
      </c>
      <c r="Q20" s="13">
        <v>20.2</v>
      </c>
      <c r="R20" s="13">
        <v>32.799999999999997</v>
      </c>
      <c r="S20" s="13">
        <v>30.1</v>
      </c>
      <c r="U20" s="14"/>
      <c r="V20" s="12">
        <v>11</v>
      </c>
      <c r="W20" s="13" t="s">
        <v>117</v>
      </c>
      <c r="X20" s="13">
        <v>16.350000000000001</v>
      </c>
      <c r="Y20" s="13">
        <v>20</v>
      </c>
      <c r="Z20" s="13">
        <v>24</v>
      </c>
      <c r="AA20" s="13">
        <v>17.600000000000001</v>
      </c>
      <c r="AB20" s="13">
        <v>31.15</v>
      </c>
      <c r="AC20" s="13">
        <v>32.75</v>
      </c>
    </row>
    <row r="21" spans="1:29" ht="12.75" customHeight="1">
      <c r="A21" s="14"/>
      <c r="B21" s="12">
        <v>12</v>
      </c>
      <c r="C21" s="13" t="s">
        <v>118</v>
      </c>
      <c r="D21" s="13">
        <v>30.3</v>
      </c>
      <c r="E21" s="13">
        <v>27.2</v>
      </c>
      <c r="F21" s="13">
        <v>45.2</v>
      </c>
      <c r="G21" s="13">
        <v>40</v>
      </c>
      <c r="H21" s="13">
        <v>48.1</v>
      </c>
      <c r="I21" s="13">
        <v>56.5</v>
      </c>
      <c r="K21" s="14"/>
      <c r="L21" s="12">
        <v>12</v>
      </c>
      <c r="M21" s="13" t="s">
        <v>118</v>
      </c>
      <c r="N21" s="13">
        <v>30.3</v>
      </c>
      <c r="O21" s="13">
        <v>32.5</v>
      </c>
      <c r="P21" s="13">
        <v>41.8</v>
      </c>
      <c r="Q21" s="13">
        <v>47.1</v>
      </c>
      <c r="R21" s="13">
        <v>48.1</v>
      </c>
      <c r="S21" s="13">
        <v>57.1</v>
      </c>
      <c r="U21" s="14"/>
      <c r="V21" s="12">
        <v>12</v>
      </c>
      <c r="W21" s="13" t="s">
        <v>118</v>
      </c>
      <c r="X21" s="13">
        <v>30.3</v>
      </c>
      <c r="Y21" s="13">
        <v>29.85</v>
      </c>
      <c r="Z21" s="13">
        <v>43.5</v>
      </c>
      <c r="AA21" s="13">
        <v>43.55</v>
      </c>
      <c r="AB21" s="13">
        <v>48.1</v>
      </c>
      <c r="AC21" s="13">
        <v>56.8</v>
      </c>
    </row>
    <row r="22" spans="1:29" ht="12.75" customHeight="1">
      <c r="A22" s="14"/>
      <c r="B22" s="12">
        <v>13</v>
      </c>
      <c r="C22" s="13" t="s">
        <v>119</v>
      </c>
      <c r="D22" s="13">
        <v>17</v>
      </c>
      <c r="E22" s="13">
        <v>41</v>
      </c>
      <c r="F22" s="13">
        <v>57</v>
      </c>
      <c r="G22" s="13">
        <v>19.2</v>
      </c>
      <c r="H22" s="13">
        <v>39.6</v>
      </c>
      <c r="I22" s="13">
        <v>46.9</v>
      </c>
      <c r="K22" s="14"/>
      <c r="L22" s="12">
        <v>13</v>
      </c>
      <c r="M22" s="13" t="s">
        <v>119</v>
      </c>
      <c r="N22" s="13">
        <v>8.6</v>
      </c>
      <c r="O22" s="13">
        <v>38.9</v>
      </c>
      <c r="P22" s="13">
        <v>52</v>
      </c>
      <c r="Q22" s="13">
        <v>21.6</v>
      </c>
      <c r="R22" s="13">
        <v>40.1</v>
      </c>
      <c r="S22" s="13">
        <v>39</v>
      </c>
      <c r="U22" s="14"/>
      <c r="V22" s="12">
        <v>13</v>
      </c>
      <c r="W22" s="13" t="s">
        <v>119</v>
      </c>
      <c r="X22" s="13">
        <v>12.8</v>
      </c>
      <c r="Y22" s="13">
        <v>39.950000000000003</v>
      </c>
      <c r="Z22" s="13">
        <v>54.5</v>
      </c>
      <c r="AA22" s="13">
        <v>20.399999999999999</v>
      </c>
      <c r="AB22" s="13">
        <v>39.85</v>
      </c>
      <c r="AC22" s="13">
        <v>42.95</v>
      </c>
    </row>
    <row r="23" spans="1:29" ht="12.75" customHeight="1">
      <c r="A23" s="14"/>
      <c r="B23" s="12">
        <v>14</v>
      </c>
      <c r="C23" s="13" t="s">
        <v>120</v>
      </c>
      <c r="D23" s="13">
        <v>15.5</v>
      </c>
      <c r="E23" s="13">
        <v>22.1</v>
      </c>
      <c r="F23" s="13">
        <v>21.5</v>
      </c>
      <c r="G23" s="13">
        <v>13.1</v>
      </c>
      <c r="H23" s="13">
        <v>29.2</v>
      </c>
      <c r="I23" s="13">
        <v>38.5</v>
      </c>
      <c r="K23" s="14"/>
      <c r="L23" s="12">
        <v>14</v>
      </c>
      <c r="M23" s="13" t="s">
        <v>120</v>
      </c>
      <c r="N23" s="13">
        <v>11.1</v>
      </c>
      <c r="O23" s="13">
        <v>28.3</v>
      </c>
      <c r="P23" s="13">
        <v>31.1</v>
      </c>
      <c r="Q23" s="13">
        <v>13</v>
      </c>
      <c r="R23" s="13">
        <v>31.3</v>
      </c>
      <c r="S23" s="13">
        <v>36.700000000000003</v>
      </c>
      <c r="U23" s="14"/>
      <c r="V23" s="12">
        <v>14</v>
      </c>
      <c r="W23" s="13" t="s">
        <v>120</v>
      </c>
      <c r="X23" s="13">
        <v>13.3</v>
      </c>
      <c r="Y23" s="13">
        <v>25.200000000000003</v>
      </c>
      <c r="Z23" s="13">
        <v>26.3</v>
      </c>
      <c r="AA23" s="13">
        <v>13.05</v>
      </c>
      <c r="AB23" s="13">
        <v>30.25</v>
      </c>
      <c r="AC23" s="13">
        <v>37.6</v>
      </c>
    </row>
    <row r="24" spans="1:29" ht="12.75" customHeight="1">
      <c r="A24" s="14"/>
      <c r="B24" s="12">
        <v>15</v>
      </c>
      <c r="C24" s="13" t="s">
        <v>121</v>
      </c>
      <c r="D24" s="13">
        <v>29.4</v>
      </c>
      <c r="E24" s="13">
        <v>27.9</v>
      </c>
      <c r="F24" s="13">
        <v>36.1</v>
      </c>
      <c r="G24" s="13">
        <v>30.9</v>
      </c>
      <c r="H24" s="13">
        <v>32.6</v>
      </c>
      <c r="I24" s="13">
        <v>57</v>
      </c>
      <c r="K24" s="14"/>
      <c r="L24" s="12">
        <v>15</v>
      </c>
      <c r="M24" s="13" t="s">
        <v>121</v>
      </c>
      <c r="N24" s="13">
        <v>29.3</v>
      </c>
      <c r="O24" s="13">
        <v>27.9</v>
      </c>
      <c r="P24" s="13">
        <v>28</v>
      </c>
      <c r="Q24" s="13">
        <v>30.8</v>
      </c>
      <c r="R24" s="13">
        <v>33.200000000000003</v>
      </c>
      <c r="S24" s="13">
        <v>52.5</v>
      </c>
      <c r="U24" s="14"/>
      <c r="V24" s="12">
        <v>15</v>
      </c>
      <c r="W24" s="13" t="s">
        <v>121</v>
      </c>
      <c r="X24" s="13">
        <v>29.35</v>
      </c>
      <c r="Y24" s="13">
        <v>27.9</v>
      </c>
      <c r="Z24" s="13">
        <v>32.049999999999997</v>
      </c>
      <c r="AA24" s="13">
        <v>30.85</v>
      </c>
      <c r="AB24" s="13">
        <v>32.900000000000006</v>
      </c>
      <c r="AC24" s="13">
        <v>54.75</v>
      </c>
    </row>
    <row r="25" spans="1:29" ht="12.75" customHeight="1">
      <c r="A25" s="14"/>
      <c r="B25" s="12">
        <v>16</v>
      </c>
      <c r="C25" s="13" t="s">
        <v>122</v>
      </c>
      <c r="D25" s="13">
        <v>17</v>
      </c>
      <c r="E25" s="13">
        <v>25</v>
      </c>
      <c r="F25" s="13">
        <v>28.7</v>
      </c>
      <c r="G25" s="13">
        <v>24.1</v>
      </c>
      <c r="H25" s="13">
        <v>47.4</v>
      </c>
      <c r="I25" s="13">
        <v>45.7</v>
      </c>
      <c r="K25" s="14"/>
      <c r="L25" s="12">
        <v>16</v>
      </c>
      <c r="M25" s="13" t="s">
        <v>122</v>
      </c>
      <c r="N25" s="13">
        <v>17.100000000000001</v>
      </c>
      <c r="O25" s="13">
        <v>29.2</v>
      </c>
      <c r="P25" s="13">
        <v>18.8</v>
      </c>
      <c r="Q25" s="13">
        <v>26.8</v>
      </c>
      <c r="R25" s="13">
        <v>45.8</v>
      </c>
      <c r="S25" s="13">
        <v>44.8</v>
      </c>
      <c r="U25" s="14"/>
      <c r="V25" s="12">
        <v>16</v>
      </c>
      <c r="W25" s="13" t="s">
        <v>122</v>
      </c>
      <c r="X25" s="13">
        <v>17.05</v>
      </c>
      <c r="Y25" s="13">
        <v>27.1</v>
      </c>
      <c r="Z25" s="13">
        <v>23.75</v>
      </c>
      <c r="AA25" s="13">
        <v>25.450000000000003</v>
      </c>
      <c r="AB25" s="13">
        <v>46.599999999999994</v>
      </c>
      <c r="AC25" s="13">
        <v>45.25</v>
      </c>
    </row>
    <row r="26" spans="1:29" ht="12.75" customHeight="1">
      <c r="A26" s="14"/>
      <c r="B26" s="12">
        <v>17</v>
      </c>
      <c r="C26" s="13" t="s">
        <v>123</v>
      </c>
      <c r="D26" s="13">
        <v>11.4</v>
      </c>
      <c r="E26" s="13">
        <v>15.8</v>
      </c>
      <c r="F26" s="13">
        <v>28.9</v>
      </c>
      <c r="G26" s="13">
        <v>1.3</v>
      </c>
      <c r="H26" s="13">
        <v>26</v>
      </c>
      <c r="I26" s="13">
        <v>24.2</v>
      </c>
      <c r="K26" s="14"/>
      <c r="L26" s="12">
        <v>17</v>
      </c>
      <c r="M26" s="13" t="s">
        <v>123</v>
      </c>
      <c r="N26" s="13">
        <v>11.4</v>
      </c>
      <c r="O26" s="13">
        <v>11.7</v>
      </c>
      <c r="P26" s="13">
        <v>25.8</v>
      </c>
      <c r="Q26" s="13">
        <v>1.3</v>
      </c>
      <c r="R26" s="13">
        <v>21.9</v>
      </c>
      <c r="S26" s="13">
        <v>23.6</v>
      </c>
      <c r="U26" s="14"/>
      <c r="V26" s="12">
        <v>17</v>
      </c>
      <c r="W26" s="13" t="s">
        <v>123</v>
      </c>
      <c r="X26" s="13">
        <v>11.4</v>
      </c>
      <c r="Y26" s="13">
        <v>13.75</v>
      </c>
      <c r="Z26" s="13">
        <v>27.35</v>
      </c>
      <c r="AA26" s="13">
        <v>1.3</v>
      </c>
      <c r="AB26" s="13">
        <v>23.95</v>
      </c>
      <c r="AC26" s="13">
        <v>23.9</v>
      </c>
    </row>
    <row r="27" spans="1:29" ht="12.75" customHeight="1">
      <c r="A27" s="14"/>
      <c r="B27" s="12">
        <v>18</v>
      </c>
      <c r="C27" s="13" t="s">
        <v>124</v>
      </c>
      <c r="D27" s="13">
        <v>22.6</v>
      </c>
      <c r="E27" s="13">
        <v>15.8</v>
      </c>
      <c r="F27" s="13">
        <v>50.6</v>
      </c>
      <c r="G27" s="13">
        <v>12.8</v>
      </c>
      <c r="H27" s="13">
        <v>41.7</v>
      </c>
      <c r="I27" s="13">
        <v>36.799999999999997</v>
      </c>
      <c r="K27" s="14"/>
      <c r="L27" s="12">
        <v>18</v>
      </c>
      <c r="M27" s="13" t="s">
        <v>124</v>
      </c>
      <c r="N27" s="13">
        <v>22.5</v>
      </c>
      <c r="O27" s="13">
        <v>15.8</v>
      </c>
      <c r="P27" s="13">
        <v>42.9</v>
      </c>
      <c r="Q27" s="13">
        <v>12.8</v>
      </c>
      <c r="R27" s="13">
        <v>41.7</v>
      </c>
      <c r="S27" s="13">
        <v>34.1</v>
      </c>
      <c r="U27" s="14"/>
      <c r="V27" s="12">
        <v>18</v>
      </c>
      <c r="W27" s="13" t="s">
        <v>124</v>
      </c>
      <c r="X27" s="13">
        <v>22.55</v>
      </c>
      <c r="Y27" s="13">
        <v>15.8</v>
      </c>
      <c r="Z27" s="13">
        <v>46.75</v>
      </c>
      <c r="AA27" s="13">
        <v>12.8</v>
      </c>
      <c r="AB27" s="13">
        <v>41.7</v>
      </c>
      <c r="AC27" s="13">
        <v>35.450000000000003</v>
      </c>
    </row>
    <row r="28" spans="1:29" ht="12.75" customHeight="1">
      <c r="A28" s="14"/>
      <c r="B28" s="12">
        <v>19</v>
      </c>
      <c r="C28" s="13" t="s">
        <v>125</v>
      </c>
      <c r="D28" s="13">
        <v>9.6999999999999993</v>
      </c>
      <c r="E28" s="13">
        <v>8.3000000000000007</v>
      </c>
      <c r="F28" s="13">
        <v>24.6</v>
      </c>
      <c r="G28" s="13">
        <v>13.4</v>
      </c>
      <c r="H28" s="13">
        <v>24</v>
      </c>
      <c r="I28" s="13">
        <v>32</v>
      </c>
      <c r="K28" s="14"/>
      <c r="L28" s="12">
        <v>19</v>
      </c>
      <c r="M28" s="13" t="s">
        <v>125</v>
      </c>
      <c r="N28" s="13">
        <v>12.9</v>
      </c>
      <c r="O28" s="13">
        <v>4.2</v>
      </c>
      <c r="P28" s="13">
        <v>18</v>
      </c>
      <c r="Q28" s="13">
        <v>13.4</v>
      </c>
      <c r="R28" s="13">
        <v>24.5</v>
      </c>
      <c r="S28" s="13">
        <v>27.4</v>
      </c>
      <c r="U28" s="14"/>
      <c r="V28" s="12">
        <v>19</v>
      </c>
      <c r="W28" s="13" t="s">
        <v>125</v>
      </c>
      <c r="X28" s="13">
        <v>11.3</v>
      </c>
      <c r="Y28" s="13">
        <v>6.25</v>
      </c>
      <c r="Z28" s="13">
        <v>21.3</v>
      </c>
      <c r="AA28" s="13">
        <v>13.4</v>
      </c>
      <c r="AB28" s="13">
        <v>24.25</v>
      </c>
      <c r="AC28" s="13">
        <v>29.7</v>
      </c>
    </row>
    <row r="29" spans="1:29" ht="12.75" customHeight="1">
      <c r="A29" s="14"/>
      <c r="B29" s="12">
        <v>20</v>
      </c>
      <c r="C29" s="13" t="s">
        <v>126</v>
      </c>
      <c r="D29" s="13">
        <v>25.3</v>
      </c>
      <c r="E29" s="13">
        <v>20.399999999999999</v>
      </c>
      <c r="F29" s="13">
        <v>48.9</v>
      </c>
      <c r="G29" s="13">
        <v>13.1</v>
      </c>
      <c r="H29" s="13">
        <v>29.2</v>
      </c>
      <c r="I29" s="13">
        <v>56</v>
      </c>
      <c r="K29" s="14"/>
      <c r="L29" s="12">
        <v>20</v>
      </c>
      <c r="M29" s="13" t="s">
        <v>126</v>
      </c>
      <c r="N29" s="13">
        <v>21.9</v>
      </c>
      <c r="O29" s="13">
        <v>20.399999999999999</v>
      </c>
      <c r="P29" s="13">
        <v>41.9</v>
      </c>
      <c r="Q29" s="13">
        <v>13</v>
      </c>
      <c r="R29" s="13">
        <v>33.700000000000003</v>
      </c>
      <c r="S29" s="13">
        <v>57.7</v>
      </c>
      <c r="U29" s="14"/>
      <c r="V29" s="12">
        <v>20</v>
      </c>
      <c r="W29" s="13" t="s">
        <v>126</v>
      </c>
      <c r="X29" s="13">
        <v>23.6</v>
      </c>
      <c r="Y29" s="13">
        <v>20.399999999999999</v>
      </c>
      <c r="Z29" s="13">
        <v>45.4</v>
      </c>
      <c r="AA29" s="13">
        <v>13.05</v>
      </c>
      <c r="AB29" s="13">
        <v>31.450000000000003</v>
      </c>
      <c r="AC29" s="13">
        <v>56.85</v>
      </c>
    </row>
    <row r="30" spans="1:29" ht="12.75" customHeight="1">
      <c r="A30" s="14"/>
      <c r="B30" s="12">
        <v>21</v>
      </c>
      <c r="C30" s="13" t="s">
        <v>127</v>
      </c>
      <c r="D30" s="13">
        <v>9.1999999999999993</v>
      </c>
      <c r="E30" s="13">
        <v>8.3000000000000007</v>
      </c>
      <c r="F30" s="13">
        <v>24.7</v>
      </c>
      <c r="G30" s="13">
        <v>12</v>
      </c>
      <c r="H30" s="13">
        <v>37.5</v>
      </c>
      <c r="I30" s="13">
        <v>27.8</v>
      </c>
      <c r="K30" s="14"/>
      <c r="L30" s="12">
        <v>21</v>
      </c>
      <c r="M30" s="13" t="s">
        <v>127</v>
      </c>
      <c r="N30" s="13">
        <v>0.8</v>
      </c>
      <c r="O30" s="13">
        <v>4.2</v>
      </c>
      <c r="P30" s="13">
        <v>17.5</v>
      </c>
      <c r="Q30" s="13">
        <v>12</v>
      </c>
      <c r="R30" s="13">
        <v>37.5</v>
      </c>
      <c r="S30" s="13">
        <v>24.9</v>
      </c>
      <c r="U30" s="14"/>
      <c r="V30" s="12">
        <v>21</v>
      </c>
      <c r="W30" s="13" t="s">
        <v>127</v>
      </c>
      <c r="X30" s="13">
        <v>5</v>
      </c>
      <c r="Y30" s="13">
        <v>6.25</v>
      </c>
      <c r="Z30" s="13">
        <v>21.1</v>
      </c>
      <c r="AA30" s="13">
        <v>12</v>
      </c>
      <c r="AB30" s="13">
        <v>37.5</v>
      </c>
      <c r="AC30" s="13">
        <v>26.35</v>
      </c>
    </row>
    <row r="31" spans="1:29" ht="12.75" hidden="1" customHeight="1">
      <c r="A31" s="14"/>
      <c r="B31" s="12"/>
      <c r="C31" s="13"/>
      <c r="D31" s="13"/>
      <c r="E31" s="13"/>
      <c r="F31" s="13"/>
      <c r="G31" s="13"/>
      <c r="H31" s="13"/>
      <c r="I31" s="13"/>
      <c r="K31" s="14"/>
      <c r="L31" s="12"/>
      <c r="M31" s="13"/>
      <c r="N31" s="13"/>
      <c r="O31" s="13"/>
      <c r="P31" s="13"/>
      <c r="Q31" s="13"/>
      <c r="R31" s="13"/>
      <c r="S31" s="13"/>
      <c r="U31" s="14"/>
      <c r="V31" s="12"/>
      <c r="W31" s="13"/>
      <c r="X31" s="13"/>
      <c r="Y31" s="13"/>
      <c r="Z31" s="13"/>
      <c r="AA31" s="13"/>
      <c r="AB31" s="13"/>
      <c r="AC31" s="13"/>
    </row>
    <row r="32" spans="1:29" ht="12.75" hidden="1" customHeight="1">
      <c r="A32" s="14"/>
      <c r="B32" s="12"/>
      <c r="C32" s="13"/>
      <c r="D32" s="13"/>
      <c r="E32" s="13"/>
      <c r="F32" s="13"/>
      <c r="G32" s="13"/>
      <c r="H32" s="13"/>
      <c r="I32" s="13"/>
      <c r="K32" s="14"/>
      <c r="L32" s="12"/>
      <c r="M32" s="13"/>
      <c r="N32" s="13"/>
      <c r="O32" s="13"/>
      <c r="P32" s="13"/>
      <c r="Q32" s="13"/>
      <c r="R32" s="13"/>
      <c r="S32" s="13"/>
      <c r="U32" s="14"/>
      <c r="V32" s="12"/>
      <c r="W32" s="13"/>
      <c r="X32" s="13"/>
      <c r="Y32" s="13"/>
      <c r="Z32" s="13"/>
      <c r="AA32" s="13"/>
      <c r="AB32" s="13"/>
      <c r="AC32" s="13"/>
    </row>
    <row r="33" spans="1:29" ht="12.75" hidden="1" customHeight="1">
      <c r="A33" s="14"/>
      <c r="B33" s="12"/>
      <c r="C33" s="13"/>
      <c r="D33" s="13"/>
      <c r="E33" s="13"/>
      <c r="F33" s="13"/>
      <c r="G33" s="13"/>
      <c r="H33" s="13"/>
      <c r="I33" s="13"/>
      <c r="K33" s="14"/>
      <c r="L33" s="12"/>
      <c r="M33" s="13"/>
      <c r="N33" s="13"/>
      <c r="O33" s="13"/>
      <c r="P33" s="13"/>
      <c r="Q33" s="13"/>
      <c r="R33" s="13"/>
      <c r="S33" s="13"/>
      <c r="U33" s="14"/>
      <c r="V33" s="12"/>
      <c r="W33" s="13"/>
      <c r="X33" s="13"/>
      <c r="Y33" s="13"/>
      <c r="Z33" s="13"/>
      <c r="AA33" s="13"/>
      <c r="AB33" s="13"/>
      <c r="AC33" s="13"/>
    </row>
    <row r="34" spans="1:29" ht="12.75" hidden="1" customHeight="1">
      <c r="A34" s="14"/>
      <c r="B34" s="12"/>
      <c r="C34" s="13"/>
      <c r="D34" s="13"/>
      <c r="E34" s="13"/>
      <c r="F34" s="13"/>
      <c r="G34" s="13"/>
      <c r="H34" s="13"/>
      <c r="I34" s="13"/>
      <c r="K34" s="14"/>
      <c r="L34" s="12"/>
      <c r="M34" s="13"/>
      <c r="N34" s="13"/>
      <c r="O34" s="13"/>
      <c r="P34" s="13"/>
      <c r="Q34" s="13"/>
      <c r="R34" s="13"/>
      <c r="S34" s="13"/>
      <c r="U34" s="14"/>
      <c r="V34" s="12"/>
      <c r="W34" s="13"/>
      <c r="X34" s="13"/>
      <c r="Y34" s="13"/>
      <c r="Z34" s="13"/>
      <c r="AA34" s="13"/>
      <c r="AB34" s="13"/>
      <c r="AC34" s="13"/>
    </row>
    <row r="35" spans="1:29" ht="12.75" hidden="1" customHeight="1">
      <c r="A35" s="14"/>
      <c r="B35" s="12"/>
      <c r="C35" s="13"/>
      <c r="D35" s="13"/>
      <c r="E35" s="13"/>
      <c r="F35" s="13"/>
      <c r="G35" s="13"/>
      <c r="H35" s="13"/>
      <c r="I35" s="13"/>
      <c r="K35" s="14"/>
      <c r="L35" s="12"/>
      <c r="M35" s="13"/>
      <c r="N35" s="13"/>
      <c r="O35" s="13"/>
      <c r="P35" s="13"/>
      <c r="Q35" s="13"/>
      <c r="R35" s="13"/>
      <c r="S35" s="13"/>
      <c r="U35" s="14"/>
      <c r="V35" s="12"/>
      <c r="W35" s="13"/>
      <c r="X35" s="13"/>
      <c r="Y35" s="13"/>
      <c r="Z35" s="13"/>
      <c r="AA35" s="13"/>
      <c r="AB35" s="13"/>
      <c r="AC35" s="13"/>
    </row>
    <row r="36" spans="1:29" ht="12.75" hidden="1" customHeight="1">
      <c r="A36" s="14"/>
      <c r="B36" s="12"/>
      <c r="C36" s="13"/>
      <c r="D36" s="13"/>
      <c r="E36" s="13"/>
      <c r="F36" s="13"/>
      <c r="G36" s="13"/>
      <c r="H36" s="13"/>
      <c r="I36" s="13"/>
      <c r="K36" s="14"/>
      <c r="L36" s="12"/>
      <c r="M36" s="13"/>
      <c r="N36" s="13"/>
      <c r="O36" s="13"/>
      <c r="P36" s="13"/>
      <c r="Q36" s="13"/>
      <c r="R36" s="13"/>
      <c r="S36" s="13"/>
      <c r="U36" s="14"/>
      <c r="V36" s="12"/>
      <c r="W36" s="13"/>
      <c r="X36" s="13"/>
      <c r="Y36" s="13"/>
      <c r="Z36" s="13"/>
      <c r="AA36" s="13"/>
      <c r="AB36" s="13"/>
      <c r="AC36" s="13"/>
    </row>
    <row r="37" spans="1:29" ht="12.75" hidden="1" customHeight="1">
      <c r="A37" s="14"/>
      <c r="B37" s="12" t="s">
        <v>141</v>
      </c>
      <c r="C37" s="13"/>
      <c r="D37" s="13"/>
      <c r="E37" s="13"/>
      <c r="F37" s="13"/>
      <c r="G37" s="13"/>
      <c r="H37" s="13"/>
      <c r="I37" s="13"/>
      <c r="K37" s="14"/>
      <c r="L37" s="12" t="s">
        <v>141</v>
      </c>
      <c r="M37" s="13"/>
      <c r="N37" s="13"/>
      <c r="O37" s="13"/>
      <c r="P37" s="13"/>
      <c r="Q37" s="13"/>
      <c r="R37" s="13"/>
      <c r="S37" s="13"/>
      <c r="U37" s="14"/>
      <c r="V37" s="12" t="s">
        <v>141</v>
      </c>
      <c r="W37" s="13"/>
      <c r="X37" s="13"/>
      <c r="Y37" s="13"/>
      <c r="Z37" s="13"/>
      <c r="AA37" s="13"/>
      <c r="AB37" s="13"/>
      <c r="AC37" s="13"/>
    </row>
    <row r="38" spans="1:29" ht="12.75" hidden="1" customHeight="1">
      <c r="A38" s="14"/>
      <c r="B38" s="12" t="s">
        <v>142</v>
      </c>
      <c r="C38" s="13"/>
      <c r="D38" s="13"/>
      <c r="E38" s="13"/>
      <c r="F38" s="13"/>
      <c r="G38" s="13"/>
      <c r="H38" s="13"/>
      <c r="I38" s="13"/>
      <c r="K38" s="14"/>
      <c r="L38" s="12" t="s">
        <v>142</v>
      </c>
      <c r="M38" s="13"/>
      <c r="N38" s="13"/>
      <c r="O38" s="13"/>
      <c r="P38" s="13"/>
      <c r="Q38" s="13"/>
      <c r="R38" s="13"/>
      <c r="S38" s="13"/>
      <c r="U38" s="14"/>
      <c r="V38" s="12" t="s">
        <v>142</v>
      </c>
      <c r="W38" s="13"/>
      <c r="X38" s="13"/>
      <c r="Y38" s="13"/>
      <c r="Z38" s="13"/>
      <c r="AA38" s="13"/>
      <c r="AB38" s="13"/>
      <c r="AC38" s="13"/>
    </row>
    <row r="39" spans="1:29" ht="12.75" hidden="1" customHeight="1">
      <c r="A39" s="14"/>
      <c r="B39" s="12" t="s">
        <v>142</v>
      </c>
      <c r="C39" s="13"/>
      <c r="D39" s="13"/>
      <c r="E39" s="13"/>
      <c r="F39" s="13"/>
      <c r="G39" s="13"/>
      <c r="H39" s="13"/>
      <c r="I39" s="13"/>
      <c r="K39" s="14"/>
      <c r="L39" s="12" t="s">
        <v>142</v>
      </c>
      <c r="M39" s="13"/>
      <c r="N39" s="13"/>
      <c r="O39" s="13"/>
      <c r="P39" s="13"/>
      <c r="Q39" s="13"/>
      <c r="R39" s="13"/>
      <c r="S39" s="13"/>
      <c r="U39" s="14"/>
      <c r="V39" s="12" t="s">
        <v>142</v>
      </c>
      <c r="W39" s="13"/>
      <c r="X39" s="13"/>
      <c r="Y39" s="13"/>
      <c r="Z39" s="13"/>
      <c r="AA39" s="13"/>
      <c r="AB39" s="13"/>
      <c r="AC39" s="13"/>
    </row>
    <row r="40" spans="1:29" ht="12.75" hidden="1" customHeight="1">
      <c r="A40" s="14"/>
      <c r="B40" s="12" t="s">
        <v>142</v>
      </c>
      <c r="C40" s="13"/>
      <c r="D40" s="13"/>
      <c r="E40" s="13"/>
      <c r="F40" s="13"/>
      <c r="G40" s="13"/>
      <c r="H40" s="13"/>
      <c r="I40" s="13"/>
      <c r="K40" s="14"/>
      <c r="L40" s="12" t="s">
        <v>142</v>
      </c>
      <c r="M40" s="13"/>
      <c r="N40" s="13"/>
      <c r="O40" s="13"/>
      <c r="P40" s="13"/>
      <c r="Q40" s="13"/>
      <c r="R40" s="13"/>
      <c r="S40" s="13"/>
      <c r="U40" s="14"/>
      <c r="V40" s="12" t="s">
        <v>142</v>
      </c>
      <c r="W40" s="13"/>
      <c r="X40" s="13"/>
      <c r="Y40" s="13"/>
      <c r="Z40" s="13"/>
      <c r="AA40" s="13"/>
      <c r="AB40" s="13"/>
      <c r="AC40" s="13"/>
    </row>
    <row r="41" spans="1:29" ht="12.75" hidden="1" customHeight="1">
      <c r="A41" s="14"/>
      <c r="B41" s="12" t="s">
        <v>142</v>
      </c>
      <c r="C41" s="13"/>
      <c r="D41" s="13"/>
      <c r="E41" s="13"/>
      <c r="F41" s="13"/>
      <c r="G41" s="13"/>
      <c r="H41" s="13"/>
      <c r="I41" s="13"/>
      <c r="K41" s="14"/>
      <c r="L41" s="12" t="s">
        <v>142</v>
      </c>
      <c r="M41" s="13"/>
      <c r="N41" s="13"/>
      <c r="O41" s="13"/>
      <c r="P41" s="13"/>
      <c r="Q41" s="13"/>
      <c r="R41" s="13"/>
      <c r="S41" s="13"/>
      <c r="U41" s="14"/>
      <c r="V41" s="12" t="s">
        <v>142</v>
      </c>
      <c r="W41" s="13"/>
      <c r="X41" s="13"/>
      <c r="Y41" s="13"/>
      <c r="Z41" s="13"/>
      <c r="AA41" s="13"/>
      <c r="AB41" s="13"/>
      <c r="AC41" s="13"/>
    </row>
    <row r="42" spans="1:29" ht="12.75" hidden="1" customHeight="1">
      <c r="A42" s="14"/>
      <c r="B42" s="12" t="s">
        <v>142</v>
      </c>
      <c r="C42" s="13"/>
      <c r="D42" s="13"/>
      <c r="E42" s="13"/>
      <c r="F42" s="13"/>
      <c r="G42" s="13"/>
      <c r="H42" s="13"/>
      <c r="I42" s="13"/>
      <c r="K42" s="14"/>
      <c r="L42" s="12" t="s">
        <v>142</v>
      </c>
      <c r="M42" s="13"/>
      <c r="N42" s="13"/>
      <c r="O42" s="13"/>
      <c r="P42" s="13"/>
      <c r="Q42" s="13"/>
      <c r="R42" s="13"/>
      <c r="S42" s="13"/>
      <c r="U42" s="14"/>
      <c r="V42" s="12" t="s">
        <v>142</v>
      </c>
      <c r="W42" s="13"/>
      <c r="X42" s="13"/>
      <c r="Y42" s="13"/>
      <c r="Z42" s="13"/>
      <c r="AA42" s="13"/>
      <c r="AB42" s="13"/>
      <c r="AC42" s="13"/>
    </row>
    <row r="43" spans="1:29" ht="12.75" hidden="1" customHeight="1">
      <c r="A43" s="14"/>
      <c r="B43" s="12" t="s">
        <v>142</v>
      </c>
      <c r="C43" s="13"/>
      <c r="D43" s="13"/>
      <c r="E43" s="13"/>
      <c r="F43" s="13"/>
      <c r="G43" s="13"/>
      <c r="H43" s="13"/>
      <c r="I43" s="13"/>
      <c r="K43" s="14"/>
      <c r="L43" s="12" t="s">
        <v>142</v>
      </c>
      <c r="M43" s="13"/>
      <c r="N43" s="13"/>
      <c r="O43" s="13"/>
      <c r="P43" s="13"/>
      <c r="Q43" s="13"/>
      <c r="R43" s="13"/>
      <c r="S43" s="13"/>
      <c r="U43" s="14"/>
      <c r="V43" s="12" t="s">
        <v>142</v>
      </c>
      <c r="W43" s="13"/>
      <c r="X43" s="13"/>
      <c r="Y43" s="13"/>
      <c r="Z43" s="13"/>
      <c r="AA43" s="13"/>
      <c r="AB43" s="13"/>
      <c r="AC43" s="13"/>
    </row>
    <row r="44" spans="1:29" ht="12.75" hidden="1" customHeight="1">
      <c r="A44" s="14"/>
      <c r="B44" s="12" t="s">
        <v>142</v>
      </c>
      <c r="C44" s="13"/>
      <c r="D44" s="13"/>
      <c r="E44" s="13"/>
      <c r="F44" s="13"/>
      <c r="G44" s="13"/>
      <c r="H44" s="13"/>
      <c r="I44" s="13"/>
      <c r="K44" s="14"/>
      <c r="L44" s="12" t="s">
        <v>142</v>
      </c>
      <c r="M44" s="13"/>
      <c r="N44" s="13"/>
      <c r="O44" s="13"/>
      <c r="P44" s="13"/>
      <c r="Q44" s="13"/>
      <c r="R44" s="13"/>
      <c r="S44" s="13"/>
      <c r="U44" s="14"/>
      <c r="V44" s="12" t="s">
        <v>142</v>
      </c>
      <c r="W44" s="13"/>
      <c r="X44" s="13"/>
      <c r="Y44" s="13"/>
      <c r="Z44" s="13"/>
      <c r="AA44" s="13"/>
      <c r="AB44" s="13"/>
      <c r="AC44" s="13"/>
    </row>
    <row r="45" spans="1:29" ht="12.75" hidden="1" customHeight="1">
      <c r="A45" s="14"/>
      <c r="B45" s="12" t="s">
        <v>142</v>
      </c>
      <c r="C45" s="13"/>
      <c r="D45" s="13"/>
      <c r="E45" s="13"/>
      <c r="F45" s="13"/>
      <c r="G45" s="13"/>
      <c r="H45" s="13"/>
      <c r="I45" s="13"/>
      <c r="K45" s="14"/>
      <c r="L45" s="12" t="s">
        <v>142</v>
      </c>
      <c r="M45" s="13"/>
      <c r="N45" s="13"/>
      <c r="O45" s="13"/>
      <c r="P45" s="13"/>
      <c r="Q45" s="13"/>
      <c r="R45" s="13"/>
      <c r="S45" s="13"/>
      <c r="U45" s="14"/>
      <c r="V45" s="12" t="s">
        <v>142</v>
      </c>
      <c r="W45" s="13"/>
      <c r="X45" s="13"/>
      <c r="Y45" s="13"/>
      <c r="Z45" s="13"/>
      <c r="AA45" s="13"/>
      <c r="AB45" s="13"/>
      <c r="AC45" s="13"/>
    </row>
    <row r="46" spans="1:29" ht="12.75" hidden="1" customHeight="1">
      <c r="A46" s="14"/>
      <c r="B46" s="12" t="s">
        <v>142</v>
      </c>
      <c r="C46" s="13"/>
      <c r="D46" s="13"/>
      <c r="E46" s="13"/>
      <c r="F46" s="13"/>
      <c r="G46" s="13"/>
      <c r="H46" s="13"/>
      <c r="I46" s="13"/>
      <c r="K46" s="14"/>
      <c r="L46" s="12" t="s">
        <v>142</v>
      </c>
      <c r="M46" s="13"/>
      <c r="N46" s="13"/>
      <c r="O46" s="13"/>
      <c r="P46" s="13"/>
      <c r="Q46" s="13"/>
      <c r="R46" s="13"/>
      <c r="S46" s="13"/>
      <c r="U46" s="14"/>
      <c r="V46" s="12" t="s">
        <v>142</v>
      </c>
      <c r="W46" s="13"/>
      <c r="X46" s="13"/>
      <c r="Y46" s="13"/>
      <c r="Z46" s="13"/>
      <c r="AA46" s="13"/>
      <c r="AB46" s="13"/>
      <c r="AC46" s="13"/>
    </row>
    <row r="47" spans="1:29" ht="12.75" hidden="1" customHeight="1">
      <c r="A47" s="14"/>
      <c r="B47" s="12" t="s">
        <v>142</v>
      </c>
      <c r="C47" s="13"/>
      <c r="D47" s="13"/>
      <c r="E47" s="13"/>
      <c r="F47" s="13"/>
      <c r="G47" s="13"/>
      <c r="H47" s="13"/>
      <c r="I47" s="13"/>
      <c r="K47" s="14"/>
      <c r="L47" s="12" t="s">
        <v>142</v>
      </c>
      <c r="M47" s="13"/>
      <c r="N47" s="13"/>
      <c r="O47" s="13"/>
      <c r="P47" s="13"/>
      <c r="Q47" s="13"/>
      <c r="R47" s="13"/>
      <c r="S47" s="13"/>
      <c r="U47" s="14"/>
      <c r="V47" s="12" t="s">
        <v>142</v>
      </c>
      <c r="W47" s="13"/>
      <c r="X47" s="13"/>
      <c r="Y47" s="13"/>
      <c r="Z47" s="13"/>
      <c r="AA47" s="13"/>
      <c r="AB47" s="13"/>
      <c r="AC47" s="13"/>
    </row>
    <row r="48" spans="1:29" ht="12.75" hidden="1" customHeight="1">
      <c r="A48" s="14"/>
      <c r="B48" s="12" t="s">
        <v>142</v>
      </c>
      <c r="C48" s="13"/>
      <c r="D48" s="13"/>
      <c r="E48" s="13"/>
      <c r="F48" s="13"/>
      <c r="G48" s="13"/>
      <c r="H48" s="13"/>
      <c r="I48" s="13"/>
      <c r="K48" s="14"/>
      <c r="L48" s="12" t="s">
        <v>142</v>
      </c>
      <c r="M48" s="13"/>
      <c r="N48" s="13"/>
      <c r="O48" s="13"/>
      <c r="P48" s="13"/>
      <c r="Q48" s="13"/>
      <c r="R48" s="13"/>
      <c r="S48" s="13"/>
      <c r="U48" s="14"/>
      <c r="V48" s="12" t="s">
        <v>142</v>
      </c>
      <c r="W48" s="13"/>
      <c r="X48" s="13"/>
      <c r="Y48" s="13"/>
      <c r="Z48" s="13"/>
      <c r="AA48" s="13"/>
      <c r="AB48" s="13"/>
      <c r="AC48" s="13"/>
    </row>
    <row r="49" spans="1:29" ht="12.75" hidden="1" customHeight="1">
      <c r="A49" s="14"/>
      <c r="B49" s="12" t="s">
        <v>142</v>
      </c>
      <c r="C49" s="13"/>
      <c r="D49" s="13"/>
      <c r="E49" s="13"/>
      <c r="F49" s="13"/>
      <c r="G49" s="13"/>
      <c r="H49" s="13"/>
      <c r="I49" s="13"/>
      <c r="K49" s="14"/>
      <c r="L49" s="12" t="s">
        <v>142</v>
      </c>
      <c r="M49" s="13"/>
      <c r="N49" s="13"/>
      <c r="O49" s="13"/>
      <c r="P49" s="13"/>
      <c r="Q49" s="13"/>
      <c r="R49" s="13"/>
      <c r="S49" s="13"/>
      <c r="U49" s="14"/>
      <c r="V49" s="12" t="s">
        <v>142</v>
      </c>
      <c r="W49" s="13"/>
      <c r="X49" s="13"/>
      <c r="Y49" s="13"/>
      <c r="Z49" s="13"/>
      <c r="AA49" s="13"/>
      <c r="AB49" s="13"/>
      <c r="AC49" s="13"/>
    </row>
    <row r="50" spans="1:29" ht="12.75" hidden="1" customHeight="1">
      <c r="A50" s="14"/>
      <c r="B50" s="12" t="s">
        <v>142</v>
      </c>
      <c r="C50" s="13"/>
      <c r="D50" s="13"/>
      <c r="E50" s="13"/>
      <c r="F50" s="13"/>
      <c r="G50" s="13"/>
      <c r="H50" s="13"/>
      <c r="I50" s="13"/>
      <c r="K50" s="14"/>
      <c r="L50" s="12" t="s">
        <v>142</v>
      </c>
      <c r="M50" s="13"/>
      <c r="N50" s="13"/>
      <c r="O50" s="13"/>
      <c r="P50" s="13"/>
      <c r="Q50" s="13"/>
      <c r="R50" s="13"/>
      <c r="S50" s="13"/>
      <c r="U50" s="14"/>
      <c r="V50" s="12" t="s">
        <v>142</v>
      </c>
      <c r="W50" s="13"/>
      <c r="X50" s="13"/>
      <c r="Y50" s="13"/>
      <c r="Z50" s="13"/>
      <c r="AA50" s="13"/>
      <c r="AB50" s="13"/>
      <c r="AC50" s="13"/>
    </row>
    <row r="51" spans="1:29" ht="12.75" hidden="1" customHeight="1">
      <c r="A51" s="14"/>
      <c r="B51" s="12" t="s">
        <v>142</v>
      </c>
      <c r="C51" s="13"/>
      <c r="D51" s="13"/>
      <c r="E51" s="13"/>
      <c r="F51" s="13"/>
      <c r="G51" s="13"/>
      <c r="H51" s="13"/>
      <c r="I51" s="13"/>
      <c r="K51" s="14"/>
      <c r="L51" s="12" t="s">
        <v>142</v>
      </c>
      <c r="M51" s="13"/>
      <c r="N51" s="13"/>
      <c r="O51" s="13"/>
      <c r="P51" s="13"/>
      <c r="Q51" s="13"/>
      <c r="R51" s="13"/>
      <c r="S51" s="13"/>
      <c r="U51" s="14"/>
      <c r="V51" s="12" t="s">
        <v>142</v>
      </c>
      <c r="W51" s="13"/>
      <c r="X51" s="13"/>
      <c r="Y51" s="13"/>
      <c r="Z51" s="13"/>
      <c r="AA51" s="13"/>
      <c r="AB51" s="13"/>
      <c r="AC51" s="13"/>
    </row>
    <row r="52" spans="1:29" ht="12.75" hidden="1" customHeight="1">
      <c r="A52" s="14"/>
      <c r="B52" s="12" t="s">
        <v>142</v>
      </c>
      <c r="C52" s="13"/>
      <c r="D52" s="13"/>
      <c r="E52" s="13"/>
      <c r="F52" s="13"/>
      <c r="G52" s="13"/>
      <c r="H52" s="13"/>
      <c r="I52" s="13"/>
      <c r="K52" s="14"/>
      <c r="L52" s="12" t="s">
        <v>142</v>
      </c>
      <c r="M52" s="13"/>
      <c r="N52" s="13"/>
      <c r="O52" s="13"/>
      <c r="P52" s="13"/>
      <c r="Q52" s="13"/>
      <c r="R52" s="13"/>
      <c r="S52" s="13"/>
      <c r="U52" s="14"/>
      <c r="V52" s="12" t="s">
        <v>142</v>
      </c>
      <c r="W52" s="13"/>
      <c r="X52" s="13"/>
      <c r="Y52" s="13"/>
      <c r="Z52" s="13"/>
      <c r="AA52" s="13"/>
      <c r="AB52" s="13"/>
      <c r="AC52" s="13"/>
    </row>
    <row r="53" spans="1:29" ht="12.75" hidden="1" customHeight="1">
      <c r="A53" s="14"/>
      <c r="B53" s="12" t="s">
        <v>142</v>
      </c>
      <c r="C53" s="13"/>
      <c r="D53" s="13"/>
      <c r="E53" s="13"/>
      <c r="F53" s="13"/>
      <c r="G53" s="13"/>
      <c r="H53" s="13"/>
      <c r="I53" s="13"/>
      <c r="K53" s="14"/>
      <c r="L53" s="12" t="s">
        <v>142</v>
      </c>
      <c r="M53" s="13"/>
      <c r="N53" s="13"/>
      <c r="O53" s="13"/>
      <c r="P53" s="13"/>
      <c r="Q53" s="13"/>
      <c r="R53" s="13"/>
      <c r="S53" s="13"/>
      <c r="U53" s="14"/>
      <c r="V53" s="12" t="s">
        <v>142</v>
      </c>
      <c r="W53" s="13"/>
      <c r="X53" s="13"/>
      <c r="Y53" s="13"/>
      <c r="Z53" s="13"/>
      <c r="AA53" s="13"/>
      <c r="AB53" s="13"/>
      <c r="AC53" s="13"/>
    </row>
    <row r="54" spans="1:29" ht="12.75" hidden="1" customHeight="1">
      <c r="A54" s="14"/>
      <c r="B54" s="12" t="s">
        <v>142</v>
      </c>
      <c r="C54" s="13"/>
      <c r="D54" s="13"/>
      <c r="E54" s="13"/>
      <c r="F54" s="13"/>
      <c r="G54" s="13"/>
      <c r="H54" s="13"/>
      <c r="I54" s="13"/>
      <c r="K54" s="14"/>
      <c r="L54" s="12" t="s">
        <v>142</v>
      </c>
      <c r="M54" s="13"/>
      <c r="N54" s="13"/>
      <c r="O54" s="13"/>
      <c r="P54" s="13"/>
      <c r="Q54" s="13"/>
      <c r="R54" s="13"/>
      <c r="S54" s="13"/>
      <c r="U54" s="14"/>
      <c r="V54" s="12" t="s">
        <v>142</v>
      </c>
      <c r="W54" s="13"/>
      <c r="X54" s="13"/>
      <c r="Y54" s="13"/>
      <c r="Z54" s="13"/>
      <c r="AA54" s="13"/>
      <c r="AB54" s="13"/>
      <c r="AC54" s="13"/>
    </row>
    <row r="55" spans="1:29" ht="12.75" hidden="1" customHeight="1">
      <c r="A55" s="14"/>
      <c r="B55" s="12" t="s">
        <v>142</v>
      </c>
      <c r="C55" s="13"/>
      <c r="D55" s="13"/>
      <c r="E55" s="13"/>
      <c r="F55" s="13"/>
      <c r="G55" s="13"/>
      <c r="H55" s="13"/>
      <c r="I55" s="13"/>
      <c r="K55" s="14"/>
      <c r="L55" s="12" t="s">
        <v>142</v>
      </c>
      <c r="M55" s="13"/>
      <c r="N55" s="13"/>
      <c r="O55" s="13"/>
      <c r="P55" s="13"/>
      <c r="Q55" s="13"/>
      <c r="R55" s="13"/>
      <c r="S55" s="13"/>
      <c r="U55" s="14"/>
      <c r="V55" s="12" t="s">
        <v>142</v>
      </c>
      <c r="W55" s="13"/>
      <c r="X55" s="13"/>
      <c r="Y55" s="13"/>
      <c r="Z55" s="13"/>
      <c r="AA55" s="13"/>
      <c r="AB55" s="13"/>
      <c r="AC55" s="13"/>
    </row>
    <row r="56" spans="1:29" ht="12.75" hidden="1" customHeight="1">
      <c r="A56" s="14"/>
      <c r="B56" s="12" t="s">
        <v>142</v>
      </c>
      <c r="C56" s="13"/>
      <c r="D56" s="13"/>
      <c r="E56" s="13"/>
      <c r="F56" s="13"/>
      <c r="G56" s="13"/>
      <c r="H56" s="13"/>
      <c r="I56" s="13"/>
      <c r="K56" s="14"/>
      <c r="L56" s="12" t="s">
        <v>142</v>
      </c>
      <c r="M56" s="13"/>
      <c r="N56" s="13"/>
      <c r="O56" s="13"/>
      <c r="P56" s="13"/>
      <c r="Q56" s="13"/>
      <c r="R56" s="13"/>
      <c r="S56" s="13"/>
      <c r="U56" s="14"/>
      <c r="V56" s="12" t="s">
        <v>142</v>
      </c>
      <c r="W56" s="13"/>
      <c r="X56" s="13"/>
      <c r="Y56" s="13"/>
      <c r="Z56" s="13"/>
      <c r="AA56" s="13"/>
      <c r="AB56" s="13"/>
      <c r="AC56" s="13"/>
    </row>
    <row r="57" spans="1:29" ht="12.75" hidden="1" customHeight="1">
      <c r="A57" s="14"/>
      <c r="B57" s="12" t="s">
        <v>142</v>
      </c>
      <c r="C57" s="13"/>
      <c r="D57" s="13"/>
      <c r="E57" s="13"/>
      <c r="F57" s="13"/>
      <c r="G57" s="13"/>
      <c r="H57" s="13"/>
      <c r="I57" s="13"/>
      <c r="K57" s="14"/>
      <c r="L57" s="12" t="s">
        <v>142</v>
      </c>
      <c r="M57" s="13"/>
      <c r="N57" s="13"/>
      <c r="O57" s="13"/>
      <c r="P57" s="13"/>
      <c r="Q57" s="13"/>
      <c r="R57" s="13"/>
      <c r="S57" s="13"/>
      <c r="U57" s="14"/>
      <c r="V57" s="12" t="s">
        <v>142</v>
      </c>
      <c r="W57" s="13"/>
      <c r="X57" s="13"/>
      <c r="Y57" s="13"/>
      <c r="Z57" s="13"/>
      <c r="AA57" s="13"/>
      <c r="AB57" s="13"/>
      <c r="AC57" s="13"/>
    </row>
    <row r="58" spans="1:29" ht="12.75" hidden="1" customHeight="1">
      <c r="A58" s="14"/>
      <c r="B58" s="12" t="s">
        <v>142</v>
      </c>
      <c r="C58" s="13"/>
      <c r="D58" s="13"/>
      <c r="E58" s="13"/>
      <c r="F58" s="13"/>
      <c r="G58" s="13"/>
      <c r="H58" s="13"/>
      <c r="I58" s="13"/>
      <c r="K58" s="14"/>
      <c r="L58" s="12" t="s">
        <v>142</v>
      </c>
      <c r="M58" s="13"/>
      <c r="N58" s="13"/>
      <c r="O58" s="13"/>
      <c r="P58" s="13"/>
      <c r="Q58" s="13"/>
      <c r="R58" s="13"/>
      <c r="S58" s="13"/>
      <c r="U58" s="14"/>
      <c r="V58" s="12" t="s">
        <v>142</v>
      </c>
      <c r="W58" s="13"/>
      <c r="X58" s="13"/>
      <c r="Y58" s="13"/>
      <c r="Z58" s="13"/>
      <c r="AA58" s="13"/>
      <c r="AB58" s="13"/>
      <c r="AC58" s="13"/>
    </row>
    <row r="59" spans="1:29" ht="12.75" hidden="1" customHeight="1">
      <c r="A59" s="14"/>
      <c r="B59" s="12" t="s">
        <v>142</v>
      </c>
      <c r="C59" s="13"/>
      <c r="D59" s="13"/>
      <c r="E59" s="13"/>
      <c r="F59" s="13"/>
      <c r="G59" s="13"/>
      <c r="H59" s="13"/>
      <c r="I59" s="13"/>
      <c r="K59" s="14"/>
      <c r="L59" s="12" t="s">
        <v>142</v>
      </c>
      <c r="M59" s="13"/>
      <c r="N59" s="13"/>
      <c r="O59" s="13"/>
      <c r="P59" s="13"/>
      <c r="Q59" s="13"/>
      <c r="R59" s="13"/>
      <c r="S59" s="13"/>
      <c r="U59" s="14"/>
      <c r="V59" s="12" t="s">
        <v>142</v>
      </c>
      <c r="W59" s="13"/>
      <c r="X59" s="13"/>
      <c r="Y59" s="13"/>
      <c r="Z59" s="13"/>
      <c r="AA59" s="13"/>
      <c r="AB59" s="13"/>
      <c r="AC59" s="13"/>
    </row>
    <row r="60" spans="1:29" ht="12.75" hidden="1" customHeight="1">
      <c r="A60" s="14"/>
      <c r="B60" s="12" t="s">
        <v>142</v>
      </c>
      <c r="C60" s="13"/>
      <c r="D60" s="13"/>
      <c r="E60" s="13"/>
      <c r="F60" s="13"/>
      <c r="G60" s="13"/>
      <c r="H60" s="13"/>
      <c r="I60" s="13"/>
      <c r="K60" s="14"/>
      <c r="L60" s="12" t="s">
        <v>142</v>
      </c>
      <c r="M60" s="13"/>
      <c r="N60" s="13"/>
      <c r="O60" s="13"/>
      <c r="P60" s="13"/>
      <c r="Q60" s="13"/>
      <c r="R60" s="13"/>
      <c r="S60" s="13"/>
      <c r="U60" s="14"/>
      <c r="V60" s="12" t="s">
        <v>142</v>
      </c>
      <c r="W60" s="13"/>
      <c r="X60" s="13"/>
      <c r="Y60" s="13"/>
      <c r="Z60" s="13"/>
      <c r="AA60" s="13"/>
      <c r="AB60" s="13"/>
      <c r="AC60" s="13"/>
    </row>
    <row r="61" spans="1:29" ht="12.75" hidden="1" customHeight="1">
      <c r="A61" s="14"/>
      <c r="B61" s="12" t="s">
        <v>142</v>
      </c>
      <c r="C61" s="13"/>
      <c r="D61" s="13"/>
      <c r="E61" s="13"/>
      <c r="F61" s="13"/>
      <c r="G61" s="13"/>
      <c r="H61" s="13"/>
      <c r="I61" s="13"/>
      <c r="K61" s="14"/>
      <c r="L61" s="12" t="s">
        <v>142</v>
      </c>
      <c r="M61" s="13"/>
      <c r="N61" s="13"/>
      <c r="O61" s="13"/>
      <c r="P61" s="13"/>
      <c r="Q61" s="13"/>
      <c r="R61" s="13"/>
      <c r="S61" s="13"/>
      <c r="U61" s="14"/>
      <c r="V61" s="12" t="s">
        <v>142</v>
      </c>
      <c r="W61" s="13"/>
      <c r="X61" s="13"/>
      <c r="Y61" s="13"/>
      <c r="Z61" s="13"/>
      <c r="AA61" s="13"/>
      <c r="AB61" s="13"/>
      <c r="AC61" s="13"/>
    </row>
    <row r="62" spans="1:29" ht="12.75" hidden="1" customHeight="1">
      <c r="A62" s="14"/>
      <c r="B62" s="12" t="s">
        <v>142</v>
      </c>
      <c r="C62" s="13"/>
      <c r="D62" s="13"/>
      <c r="E62" s="13"/>
      <c r="F62" s="13"/>
      <c r="G62" s="13"/>
      <c r="H62" s="13"/>
      <c r="I62" s="13"/>
      <c r="K62" s="14"/>
      <c r="L62" s="12" t="s">
        <v>142</v>
      </c>
      <c r="M62" s="13"/>
      <c r="N62" s="13"/>
      <c r="O62" s="13"/>
      <c r="P62" s="13"/>
      <c r="Q62" s="13"/>
      <c r="R62" s="13"/>
      <c r="S62" s="13"/>
      <c r="U62" s="14"/>
      <c r="V62" s="12" t="s">
        <v>142</v>
      </c>
      <c r="W62" s="13"/>
      <c r="X62" s="13"/>
      <c r="Y62" s="13"/>
      <c r="Z62" s="13"/>
      <c r="AA62" s="13"/>
      <c r="AB62" s="13"/>
      <c r="AC62" s="13"/>
    </row>
    <row r="63" spans="1:29" ht="12.75" hidden="1" customHeight="1">
      <c r="A63" s="14"/>
      <c r="B63" s="12" t="s">
        <v>142</v>
      </c>
      <c r="C63" s="13"/>
      <c r="D63" s="13"/>
      <c r="E63" s="13"/>
      <c r="F63" s="13"/>
      <c r="G63" s="13"/>
      <c r="H63" s="13"/>
      <c r="I63" s="13"/>
      <c r="K63" s="14"/>
      <c r="L63" s="12" t="s">
        <v>142</v>
      </c>
      <c r="M63" s="13"/>
      <c r="N63" s="13"/>
      <c r="O63" s="13"/>
      <c r="P63" s="13"/>
      <c r="Q63" s="13"/>
      <c r="R63" s="13"/>
      <c r="S63" s="13"/>
      <c r="U63" s="14"/>
      <c r="V63" s="12" t="s">
        <v>142</v>
      </c>
      <c r="W63" s="13"/>
      <c r="X63" s="13"/>
      <c r="Y63" s="13"/>
      <c r="Z63" s="13"/>
      <c r="AA63" s="13"/>
      <c r="AB63" s="13"/>
      <c r="AC63" s="13"/>
    </row>
    <row r="64" spans="1:29" ht="12.75" customHeight="1" thickBot="1">
      <c r="A64" s="14"/>
      <c r="B64" s="321" t="s">
        <v>143</v>
      </c>
      <c r="C64" s="321"/>
      <c r="D64" s="321"/>
      <c r="E64" s="321"/>
      <c r="F64" s="321"/>
      <c r="G64" s="321"/>
      <c r="H64" s="321"/>
      <c r="I64" s="321"/>
      <c r="K64" s="14"/>
      <c r="L64" s="321" t="s">
        <v>143</v>
      </c>
      <c r="M64" s="321"/>
      <c r="N64" s="321"/>
      <c r="O64" s="321"/>
      <c r="P64" s="321"/>
      <c r="Q64" s="321"/>
      <c r="R64" s="321"/>
      <c r="S64" s="321"/>
      <c r="U64" s="14"/>
      <c r="V64" s="321" t="s">
        <v>143</v>
      </c>
      <c r="W64" s="321"/>
      <c r="X64" s="321"/>
      <c r="Y64" s="321"/>
      <c r="Z64" s="321"/>
      <c r="AA64" s="321"/>
      <c r="AB64" s="321"/>
      <c r="AC64" s="321"/>
    </row>
    <row r="65" spans="1:29" ht="12.75" customHeight="1">
      <c r="A65" s="309" t="s">
        <v>144</v>
      </c>
      <c r="B65" s="15"/>
      <c r="C65" s="16" t="s">
        <v>25</v>
      </c>
      <c r="D65" s="16" t="s">
        <v>135</v>
      </c>
      <c r="E65" s="16" t="s">
        <v>136</v>
      </c>
      <c r="F65" s="16" t="s">
        <v>137</v>
      </c>
      <c r="G65" s="16" t="s">
        <v>138</v>
      </c>
      <c r="H65" s="16" t="s">
        <v>139</v>
      </c>
      <c r="I65" s="16" t="s">
        <v>140</v>
      </c>
      <c r="K65" s="309" t="s">
        <v>144</v>
      </c>
      <c r="L65" s="15"/>
      <c r="M65" s="16" t="s">
        <v>25</v>
      </c>
      <c r="N65" s="16" t="s">
        <v>135</v>
      </c>
      <c r="O65" s="16" t="s">
        <v>136</v>
      </c>
      <c r="P65" s="16" t="s">
        <v>137</v>
      </c>
      <c r="Q65" s="16" t="s">
        <v>138</v>
      </c>
      <c r="R65" s="16" t="s">
        <v>139</v>
      </c>
      <c r="S65" s="16" t="s">
        <v>140</v>
      </c>
      <c r="U65" s="309" t="s">
        <v>144</v>
      </c>
      <c r="V65" s="15"/>
      <c r="W65" s="16" t="s">
        <v>25</v>
      </c>
      <c r="X65" s="16" t="s">
        <v>135</v>
      </c>
      <c r="Y65" s="16" t="s">
        <v>136</v>
      </c>
      <c r="Z65" s="16" t="s">
        <v>137</v>
      </c>
      <c r="AA65" s="16" t="s">
        <v>138</v>
      </c>
      <c r="AB65" s="16" t="s">
        <v>139</v>
      </c>
      <c r="AC65" s="16" t="s">
        <v>140</v>
      </c>
    </row>
    <row r="66" spans="1:29" ht="12.75" customHeight="1">
      <c r="A66" s="310"/>
      <c r="B66" s="12">
        <v>1</v>
      </c>
      <c r="C66" s="13" t="s">
        <v>107</v>
      </c>
      <c r="D66" s="33">
        <f ca="1">IF(AND(ISNUMBER($B66),ISNUMBER(D$5)),IF(D$7=1,(D10)/(SUM(D$10:OFFSET(D$10,$C$5-1,0,1,1))),(1/D10)/SUM(1/D$10:OFFSET(D$10,$C$5-1,0,1,1))),"")</f>
        <v>6.3634550169559143E-2</v>
      </c>
      <c r="E66" s="33">
        <f ca="1">IF(AND(ISNUMBER($B66),ISNUMBER(E$5)),IF(E$7=1,(E10)/(SUM(E$10:OFFSET(E$10,$C$5-1,0,1,1))),(1/E10)/SUM(1/E$10:OFFSET(E$10,$C$5-1,0,1,1))),"")</f>
        <v>6.7800040477636103E-2</v>
      </c>
      <c r="F66" s="33">
        <f ca="1">IF(AND(ISNUMBER($B66),ISNUMBER(F$5)),IF(F$7=1,(F10)/(SUM(F$10:OFFSET(F$10,$C$5-1,0,1,1))),(1/F10)/SUM(1/F$10:OFFSET(F$10,$C$5-1,0,1,1))),"")</f>
        <v>5.5335968379446633E-2</v>
      </c>
      <c r="G66" s="33">
        <f ca="1">IF(AND(ISNUMBER($B66),ISNUMBER(G$5)),IF(G$7=1,(G10)/(SUM(G$10:OFFSET(G$10,$C$5-1,0,1,1))),(1/G10)/SUM(1/G$10:OFFSET(G$10,$C$5-1,0,1,1))),"")</f>
        <v>7.9631525076765602E-2</v>
      </c>
      <c r="H66" s="33">
        <f ca="1">IF(AND(ISNUMBER($B66),ISNUMBER(H$5)),IF(H$7=1,(H10)/(SUM(H$10:OFFSET(H$10,$C$5-1,0,1,1))),(1/H10)/SUM(1/H$10:OFFSET(H$10,$C$5-1,0,1,1))),"")</f>
        <v>3.7951650636859881E-2</v>
      </c>
      <c r="I66" s="33">
        <f ca="1">IF(AND(ISNUMBER($B66),ISNUMBER(I$5)),IF(I$7=1,(I10)/(SUM(I$10:OFFSET(I$10,$C$5-1,0,1,1))),(1/I10)/SUM(1/I$10:OFFSET(I$10,$C$5-1,0,1,1))),"")</f>
        <v>5.3408428821130317E-2</v>
      </c>
      <c r="K66" s="310"/>
      <c r="L66" s="12">
        <v>1</v>
      </c>
      <c r="M66" s="13" t="s">
        <v>107</v>
      </c>
      <c r="N66" s="33">
        <f ca="1">IF(AND(ISNUMBER($L66),ISNUMBER(N$5)),IF(N$7=1,(N10)/(SUM(N$10:OFFSET(N$10,$M$5-1,0,1,1))),(1/N10)/SUM(1/N$10:OFFSET(N$10,$M$5-1,0,1,1))),"")</f>
        <v>6.1111111111111116E-2</v>
      </c>
      <c r="O66" s="33">
        <f ca="1">IF(AND(ISNUMBER($L66),ISNUMBER(O$5)),IF(O$7=1,(O10)/(SUM(O$10:OFFSET(O$10,$M$5-1,0,1,1))),(1/O10)/SUM(1/O$10:OFFSET(O$10,$M$5-1,0,1,1))),"")</f>
        <v>7.1141709695926578E-2</v>
      </c>
      <c r="P66" s="33">
        <f ca="1">IF(AND(ISNUMBER($L66),ISNUMBER(P$5)),IF(P$7=1,(P10)/(SUM(P$10:OFFSET(P$10,$M$5-1,0,1,1))),(1/P10)/SUM(1/P$10:OFFSET(P$10,$M$5-1,0,1,1))),"")</f>
        <v>4.9199588779556477E-2</v>
      </c>
      <c r="Q66" s="33">
        <f ca="1">IF(AND(ISNUMBER($L66),ISNUMBER(Q$5)),IF(Q$7=1,(Q10)/(SUM(Q$10:OFFSET(Q$10,$M$5-1,0,1,1))),(1/Q10)/SUM(1/Q$10:OFFSET(Q$10,$M$5-1,0,1,1))),"")</f>
        <v>7.8912085807316595E-2</v>
      </c>
      <c r="R66" s="33">
        <f ca="1">IF(AND(ISNUMBER($L66),ISNUMBER(R$5)),IF(R$7=1,(R10)/(SUM(R$10:OFFSET(R$10,$M$5-1,0,1,1))),(1/R10)/SUM(1/R$10:OFFSET(R$10,$M$5-1,0,1,1))),"")</f>
        <v>2.8156338390331697E-2</v>
      </c>
      <c r="S66" s="33">
        <f ca="1">IF(AND(ISNUMBER($L66),ISNUMBER(S$5)),IF(S$7=1,(S10)/(SUM(S$10:OFFSET(S$10,$M$5-1,0,1,1))),(1/S10)/SUM(1/S$10:OFFSET(S$10,$M$5-1,0,1,1))),"")</f>
        <v>5.5194480551944806E-2</v>
      </c>
      <c r="U66" s="310"/>
      <c r="V66" s="12">
        <v>1</v>
      </c>
      <c r="W66" s="13" t="s">
        <v>107</v>
      </c>
      <c r="X66" s="33">
        <f ca="1">IF(AND(ISNUMBER($V66),ISNUMBER(X$5)),IF(X$7=1,(X10)/(SUM(X$10:OFFSET(X$10,$W$5-1,0,1,1))),(1/X10)/SUM(1/X$10:OFFSET(X$10,$W$5-1,0,1,1))),"")</f>
        <v>6.2416176622304746E-2</v>
      </c>
      <c r="Y66" s="33">
        <f ca="1">IF(AND(ISNUMBER($V66),ISNUMBER(Y$5)),IF(Y$7=1,(Y10)/(SUM(Y$10:OFFSET(Y$10,$W$5-1,0,1,1))),(1/Y10)/SUM(1/Y$10:OFFSET(Y$10,$W$5-1,0,1,1))),"")</f>
        <v>6.9518190757128825E-2</v>
      </c>
      <c r="Z66" s="33">
        <f ca="1">IF(AND(ISNUMBER($V66),ISNUMBER(Z$5)),IF(Z$7=1,(Z10)/(SUM(Z$10:OFFSET(Z$10,$W$5-1,0,1,1))),(1/Z10)/SUM(1/Z$10:OFFSET(Z$10,$W$5-1,0,1,1))),"")</f>
        <v>5.2532707145253266E-2</v>
      </c>
      <c r="AA66" s="33">
        <f ca="1">IF(AND(ISNUMBER($V66),ISNUMBER(AA$5)),IF(AA$7=1,(AA10)/(SUM(AA$10:OFFSET(AA$10,$W$5-1,0,1,1))),(1/AA10)/SUM(1/AA$10:OFFSET(AA$10,$W$5-1,0,1,1))),"")</f>
        <v>7.9259845636255682E-2</v>
      </c>
      <c r="AB66" s="33">
        <f ca="1">IF(AND(ISNUMBER($V66),ISNUMBER(AB$5)),IF(AB$7=1,(AB10)/(SUM(AB$10:OFFSET(AB$10,$W$5-1,0,1,1))),(1/AB10)/SUM(1/AB$10:OFFSET(AB$10,$W$5-1,0,1,1))),"")</f>
        <v>3.3027404343329875E-2</v>
      </c>
      <c r="AC66" s="33">
        <f ca="1">IF(AND(ISNUMBER($V66),ISNUMBER(AC$5)),IF(AC$7=1,(AC10)/(SUM(AC$10:OFFSET(AC$10,$W$5-1,0,1,1))),(1/AC10)/SUM(1/AC$10:OFFSET(AC$10,$W$5-1,0,1,1))),"")</f>
        <v>5.428838859057096E-2</v>
      </c>
    </row>
    <row r="67" spans="1:29" ht="12.75" customHeight="1">
      <c r="A67" s="310"/>
      <c r="B67" s="12">
        <v>2</v>
      </c>
      <c r="C67" s="13" t="s">
        <v>108</v>
      </c>
      <c r="D67" s="33">
        <f ca="1">IF(AND(ISNUMBER($B67),ISNUMBER(D$5)),IF(D$7=1,(D11)/(SUM(D$10:OFFSET(D$10,$C$5-1,0,1,1))),(1/D11)/SUM(1/D$10:OFFSET(D$10,$C$5-1,0,1,1))),"")</f>
        <v>6.9220027927388794E-2</v>
      </c>
      <c r="E67" s="33">
        <f ca="1">IF(AND(ISNUMBER($B67),ISNUMBER(E$5)),IF(E$7=1,(E11)/(SUM(E$10:OFFSET(E$10,$C$5-1,0,1,1))),(1/E11)/SUM(1/E$10:OFFSET(E$10,$C$5-1,0,1,1))),"")</f>
        <v>3.6227484314916007E-2</v>
      </c>
      <c r="F67" s="33">
        <f ca="1">IF(AND(ISNUMBER($B67),ISNUMBER(F$5)),IF(F$7=1,(F11)/(SUM(F$10:OFFSET(F$10,$C$5-1,0,1,1))),(1/F11)/SUM(1/F$10:OFFSET(F$10,$C$5-1,0,1,1))),"")</f>
        <v>6.4723320158102768E-2</v>
      </c>
      <c r="G67" s="33">
        <f ca="1">IF(AND(ISNUMBER($B67),ISNUMBER(G$5)),IF(G$7=1,(G11)/(SUM(G$10:OFFSET(G$10,$C$5-1,0,1,1))),(1/G11)/SUM(1/G$10:OFFSET(G$10,$C$5-1,0,1,1))),"")</f>
        <v>8.7001023541453421E-2</v>
      </c>
      <c r="H67" s="33">
        <f ca="1">IF(AND(ISNUMBER($B67),ISNUMBER(H$5)),IF(H$7=1,(H11)/(SUM(H$10:OFFSET(H$10,$C$5-1,0,1,1))),(1/H11)/SUM(1/H$10:OFFSET(H$10,$C$5-1,0,1,1))),"")</f>
        <v>3.9771250324928509E-2</v>
      </c>
      <c r="I67" s="33">
        <f ca="1">IF(AND(ISNUMBER($B67),ISNUMBER(I$5)),IF(I$7=1,(I11)/(SUM(I$10:OFFSET(I$10,$C$5-1,0,1,1))),(1/I11)/SUM(1/I$10:OFFSET(I$10,$C$5-1,0,1,1))),"")</f>
        <v>6.0982715090308795E-2</v>
      </c>
      <c r="K67" s="310"/>
      <c r="L67" s="12">
        <v>2</v>
      </c>
      <c r="M67" s="13" t="s">
        <v>108</v>
      </c>
      <c r="N67" s="33">
        <f ca="1">IF(AND(ISNUMBER($L67),ISNUMBER(N$5)),IF(N$7=1,(N11)/(SUM(N$10:OFFSET(N$10,$M$5-1,0,1,1))),(1/N11)/SUM(1/N$10:OFFSET(N$10,$M$5-1,0,1,1))),"")</f>
        <v>5.8119658119658121E-2</v>
      </c>
      <c r="O67" s="33">
        <f ca="1">IF(AND(ISNUMBER($L67),ISNUMBER(O$5)),IF(O$7=1,(O11)/(SUM(O$10:OFFSET(O$10,$M$5-1,0,1,1))),(1/O11)/SUM(1/O$10:OFFSET(O$10,$M$5-1,0,1,1))),"")</f>
        <v>3.4232166762287242E-2</v>
      </c>
      <c r="P67" s="33">
        <f ca="1">IF(AND(ISNUMBER($L67),ISNUMBER(P$5)),IF(P$7=1,(P11)/(SUM(P$10:OFFSET(P$10,$M$5-1,0,1,1))),(1/P11)/SUM(1/P$10:OFFSET(P$10,$M$5-1,0,1,1))),"")</f>
        <v>5.9186370979585852E-2</v>
      </c>
      <c r="Q67" s="33">
        <f ca="1">IF(AND(ISNUMBER($L67),ISNUMBER(Q$5)),IF(Q$7=1,(Q11)/(SUM(Q$10:OFFSET(Q$10,$M$5-1,0,1,1))),(1/Q11)/SUM(1/Q$10:OFFSET(Q$10,$M$5-1,0,1,1))),"")</f>
        <v>8.1402030262401823E-2</v>
      </c>
      <c r="R67" s="33">
        <f ca="1">IF(AND(ISNUMBER($L67),ISNUMBER(R$5)),IF(R$7=1,(R11)/(SUM(R$10:OFFSET(R$10,$M$5-1,0,1,1))),(1/R11)/SUM(1/R$10:OFFSET(R$10,$M$5-1,0,1,1))),"")</f>
        <v>3.754178452044226E-2</v>
      </c>
      <c r="S67" s="33">
        <f ca="1">IF(AND(ISNUMBER($L67),ISNUMBER(S$5)),IF(S$7=1,(S11)/(SUM(S$10:OFFSET(S$10,$M$5-1,0,1,1))),(1/S11)/SUM(1/S$10:OFFSET(S$10,$M$5-1,0,1,1))),"")</f>
        <v>6.3893610638936102E-2</v>
      </c>
      <c r="U67" s="310"/>
      <c r="V67" s="12">
        <v>2</v>
      </c>
      <c r="W67" s="13" t="s">
        <v>108</v>
      </c>
      <c r="X67" s="33">
        <f ca="1">IF(AND(ISNUMBER($V67),ISNUMBER(X$5)),IF(X$7=1,(X11)/(SUM(X$10:OFFSET(X$10,$W$5-1,0,1,1))),(1/X11)/SUM(1/X$10:OFFSET(X$10,$W$5-1,0,1,1))),"")</f>
        <v>6.3860517899515107E-2</v>
      </c>
      <c r="Y67" s="33">
        <f ca="1">IF(AND(ISNUMBER($V67),ISNUMBER(Y$5)),IF(Y$7=1,(Y11)/(SUM(Y$10:OFFSET(Y$10,$W$5-1,0,1,1))),(1/Y11)/SUM(1/Y$10:OFFSET(Y$10,$W$5-1,0,1,1))),"")</f>
        <v>3.5201573254670604E-2</v>
      </c>
      <c r="Z67" s="33">
        <f ca="1">IF(AND(ISNUMBER($V67),ISNUMBER(Z$5)),IF(Z$7=1,(Z11)/(SUM(Z$10:OFFSET(Z$10,$W$5-1,0,1,1))),(1/Z11)/SUM(1/Z$10:OFFSET(Z$10,$W$5-1,0,1,1))),"")</f>
        <v>6.2193894666219385E-2</v>
      </c>
      <c r="AA67" s="33">
        <f ca="1">IF(AND(ISNUMBER($V67),ISNUMBER(AA$5)),IF(AA$7=1,(AA11)/(SUM(AA$10:OFFSET(AA$10,$W$5-1,0,1,1))),(1/AA11)/SUM(1/AA$10:OFFSET(AA$10,$W$5-1,0,1,1))),"")</f>
        <v>8.4108450425489811E-2</v>
      </c>
      <c r="AB67" s="33">
        <f ca="1">IF(AND(ISNUMBER($V67),ISNUMBER(AB$5)),IF(AB$7=1,(AB11)/(SUM(AB$10:OFFSET(AB$10,$W$5-1,0,1,1))),(1/AB11)/SUM(1/AB$10:OFFSET(AB$10,$W$5-1,0,1,1))),"")</f>
        <v>3.8650465356773515E-2</v>
      </c>
      <c r="AC67" s="33">
        <f ca="1">IF(AND(ISNUMBER($V67),ISNUMBER(AC$5)),IF(AC$7=1,(AC11)/(SUM(AC$10:OFFSET(AC$10,$W$5-1,0,1,1))),(1/AC11)/SUM(1/AC$10:OFFSET(AC$10,$W$5-1,0,1,1))),"")</f>
        <v>6.2416867826001268E-2</v>
      </c>
    </row>
    <row r="68" spans="1:29" ht="12.75" customHeight="1" thickBot="1">
      <c r="A68" s="311"/>
      <c r="B68" s="12">
        <v>3</v>
      </c>
      <c r="C68" s="13" t="s">
        <v>109</v>
      </c>
      <c r="D68" s="33">
        <f ca="1">IF(AND(ISNUMBER($B68),ISNUMBER(D$5)),IF(D$7=1,(D12)/(SUM(D$10:OFFSET(D$10,$C$5-1,0,1,1))),(1/D12)/SUM(1/D$10:OFFSET(D$10,$C$5-1,0,1,1))),"")</f>
        <v>7.0616397366846204E-2</v>
      </c>
      <c r="E68" s="33">
        <f ca="1">IF(AND(ISNUMBER($B68),ISNUMBER(E$5)),IF(E$7=1,(E12)/(SUM(E$10:OFFSET(E$10,$C$5-1,0,1,1))),(1/E12)/SUM(1/E$10:OFFSET(E$10,$C$5-1,0,1,1))),"")</f>
        <v>6.7800040477636103E-2</v>
      </c>
      <c r="F68" s="33">
        <f ca="1">IF(AND(ISNUMBER($B68),ISNUMBER(F$5)),IF(F$7=1,(F12)/(SUM(F$10:OFFSET(F$10,$C$5-1,0,1,1))),(1/F12)/SUM(1/F$10:OFFSET(F$10,$C$5-1,0,1,1))),"")</f>
        <v>5.6694664031620552E-2</v>
      </c>
      <c r="G68" s="33">
        <f ca="1">IF(AND(ISNUMBER($B68),ISNUMBER(G$5)),IF(G$7=1,(G12)/(SUM(G$10:OFFSET(G$10,$C$5-1,0,1,1))),(1/G12)/SUM(1/G$10:OFFSET(G$10,$C$5-1,0,1,1))),"")</f>
        <v>5.363357215967246E-2</v>
      </c>
      <c r="H68" s="33">
        <f ca="1">IF(AND(ISNUMBER($B68),ISNUMBER(H$5)),IF(H$7=1,(H12)/(SUM(H$10:OFFSET(H$10,$C$5-1,0,1,1))),(1/H12)/SUM(1/H$10:OFFSET(H$10,$C$5-1,0,1,1))),"")</f>
        <v>5.1468676891083948E-2</v>
      </c>
      <c r="I68" s="33">
        <f ca="1">IF(AND(ISNUMBER($B68),ISNUMBER(I$5)),IF(I$7=1,(I12)/(SUM(I$10:OFFSET(I$10,$C$5-1,0,1,1))),(1/I12)/SUM(1/I$10:OFFSET(I$10,$C$5-1,0,1,1))),"")</f>
        <v>6.28277335404933E-2</v>
      </c>
      <c r="K68" s="311"/>
      <c r="L68" s="12">
        <v>3</v>
      </c>
      <c r="M68" s="13" t="s">
        <v>109</v>
      </c>
      <c r="N68" s="33">
        <f ca="1">IF(AND(ISNUMBER($L68),ISNUMBER(N$5)),IF(N$7=1,(N12)/(SUM(N$10:OFFSET(N$10,$M$5-1,0,1,1))),(1/N12)/SUM(1/N$10:OFFSET(N$10,$M$5-1,0,1,1))),"")</f>
        <v>7.5641025641025636E-2</v>
      </c>
      <c r="O68" s="33">
        <f ca="1">IF(AND(ISNUMBER($L68),ISNUMBER(O$5)),IF(O$7=1,(O12)/(SUM(O$10:OFFSET(O$10,$M$5-1,0,1,1))),(1/O12)/SUM(1/O$10:OFFSET(O$10,$M$5-1,0,1,1))),"")</f>
        <v>6.4065786957353224E-2</v>
      </c>
      <c r="P68" s="33">
        <f ca="1">IF(AND(ISNUMBER($L68),ISNUMBER(P$5)),IF(P$7=1,(P12)/(SUM(P$10:OFFSET(P$10,$M$5-1,0,1,1))),(1/P12)/SUM(1/P$10:OFFSET(P$10,$M$5-1,0,1,1))),"")</f>
        <v>4.6556028785431053E-2</v>
      </c>
      <c r="Q68" s="33">
        <f ca="1">IF(AND(ISNUMBER($L68),ISNUMBER(Q$5)),IF(Q$7=1,(Q12)/(SUM(Q$10:OFFSET(Q$10,$M$5-1,0,1,1))),(1/Q12)/SUM(1/Q$10:OFFSET(Q$10,$M$5-1,0,1,1))),"")</f>
        <v>5.4778778011875105E-2</v>
      </c>
      <c r="R68" s="33">
        <f ca="1">IF(AND(ISNUMBER($L68),ISNUMBER(R$5)),IF(R$7=1,(R12)/(SUM(R$10:OFFSET(R$10,$M$5-1,0,1,1))),(1/R12)/SUM(1/R$10:OFFSET(R$10,$M$5-1,0,1,1))),"")</f>
        <v>5.3355618410902535E-2</v>
      </c>
      <c r="S68" s="33">
        <f ca="1">IF(AND(ISNUMBER($L68),ISNUMBER(S$5)),IF(S$7=1,(S12)/(SUM(S$10:OFFSET(S$10,$M$5-1,0,1,1))),(1/S12)/SUM(1/S$10:OFFSET(S$10,$M$5-1,0,1,1))),"")</f>
        <v>6.419358064193581E-2</v>
      </c>
      <c r="U68" s="311"/>
      <c r="V68" s="12">
        <v>3</v>
      </c>
      <c r="W68" s="13" t="s">
        <v>109</v>
      </c>
      <c r="X68" s="33">
        <f ca="1">IF(AND(ISNUMBER($V68),ISNUMBER(X$5)),IF(X$7=1,(X12)/(SUM(X$10:OFFSET(X$10,$W$5-1,0,1,1))),(1/X12)/SUM(1/X$10:OFFSET(X$10,$W$5-1,0,1,1))),"")</f>
        <v>7.3042401733209514E-2</v>
      </c>
      <c r="Y68" s="33">
        <f ca="1">IF(AND(ISNUMBER($V68),ISNUMBER(Y$5)),IF(Y$7=1,(Y12)/(SUM(Y$10:OFFSET(Y$10,$W$5-1,0,1,1))),(1/Y12)/SUM(1/Y$10:OFFSET(Y$10,$W$5-1,0,1,1))),"")</f>
        <v>6.5880039331366769E-2</v>
      </c>
      <c r="Z68" s="33">
        <f ca="1">IF(AND(ISNUMBER($V68),ISNUMBER(Z$5)),IF(Z$7=1,(Z12)/(SUM(Z$10:OFFSET(Z$10,$W$5-1,0,1,1))),(1/Z12)/SUM(1/Z$10:OFFSET(Z$10,$W$5-1,0,1,1))),"")</f>
        <v>5.2063066085206305E-2</v>
      </c>
      <c r="AA68" s="33">
        <f ca="1">IF(AND(ISNUMBER($V68),ISNUMBER(AA$5)),IF(AA$7=1,(AA12)/(SUM(AA$10:OFFSET(AA$10,$W$5-1,0,1,1))),(1/AA12)/SUM(1/AA$10:OFFSET(AA$10,$W$5-1,0,1,1))),"")</f>
        <v>5.4225212744904015E-2</v>
      </c>
      <c r="AB68" s="33">
        <f ca="1">IF(AND(ISNUMBER($V68),ISNUMBER(AB$5)),IF(AB$7=1,(AB12)/(SUM(AB$10:OFFSET(AB$10,$W$5-1,0,1,1))),(1/AB12)/SUM(1/AB$10:OFFSET(AB$10,$W$5-1,0,1,1))),"")</f>
        <v>5.2417269906928632E-2</v>
      </c>
      <c r="AC68" s="33">
        <f ca="1">IF(AND(ISNUMBER($V68),ISNUMBER(AC$5)),IF(AC$7=1,(AC12)/(SUM(AC$10:OFFSET(AC$10,$W$5-1,0,1,1))),(1/AC12)/SUM(1/AC$10:OFFSET(AC$10,$W$5-1,0,1,1))),"")</f>
        <v>6.3500665057391978E-2</v>
      </c>
    </row>
    <row r="69" spans="1:29" ht="12.75" customHeight="1">
      <c r="A69" s="18"/>
      <c r="B69" s="12">
        <v>4</v>
      </c>
      <c r="C69" s="13" t="s">
        <v>110</v>
      </c>
      <c r="D69" s="33">
        <f ca="1">IF(AND(ISNUMBER($B69),ISNUMBER(D$5)),IF(D$7=1,(D13)/(SUM(D$10:OFFSET(D$10,$C$5-1,0,1,1))),(1/D13)/SUM(1/D$10:OFFSET(D$10,$C$5-1,0,1,1))),"")</f>
        <v>6.4033512866546988E-2</v>
      </c>
      <c r="E69" s="33">
        <f ca="1">IF(AND(ISNUMBER($B69),ISNUMBER(E$5)),IF(E$7=1,(E13)/(SUM(E$10:OFFSET(E$10,$C$5-1,0,1,1))),(1/E13)/SUM(1/E$10:OFFSET(E$10,$C$5-1,0,1,1))),"")</f>
        <v>6.7800040477636103E-2</v>
      </c>
      <c r="F69" s="33">
        <f ca="1">IF(AND(ISNUMBER($B69),ISNUMBER(F$5)),IF(F$7=1,(F13)/(SUM(F$10:OFFSET(F$10,$C$5-1,0,1,1))),(1/F13)/SUM(1/F$10:OFFSET(F$10,$C$5-1,0,1,1))),"")</f>
        <v>6.6946640316205536E-2</v>
      </c>
      <c r="G69" s="33">
        <f ca="1">IF(AND(ISNUMBER($B69),ISNUMBER(G$5)),IF(G$7=1,(G13)/(SUM(G$10:OFFSET(G$10,$C$5-1,0,1,1))),(1/G13)/SUM(1/G$10:OFFSET(G$10,$C$5-1,0,1,1))),"")</f>
        <v>8.1883316274309101E-2</v>
      </c>
      <c r="H69" s="33">
        <f ca="1">IF(AND(ISNUMBER($B69),ISNUMBER(H$5)),IF(H$7=1,(H13)/(SUM(H$10:OFFSET(H$10,$C$5-1,0,1,1))),(1/H13)/SUM(1/H$10:OFFSET(H$10,$C$5-1,0,1,1))),"")</f>
        <v>5.6927475955289818E-2</v>
      </c>
      <c r="I69" s="33">
        <f ca="1">IF(AND(ISNUMBER($B69),ISNUMBER(I$5)),IF(I$7=1,(I13)/(SUM(I$10:OFFSET(I$10,$C$5-1,0,1,1))),(1/I13)/SUM(1/I$10:OFFSET(I$10,$C$5-1,0,1,1))),"")</f>
        <v>6.506117692755875E-2</v>
      </c>
      <c r="K69" s="18"/>
      <c r="L69" s="12">
        <v>4</v>
      </c>
      <c r="M69" s="13" t="s">
        <v>110</v>
      </c>
      <c r="N69" s="33">
        <f ca="1">IF(AND(ISNUMBER($L69),ISNUMBER(N$5)),IF(N$7=1,(N13)/(SUM(N$10:OFFSET(N$10,$M$5-1,0,1,1))),(1/N13)/SUM(1/N$10:OFFSET(N$10,$M$5-1,0,1,1))),"")</f>
        <v>7.7777777777777779E-2</v>
      </c>
      <c r="O69" s="33">
        <f ca="1">IF(AND(ISNUMBER($L69),ISNUMBER(O$5)),IF(O$7=1,(O13)/(SUM(O$10:OFFSET(O$10,$M$5-1,0,1,1))),(1/O13)/SUM(1/O$10:OFFSET(O$10,$M$5-1,0,1,1))),"")</f>
        <v>7.5922738573340989E-2</v>
      </c>
      <c r="P69" s="33">
        <f ca="1">IF(AND(ISNUMBER($L69),ISNUMBER(P$5)),IF(P$7=1,(P13)/(SUM(P$10:OFFSET(P$10,$M$5-1,0,1,1))),(1/P13)/SUM(1/P$10:OFFSET(P$10,$M$5-1,0,1,1))),"")</f>
        <v>8.106917315317963E-2</v>
      </c>
      <c r="Q69" s="33">
        <f ca="1">IF(AND(ISNUMBER($L69),ISNUMBER(Q$5)),IF(Q$7=1,(Q13)/(SUM(Q$10:OFFSET(Q$10,$M$5-1,0,1,1))),(1/Q13)/SUM(1/Q$10:OFFSET(Q$10,$M$5-1,0,1,1))),"")</f>
        <v>8.1210496073549104E-2</v>
      </c>
      <c r="R69" s="33">
        <f ca="1">IF(AND(ISNUMBER($L69),ISNUMBER(R$5)),IF(R$7=1,(R13)/(SUM(R$10:OFFSET(R$10,$M$5-1,0,1,1))),(1/R13)/SUM(1/R$10:OFFSET(R$10,$M$5-1,0,1,1))),"")</f>
        <v>6.004114168166623E-2</v>
      </c>
      <c r="S69" s="33">
        <f ca="1">IF(AND(ISNUMBER($L69),ISNUMBER(S$5)),IF(S$7=1,(S13)/(SUM(S$10:OFFSET(S$10,$M$5-1,0,1,1))),(1/S13)/SUM(1/S$10:OFFSET(S$10,$M$5-1,0,1,1))),"")</f>
        <v>7.1692830716928307E-2</v>
      </c>
      <c r="U69" s="18"/>
      <c r="V69" s="12">
        <v>4</v>
      </c>
      <c r="W69" s="13" t="s">
        <v>110</v>
      </c>
      <c r="X69" s="33">
        <f ca="1">IF(AND(ISNUMBER($V69),ISNUMBER(X$5)),IF(X$7=1,(X13)/(SUM(X$10:OFFSET(X$10,$W$5-1,0,1,1))),(1/X13)/SUM(1/X$10:OFFSET(X$10,$W$5-1,0,1,1))),"")</f>
        <v>7.0669555349221078E-2</v>
      </c>
      <c r="Y69" s="33">
        <f ca="1">IF(AND(ISNUMBER($V69),ISNUMBER(Y$5)),IF(Y$7=1,(Y13)/(SUM(Y$10:OFFSET(Y$10,$W$5-1,0,1,1))),(1/Y13)/SUM(1/Y$10:OFFSET(Y$10,$W$5-1,0,1,1))),"")</f>
        <v>7.1976401179941016E-2</v>
      </c>
      <c r="Z69" s="33">
        <f ca="1">IF(AND(ISNUMBER($V69),ISNUMBER(Z$5)),IF(Z$7=1,(Z13)/(SUM(Z$10:OFFSET(Z$10,$W$5-1,0,1,1))),(1/Z13)/SUM(1/Z$10:OFFSET(Z$10,$W$5-1,0,1,1))),"")</f>
        <v>7.3398188527339828E-2</v>
      </c>
      <c r="AA69" s="33">
        <f ca="1">IF(AND(ISNUMBER($V69),ISNUMBER(AA$5)),IF(AA$7=1,(AA13)/(SUM(AA$10:OFFSET(AA$10,$W$5-1,0,1,1))),(1/AA13)/SUM(1/AA$10:OFFSET(AA$10,$W$5-1,0,1,1))),"")</f>
        <v>8.1535721353651294E-2</v>
      </c>
      <c r="AB69" s="33">
        <f ca="1">IF(AND(ISNUMBER($V69),ISNUMBER(AB$5)),IF(AB$7=1,(AB13)/(SUM(AB$10:OFFSET(AB$10,$W$5-1,0,1,1))),(1/AB13)/SUM(1/AB$10:OFFSET(AB$10,$W$5-1,0,1,1))),"")</f>
        <v>5.8492761116856244E-2</v>
      </c>
      <c r="AC69" s="33">
        <f ca="1">IF(AND(ISNUMBER($V69),ISNUMBER(AC$5)),IF(AC$7=1,(AC13)/(SUM(AC$10:OFFSET(AC$10,$W$5-1,0,1,1))),(1/AC13)/SUM(1/AC$10:OFFSET(AC$10,$W$5-1,0,1,1))),"")</f>
        <v>6.832848908813241E-2</v>
      </c>
    </row>
    <row r="70" spans="1:29" ht="12.75" customHeight="1">
      <c r="A70" s="18"/>
      <c r="B70" s="12">
        <v>5</v>
      </c>
      <c r="C70" s="13" t="s">
        <v>111</v>
      </c>
      <c r="D70" s="33">
        <f ca="1">IF(AND(ISNUMBER($B70),ISNUMBER(D$5)),IF(D$7=1,(D14)/(SUM(D$10:OFFSET(D$10,$C$5-1,0,1,1))),(1/D14)/SUM(1/D$10:OFFSET(D$10,$C$5-1,0,1,1))),"")</f>
        <v>6.6626770396967891E-2</v>
      </c>
      <c r="E70" s="33">
        <f ca="1">IF(AND(ISNUMBER($B70),ISNUMBER(E$5)),IF(E$7=1,(E14)/(SUM(E$10:OFFSET(E$10,$C$5-1,0,1,1))),(1/E14)/SUM(1/E$10:OFFSET(E$10,$C$5-1,0,1,1))),"")</f>
        <v>0.10119409026512852</v>
      </c>
      <c r="F70" s="33">
        <f ca="1">IF(AND(ISNUMBER($B70),ISNUMBER(F$5)),IF(F$7=1,(F14)/(SUM(F$10:OFFSET(F$10,$C$5-1,0,1,1))),(1/F14)/SUM(1/F$10:OFFSET(F$10,$C$5-1,0,1,1))),"")</f>
        <v>4.8666007905138337E-2</v>
      </c>
      <c r="G70" s="33">
        <f ca="1">IF(AND(ISNUMBER($B70),ISNUMBER(G$5)),IF(G$7=1,(G14)/(SUM(G$10:OFFSET(G$10,$C$5-1,0,1,1))),(1/G14)/SUM(1/G$10:OFFSET(G$10,$C$5-1,0,1,1))),"")</f>
        <v>7.8607983623336736E-2</v>
      </c>
      <c r="H70" s="33">
        <f ca="1">IF(AND(ISNUMBER($B70),ISNUMBER(H$5)),IF(H$7=1,(H14)/(SUM(H$10:OFFSET(H$10,$C$5-1,0,1,1))),(1/H14)/SUM(1/H$10:OFFSET(H$10,$C$5-1,0,1,1))),"")</f>
        <v>6.4075903301273704E-2</v>
      </c>
      <c r="I70" s="33">
        <f ca="1">IF(AND(ISNUMBER($B70),ISNUMBER(I$5)),IF(I$7=1,(I14)/(SUM(I$10:OFFSET(I$10,$C$5-1,0,1,1))),(1/I14)/SUM(1/I$10:OFFSET(I$10,$C$5-1,0,1,1))),"")</f>
        <v>5.7972421829481459E-2</v>
      </c>
      <c r="K70" s="18"/>
      <c r="L70" s="12">
        <v>5</v>
      </c>
      <c r="M70" s="13" t="s">
        <v>111</v>
      </c>
      <c r="N70" s="33">
        <f ca="1">IF(AND(ISNUMBER($L70),ISNUMBER(N$5)),IF(N$7=1,(N14)/(SUM(N$10:OFFSET(N$10,$M$5-1,0,1,1))),(1/N14)/SUM(1/N$10:OFFSET(N$10,$M$5-1,0,1,1))),"")</f>
        <v>7.1367521367521364E-2</v>
      </c>
      <c r="O70" s="33">
        <f ca="1">IF(AND(ISNUMBER($L70),ISNUMBER(O$5)),IF(O$7=1,(O14)/(SUM(O$10:OFFSET(O$10,$M$5-1,0,1,1))),(1/O14)/SUM(1/O$10:OFFSET(O$10,$M$5-1,0,1,1))),"")</f>
        <v>9.9636641805316506E-2</v>
      </c>
      <c r="P70" s="33">
        <f ca="1">IF(AND(ISNUMBER($L70),ISNUMBER(P$5)),IF(P$7=1,(P14)/(SUM(P$10:OFFSET(P$10,$M$5-1,0,1,1))),(1/P14)/SUM(1/P$10:OFFSET(P$10,$M$5-1,0,1,1))),"")</f>
        <v>4.8024673226611851E-2</v>
      </c>
      <c r="Q70" s="33">
        <f ca="1">IF(AND(ISNUMBER($L70),ISNUMBER(Q$5)),IF(Q$7=1,(Q14)/(SUM(Q$10:OFFSET(Q$10,$M$5-1,0,1,1))),(1/Q14)/SUM(1/Q$10:OFFSET(Q$10,$M$5-1,0,1,1))),"")</f>
        <v>7.7954414863053045E-2</v>
      </c>
      <c r="R70" s="33">
        <f ca="1">IF(AND(ISNUMBER($L70),ISNUMBER(R$5)),IF(R$7=1,(R14)/(SUM(R$10:OFFSET(R$10,$M$5-1,0,1,1))),(1/R14)/SUM(1/R$10:OFFSET(R$10,$M$5-1,0,1,1))),"")</f>
        <v>6.3641038827462054E-2</v>
      </c>
      <c r="S70" s="33">
        <f ca="1">IF(AND(ISNUMBER($L70),ISNUMBER(S$5)),IF(S$7=1,(S14)/(SUM(S$10:OFFSET(S$10,$M$5-1,0,1,1))),(1/S14)/SUM(1/S$10:OFFSET(S$10,$M$5-1,0,1,1))),"")</f>
        <v>6.1193880611938804E-2</v>
      </c>
      <c r="U70" s="18"/>
      <c r="V70" s="12">
        <v>5</v>
      </c>
      <c r="W70" s="13" t="s">
        <v>111</v>
      </c>
      <c r="X70" s="33">
        <f ca="1">IF(AND(ISNUMBER($V70),ISNUMBER(X$5)),IF(X$7=1,(X14)/(SUM(X$10:OFFSET(X$10,$W$5-1,0,1,1))),(1/X14)/SUM(1/X$10:OFFSET(X$10,$W$5-1,0,1,1))),"")</f>
        <v>6.8915712369751345E-2</v>
      </c>
      <c r="Y70" s="33">
        <f ca="1">IF(AND(ISNUMBER($V70),ISNUMBER(Y$5)),IF(Y$7=1,(Y14)/(SUM(Y$10:OFFSET(Y$10,$W$5-1,0,1,1))),(1/Y14)/SUM(1/Y$10:OFFSET(Y$10,$W$5-1,0,1,1))),"")</f>
        <v>0.10039331366764996</v>
      </c>
      <c r="Z70" s="33">
        <f ca="1">IF(AND(ISNUMBER($V70),ISNUMBER(Z$5)),IF(Z$7=1,(Z14)/(SUM(Z$10:OFFSET(Z$10,$W$5-1,0,1,1))),(1/Z14)/SUM(1/Z$10:OFFSET(Z$10,$W$5-1,0,1,1))),"")</f>
        <v>4.8373029184837296E-2</v>
      </c>
      <c r="AA70" s="33">
        <f ca="1">IF(AND(ISNUMBER($V70),ISNUMBER(AA$5)),IF(AA$7=1,(AA14)/(SUM(AA$10:OFFSET(AA$10,$W$5-1,0,1,1))),(1/AA14)/SUM(1/AA$10:OFFSET(AA$10,$W$5-1,0,1,1))),"")</f>
        <v>7.8270334454779336E-2</v>
      </c>
      <c r="AB70" s="33">
        <f ca="1">IF(AND(ISNUMBER($V70),ISNUMBER(AB$5)),IF(AB$7=1,(AB14)/(SUM(AB$10:OFFSET(AB$10,$W$5-1,0,1,1))),(1/AB14)/SUM(1/AB$10:OFFSET(AB$10,$W$5-1,0,1,1))),"")</f>
        <v>6.3857290589451901E-2</v>
      </c>
      <c r="AC70" s="33">
        <f ca="1">IF(AND(ISNUMBER($V70),ISNUMBER(AC$5)),IF(AC$7=1,(AC14)/(SUM(AC$10:OFFSET(AC$10,$W$5-1,0,1,1))),(1/AC14)/SUM(1/AC$10:OFFSET(AC$10,$W$5-1,0,1,1))),"")</f>
        <v>5.9559584215971226E-2</v>
      </c>
    </row>
    <row r="71" spans="1:29" ht="12.75" customHeight="1">
      <c r="A71" s="14"/>
      <c r="B71" s="12">
        <v>6</v>
      </c>
      <c r="C71" s="13" t="s">
        <v>112</v>
      </c>
      <c r="D71" s="33">
        <f ca="1">IF(AND(ISNUMBER($B71),ISNUMBER(D$5)),IF(D$7=1,(D15)/(SUM(D$10:OFFSET(D$10,$C$5-1,0,1,1))),(1/D15)/SUM(1/D$10:OFFSET(D$10,$C$5-1,0,1,1))),"")</f>
        <v>7.779772591262718E-2</v>
      </c>
      <c r="E71" s="33">
        <f ca="1">IF(AND(ISNUMBER($B71),ISNUMBER(E$5)),IF(E$7=1,(E15)/(SUM(E$10:OFFSET(E$10,$C$5-1,0,1,1))),(1/E15)/SUM(1/E$10:OFFSET(E$10,$C$5-1,0,1,1))),"")</f>
        <v>5.0799433313094514E-2</v>
      </c>
      <c r="F71" s="33">
        <f ca="1">IF(AND(ISNUMBER($B71),ISNUMBER(F$5)),IF(F$7=1,(F15)/(SUM(F$10:OFFSET(F$10,$C$5-1,0,1,1))),(1/F15)/SUM(1/F$10:OFFSET(F$10,$C$5-1,0,1,1))),"")</f>
        <v>5.2000988142292488E-2</v>
      </c>
      <c r="G71" s="33">
        <f ca="1">IF(AND(ISNUMBER($B71),ISNUMBER(G$5)),IF(G$7=1,(G15)/(SUM(G$10:OFFSET(G$10,$C$5-1,0,1,1))),(1/G15)/SUM(1/G$10:OFFSET(G$10,$C$5-1,0,1,1))),"")</f>
        <v>3.5005117707267143E-2</v>
      </c>
      <c r="H71" s="33">
        <f ca="1">IF(AND(ISNUMBER($B71),ISNUMBER(H$5)),IF(H$7=1,(H15)/(SUM(H$10:OFFSET(H$10,$C$5-1,0,1,1))),(1/H15)/SUM(1/H$10:OFFSET(H$10,$C$5-1,0,1,1))),"")</f>
        <v>5.6407590330127357E-2</v>
      </c>
      <c r="I71" s="33">
        <f ca="1">IF(AND(ISNUMBER($B71),ISNUMBER(I$5)),IF(I$7=1,(I15)/(SUM(I$10:OFFSET(I$10,$C$5-1,0,1,1))),(1/I15)/SUM(1/I$10:OFFSET(I$10,$C$5-1,0,1,1))),"")</f>
        <v>7.1761507088755103E-2</v>
      </c>
      <c r="K71" s="14"/>
      <c r="L71" s="12">
        <v>6</v>
      </c>
      <c r="M71" s="13" t="s">
        <v>112</v>
      </c>
      <c r="N71" s="33">
        <f ca="1">IF(AND(ISNUMBER($L71),ISNUMBER(N$5)),IF(N$7=1,(N15)/(SUM(N$10:OFFSET(N$10,$M$5-1,0,1,1))),(1/N15)/SUM(1/N$10:OFFSET(N$10,$M$5-1,0,1,1))),"")</f>
        <v>8.3333333333333329E-2</v>
      </c>
      <c r="O71" s="33">
        <f ca="1">IF(AND(ISNUMBER($L71),ISNUMBER(O$5)),IF(O$7=1,(O15)/(SUM(O$10:OFFSET(O$10,$M$5-1,0,1,1))),(1/O15)/SUM(1/O$10:OFFSET(O$10,$M$5-1,0,1,1))),"")</f>
        <v>4.3220501051826357E-2</v>
      </c>
      <c r="P71" s="33">
        <f ca="1">IF(AND(ISNUMBER($L71),ISNUMBER(P$5)),IF(P$7=1,(P15)/(SUM(P$10:OFFSET(P$10,$M$5-1,0,1,1))),(1/P15)/SUM(1/P$10:OFFSET(P$10,$M$5-1,0,1,1))),"")</f>
        <v>5.5074166544279643E-2</v>
      </c>
      <c r="Q71" s="33">
        <f ca="1">IF(AND(ISNUMBER($L71),ISNUMBER(Q$5)),IF(Q$7=1,(Q15)/(SUM(Q$10:OFFSET(Q$10,$M$5-1,0,1,1))),(1/Q15)/SUM(1/Q$10:OFFSET(Q$10,$M$5-1,0,1,1))),"")</f>
        <v>3.7349166826278479E-2</v>
      </c>
      <c r="R71" s="33">
        <f ca="1">IF(AND(ISNUMBER($L71),ISNUMBER(R$5)),IF(R$7=1,(R15)/(SUM(R$10:OFFSET(R$10,$M$5-1,0,1,1))),(1/R15)/SUM(1/R$10:OFFSET(R$10,$M$5-1,0,1,1))),"")</f>
        <v>5.6441244535870391E-2</v>
      </c>
      <c r="S71" s="33">
        <f ca="1">IF(AND(ISNUMBER($L71),ISNUMBER(S$5)),IF(S$7=1,(S15)/(SUM(S$10:OFFSET(S$10,$M$5-1,0,1,1))),(1/S15)/SUM(1/S$10:OFFSET(S$10,$M$5-1,0,1,1))),"")</f>
        <v>7.4692530746925306E-2</v>
      </c>
      <c r="U71" s="14"/>
      <c r="V71" s="12">
        <v>6</v>
      </c>
      <c r="W71" s="13" t="s">
        <v>112</v>
      </c>
      <c r="X71" s="33">
        <f ca="1">IF(AND(ISNUMBER($V71),ISNUMBER(X$5)),IF(X$7=1,(X15)/(SUM(X$10:OFFSET(X$10,$W$5-1,0,1,1))),(1/X15)/SUM(1/X$10:OFFSET(X$10,$W$5-1,0,1,1))),"")</f>
        <v>8.0470442587434216E-2</v>
      </c>
      <c r="Y71" s="33">
        <f ca="1">IF(AND(ISNUMBER($V71),ISNUMBER(Y$5)),IF(Y$7=1,(Y15)/(SUM(Y$10:OFFSET(Y$10,$W$5-1,0,1,1))),(1/Y15)/SUM(1/Y$10:OFFSET(Y$10,$W$5-1,0,1,1))),"")</f>
        <v>4.6902654867256643E-2</v>
      </c>
      <c r="Z71" s="33">
        <f ca="1">IF(AND(ISNUMBER($V71),ISNUMBER(Z$5)),IF(Z$7=1,(Z15)/(SUM(Z$10:OFFSET(Z$10,$W$5-1,0,1,1))),(1/Z15)/SUM(1/Z$10:OFFSET(Z$10,$W$5-1,0,1,1))),"")</f>
        <v>5.3404897685340486E-2</v>
      </c>
      <c r="AA71" s="33">
        <f ca="1">IF(AND(ISNUMBER($V71),ISNUMBER(AA$5)),IF(AA$7=1,(AA15)/(SUM(AA$10:OFFSET(AA$10,$W$5-1,0,1,1))),(1/AA15)/SUM(1/AA$10:OFFSET(AA$10,$W$5-1,0,1,1))),"")</f>
        <v>3.6216109242034437E-2</v>
      </c>
      <c r="AB71" s="33">
        <f ca="1">IF(AND(ISNUMBER($V71),ISNUMBER(AB$5)),IF(AB$7=1,(AB15)/(SUM(AB$10:OFFSET(AB$10,$W$5-1,0,1,1))),(1/AB15)/SUM(1/AB$10:OFFSET(AB$10,$W$5-1,0,1,1))),"")</f>
        <v>5.6424508790072374E-2</v>
      </c>
      <c r="AC71" s="33">
        <f ca="1">IF(AND(ISNUMBER($V71),ISNUMBER(AC$5)),IF(AC$7=1,(AC15)/(SUM(AC$10:OFFSET(AC$10,$W$5-1,0,1,1))),(1/AC15)/SUM(1/AC$10:OFFSET(AC$10,$W$5-1,0,1,1))),"")</f>
        <v>7.3205576629390604E-2</v>
      </c>
    </row>
    <row r="72" spans="1:29" ht="12.75" customHeight="1">
      <c r="A72" s="14"/>
      <c r="B72" s="12">
        <v>7</v>
      </c>
      <c r="C72" s="13" t="s">
        <v>113</v>
      </c>
      <c r="D72" s="33">
        <f ca="1">IF(AND(ISNUMBER($B72),ISNUMBER(D$5)),IF(D$7=1,(D16)/(SUM(D$10:OFFSET(D$10,$C$5-1,0,1,1))),(1/D16)/SUM(1/D$10:OFFSET(D$10,$C$5-1,0,1,1))),"")</f>
        <v>3.0720127668063039E-2</v>
      </c>
      <c r="E72" s="33">
        <f ca="1">IF(AND(ISNUMBER($B72),ISNUMBER(E$5)),IF(E$7=1,(E16)/(SUM(E$10:OFFSET(E$10,$C$5-1,0,1,1))),(1/E16)/SUM(1/E$10:OFFSET(E$10,$C$5-1,0,1,1))),"")</f>
        <v>4.0477636106051408E-2</v>
      </c>
      <c r="F72" s="33">
        <f ca="1">IF(AND(ISNUMBER($B72),ISNUMBER(F$5)),IF(F$7=1,(F16)/(SUM(F$10:OFFSET(F$10,$C$5-1,0,1,1))),(1/F16)/SUM(1/F$10:OFFSET(F$10,$C$5-1,0,1,1))),"")</f>
        <v>3.3473320158102768E-2</v>
      </c>
      <c r="G72" s="33">
        <f ca="1">IF(AND(ISNUMBER($B72),ISNUMBER(G$5)),IF(G$7=1,(G16)/(SUM(G$10:OFFSET(G$10,$C$5-1,0,1,1))),(1/G16)/SUM(1/G$10:OFFSET(G$10,$C$5-1,0,1,1))),"")</f>
        <v>4.2169907881269189E-2</v>
      </c>
      <c r="H72" s="33">
        <f ca="1">IF(AND(ISNUMBER($B72),ISNUMBER(H$5)),IF(H$7=1,(H16)/(SUM(H$10:OFFSET(H$10,$C$5-1,0,1,1))),(1/H16)/SUM(1/H$10:OFFSET(H$10,$C$5-1,0,1,1))),"")</f>
        <v>7.0444502209513898E-2</v>
      </c>
      <c r="I72" s="33">
        <f ca="1">IF(AND(ISNUMBER($B72),ISNUMBER(I$5)),IF(I$7=1,(I16)/(SUM(I$10:OFFSET(I$10,$C$5-1,0,1,1))),(1/I16)/SUM(1/I$10:OFFSET(I$10,$C$5-1,0,1,1))),"")</f>
        <v>2.9520295202952029E-2</v>
      </c>
      <c r="K72" s="14"/>
      <c r="L72" s="12">
        <v>7</v>
      </c>
      <c r="M72" s="13" t="s">
        <v>113</v>
      </c>
      <c r="N72" s="33">
        <f ca="1">IF(AND(ISNUMBER($L72),ISNUMBER(N$5)),IF(N$7=1,(N16)/(SUM(N$10:OFFSET(N$10,$M$5-1,0,1,1))),(1/N16)/SUM(1/N$10:OFFSET(N$10,$M$5-1,0,1,1))),"")</f>
        <v>2.564102564102564E-2</v>
      </c>
      <c r="O72" s="33">
        <f ca="1">IF(AND(ISNUMBER($L72),ISNUMBER(O$5)),IF(O$7=1,(O16)/(SUM(O$10:OFFSET(O$10,$M$5-1,0,1,1))),(1/O16)/SUM(1/O$10:OFFSET(O$10,$M$5-1,0,1,1))),"")</f>
        <v>3.939567794989482E-2</v>
      </c>
      <c r="P72" s="33">
        <f ca="1">IF(AND(ISNUMBER($L72),ISNUMBER(P$5)),IF(P$7=1,(P16)/(SUM(P$10:OFFSET(P$10,$M$5-1,0,1,1))),(1/P16)/SUM(1/P$10:OFFSET(P$10,$M$5-1,0,1,1))),"")</f>
        <v>3.5981788808929369E-2</v>
      </c>
      <c r="Q72" s="33">
        <f ca="1">IF(AND(ISNUMBER($L72),ISNUMBER(Q$5)),IF(Q$7=1,(Q16)/(SUM(Q$10:OFFSET(Q$10,$M$5-1,0,1,1))),(1/Q16)/SUM(1/Q$10:OFFSET(Q$10,$M$5-1,0,1,1))),"")</f>
        <v>4.4052863436123336E-2</v>
      </c>
      <c r="R72" s="33">
        <f ca="1">IF(AND(ISNUMBER($L72),ISNUMBER(R$5)),IF(R$7=1,(R16)/(SUM(R$10:OFFSET(R$10,$M$5-1,0,1,1))),(1/R16)/SUM(1/R$10:OFFSET(R$10,$M$5-1,0,1,1))),"")</f>
        <v>7.8297762921059375E-2</v>
      </c>
      <c r="S72" s="33">
        <f ca="1">IF(AND(ISNUMBER($L72),ISNUMBER(S$5)),IF(S$7=1,(S16)/(SUM(S$10:OFFSET(S$10,$M$5-1,0,1,1))),(1/S16)/SUM(1/S$10:OFFSET(S$10,$M$5-1,0,1,1))),"")</f>
        <v>3.1596840315968405E-2</v>
      </c>
      <c r="U72" s="14"/>
      <c r="V72" s="12">
        <v>7</v>
      </c>
      <c r="W72" s="13" t="s">
        <v>113</v>
      </c>
      <c r="X72" s="33">
        <f ca="1">IF(AND(ISNUMBER($V72),ISNUMBER(X$5)),IF(X$7=1,(X16)/(SUM(X$10:OFFSET(X$10,$W$5-1,0,1,1))),(1/X16)/SUM(1/X$10:OFFSET(X$10,$W$5-1,0,1,1))),"")</f>
        <v>2.8267822139688429E-2</v>
      </c>
      <c r="Y72" s="33">
        <f ca="1">IF(AND(ISNUMBER($V72),ISNUMBER(Y$5)),IF(Y$7=1,(Y16)/(SUM(Y$10:OFFSET(Y$10,$W$5-1,0,1,1))),(1/Y16)/SUM(1/Y$10:OFFSET(Y$10,$W$5-1,0,1,1))),"")</f>
        <v>3.9921337266470014E-2</v>
      </c>
      <c r="Z72" s="33">
        <f ca="1">IF(AND(ISNUMBER($V72),ISNUMBER(Z$5)),IF(Z$7=1,(Z16)/(SUM(Z$10:OFFSET(Z$10,$W$5-1,0,1,1))),(1/Z16)/SUM(1/Z$10:OFFSET(Z$10,$W$5-1,0,1,1))),"")</f>
        <v>3.4619255283461929E-2</v>
      </c>
      <c r="AA72" s="33">
        <f ca="1">IF(AND(ISNUMBER($V72),ISNUMBER(AA$5)),IF(AA$7=1,(AA16)/(SUM(AA$10:OFFSET(AA$10,$W$5-1,0,1,1))),(1/AA16)/SUM(1/AA$10:OFFSET(AA$10,$W$5-1,0,1,1))),"")</f>
        <v>4.3142687512368889E-2</v>
      </c>
      <c r="AB72" s="33">
        <f ca="1">IF(AND(ISNUMBER($V72),ISNUMBER(AB$5)),IF(AB$7=1,(AB16)/(SUM(AB$10:OFFSET(AB$10,$W$5-1,0,1,1))),(1/AB16)/SUM(1/AB$10:OFFSET(AB$10,$W$5-1,0,1,1))),"")</f>
        <v>7.4392450879007227E-2</v>
      </c>
      <c r="AC72" s="33">
        <f ca="1">IF(AND(ISNUMBER($V72),ISNUMBER(AC$5)),IF(AC$7=1,(AC16)/(SUM(AC$10:OFFSET(AC$10,$W$5-1,0,1,1))),(1/AC16)/SUM(1/AC$10:OFFSET(AC$10,$W$5-1,0,1,1))),"")</f>
        <v>3.0543376521010881E-2</v>
      </c>
    </row>
    <row r="73" spans="1:29" ht="12.75" customHeight="1">
      <c r="A73" s="14"/>
      <c r="B73" s="12">
        <v>8</v>
      </c>
      <c r="C73" s="13" t="s">
        <v>114</v>
      </c>
      <c r="D73" s="33">
        <f ca="1">IF(AND(ISNUMBER($B73),ISNUMBER(D$5)),IF(D$7=1,(D17)/(SUM(D$10:OFFSET(D$10,$C$5-1,0,1,1))),(1/D17)/SUM(1/D$10:OFFSET(D$10,$C$5-1,0,1,1))),"")</f>
        <v>2.533413125872731E-2</v>
      </c>
      <c r="E73" s="33">
        <f ca="1">IF(AND(ISNUMBER($B73),ISNUMBER(E$5)),IF(E$7=1,(E17)/(SUM(E$10:OFFSET(E$10,$C$5-1,0,1,1))),(1/E17)/SUM(1/E$10:OFFSET(E$10,$C$5-1,0,1,1))),"")</f>
        <v>2.0238818053025704E-2</v>
      </c>
      <c r="F73" s="33">
        <f ca="1">IF(AND(ISNUMBER($B73),ISNUMBER(F$5)),IF(F$7=1,(F17)/(SUM(F$10:OFFSET(F$10,$C$5-1,0,1,1))),(1/F17)/SUM(1/F$10:OFFSET(F$10,$C$5-1,0,1,1))),"")</f>
        <v>3.3226284584980233E-2</v>
      </c>
      <c r="G73" s="33">
        <f ca="1">IF(AND(ISNUMBER($B73),ISNUMBER(G$5)),IF(G$7=1,(G17)/(SUM(G$10:OFFSET(G$10,$C$5-1,0,1,1))),(1/G17)/SUM(1/G$10:OFFSET(G$10,$C$5-1,0,1,1))),"")</f>
        <v>2.8659160696008185E-2</v>
      </c>
      <c r="H73" s="33">
        <f ca="1">IF(AND(ISNUMBER($B73),ISNUMBER(H$5)),IF(H$7=1,(H17)/(SUM(H$10:OFFSET(H$10,$C$5-1,0,1,1))),(1/H17)/SUM(1/H$10:OFFSET(H$10,$C$5-1,0,1,1))),"")</f>
        <v>4.3150506888484527E-2</v>
      </c>
      <c r="I73" s="33">
        <f ca="1">IF(AND(ISNUMBER($B73),ISNUMBER(I$5)),IF(I$7=1,(I17)/(SUM(I$10:OFFSET(I$10,$C$5-1,0,1,1))),(1/I17)/SUM(1/I$10:OFFSET(I$10,$C$5-1,0,1,1))),"")</f>
        <v>4.5251505146630421E-2</v>
      </c>
      <c r="K73" s="14"/>
      <c r="L73" s="12">
        <v>8</v>
      </c>
      <c r="M73" s="13" t="s">
        <v>114</v>
      </c>
      <c r="N73" s="33">
        <f ca="1">IF(AND(ISNUMBER($L73),ISNUMBER(N$5)),IF(N$7=1,(N17)/(SUM(N$10:OFFSET(N$10,$M$5-1,0,1,1))),(1/N17)/SUM(1/N$10:OFFSET(N$10,$M$5-1,0,1,1))),"")</f>
        <v>3.4401709401709404E-2</v>
      </c>
      <c r="O73" s="33">
        <f ca="1">IF(AND(ISNUMBER($L73),ISNUMBER(O$5)),IF(O$7=1,(O17)/(SUM(O$10:OFFSET(O$10,$M$5-1,0,1,1))),(1/O17)/SUM(1/O$10:OFFSET(O$10,$M$5-1,0,1,1))),"")</f>
        <v>2.7156244023713902E-2</v>
      </c>
      <c r="P73" s="33">
        <f ca="1">IF(AND(ISNUMBER($L73),ISNUMBER(P$5)),IF(P$7=1,(P17)/(SUM(P$10:OFFSET(P$10,$M$5-1,0,1,1))),(1/P17)/SUM(1/P$10:OFFSET(P$10,$M$5-1,0,1,1))),"")</f>
        <v>4.2737553238361002E-2</v>
      </c>
      <c r="Q73" s="33">
        <f ca="1">IF(AND(ISNUMBER($L73),ISNUMBER(Q$5)),IF(Q$7=1,(Q17)/(SUM(Q$10:OFFSET(Q$10,$M$5-1,0,1,1))),(1/Q17)/SUM(1/Q$10:OFFSET(Q$10,$M$5-1,0,1,1))),"")</f>
        <v>2.6814786439379422E-2</v>
      </c>
      <c r="R73" s="33">
        <f ca="1">IF(AND(ISNUMBER($L73),ISNUMBER(R$5)),IF(R$7=1,(R17)/(SUM(R$10:OFFSET(R$10,$M$5-1,0,1,1))),(1/R17)/SUM(1/R$10:OFFSET(R$10,$M$5-1,0,1,1))),"")</f>
        <v>4.2684494728722031E-2</v>
      </c>
      <c r="S73" s="33">
        <f ca="1">IF(AND(ISNUMBER($L73),ISNUMBER(S$5)),IF(S$7=1,(S17)/(SUM(S$10:OFFSET(S$10,$M$5-1,0,1,1))),(1/S17)/SUM(1/S$10:OFFSET(S$10,$M$5-1,0,1,1))),"")</f>
        <v>4.4995500449955005E-2</v>
      </c>
      <c r="U73" s="14"/>
      <c r="V73" s="12">
        <v>8</v>
      </c>
      <c r="W73" s="13" t="s">
        <v>114</v>
      </c>
      <c r="X73" s="33">
        <f ca="1">IF(AND(ISNUMBER($V73),ISNUMBER(X$5)),IF(X$7=1,(X17)/(SUM(X$10:OFFSET(X$10,$W$5-1,0,1,1))),(1/X17)/SUM(1/X$10:OFFSET(X$10,$W$5-1,0,1,1))),"")</f>
        <v>2.971216341689879E-2</v>
      </c>
      <c r="Y73" s="33">
        <f ca="1">IF(AND(ISNUMBER($V73),ISNUMBER(Y$5)),IF(Y$7=1,(Y17)/(SUM(Y$10:OFFSET(Y$10,$W$5-1,0,1,1))),(1/Y17)/SUM(1/Y$10:OFFSET(Y$10,$W$5-1,0,1,1))),"")</f>
        <v>2.3795476892822028E-2</v>
      </c>
      <c r="Z73" s="33">
        <f ca="1">IF(AND(ISNUMBER($V73),ISNUMBER(Z$5)),IF(Z$7=1,(Z17)/(SUM(Z$10:OFFSET(Z$10,$W$5-1,0,1,1))),(1/Z17)/SUM(1/Z$10:OFFSET(Z$10,$W$5-1,0,1,1))),"")</f>
        <v>3.7571284803757127E-2</v>
      </c>
      <c r="AA73" s="33">
        <f ca="1">IF(AND(ISNUMBER($V73),ISNUMBER(AA$5)),IF(AA$7=1,(AA17)/(SUM(AA$10:OFFSET(AA$10,$W$5-1,0,1,1))),(1/AA17)/SUM(1/AA$10:OFFSET(AA$10,$W$5-1,0,1,1))),"")</f>
        <v>2.7706313081337818E-2</v>
      </c>
      <c r="AB73" s="33">
        <f ca="1">IF(AND(ISNUMBER($V73),ISNUMBER(AB$5)),IF(AB$7=1,(AB17)/(SUM(AB$10:OFFSET(AB$10,$W$5-1,0,1,1))),(1/AB17)/SUM(1/AB$10:OFFSET(AB$10,$W$5-1,0,1,1))),"")</f>
        <v>4.2916235780765248E-2</v>
      </c>
      <c r="AC73" s="33">
        <f ca="1">IF(AND(ISNUMBER($V73),ISNUMBER(AC$5)),IF(AC$7=1,(AC17)/(SUM(AC$10:OFFSET(AC$10,$W$5-1,0,1,1))),(1/AC17)/SUM(1/AC$10:OFFSET(AC$10,$W$5-1,0,1,1))),"")</f>
        <v>4.5125375634267689E-2</v>
      </c>
    </row>
    <row r="74" spans="1:29" ht="12.75" customHeight="1">
      <c r="A74" s="14"/>
      <c r="B74" s="12">
        <v>9</v>
      </c>
      <c r="C74" s="13" t="s">
        <v>115</v>
      </c>
      <c r="D74" s="33">
        <f ca="1">IF(AND(ISNUMBER($B74),ISNUMBER(D$5)),IF(D$7=1,(D18)/(SUM(D$10:OFFSET(D$10,$C$5-1,0,1,1))),(1/D18)/SUM(1/D$10:OFFSET(D$10,$C$5-1,0,1,1))),"")</f>
        <v>3.8100937562337928E-2</v>
      </c>
      <c r="E74" s="33">
        <f ca="1">IF(AND(ISNUMBER($B74),ISNUMBER(E$5)),IF(E$7=1,(E18)/(SUM(E$10:OFFSET(E$10,$C$5-1,0,1,1))),(1/E18)/SUM(1/E$10:OFFSET(E$10,$C$5-1,0,1,1))),"")</f>
        <v>3.7037037037037035E-2</v>
      </c>
      <c r="F74" s="33">
        <f ca="1">IF(AND(ISNUMBER($B74),ISNUMBER(F$5)),IF(F$7=1,(F18)/(SUM(F$10:OFFSET(F$10,$C$5-1,0,1,1))),(1/F18)/SUM(1/F$10:OFFSET(F$10,$C$5-1,0,1,1))),"")</f>
        <v>4.03903162055336E-2</v>
      </c>
      <c r="G74" s="33">
        <f ca="1">IF(AND(ISNUMBER($B74),ISNUMBER(G$5)),IF(G$7=1,(G18)/(SUM(G$10:OFFSET(G$10,$C$5-1,0,1,1))),(1/G18)/SUM(1/G$10:OFFSET(G$10,$C$5-1,0,1,1))),"")</f>
        <v>3.3776867963152504E-2</v>
      </c>
      <c r="H74" s="33">
        <f ca="1">IF(AND(ISNUMBER($B74),ISNUMBER(H$5)),IF(H$7=1,(H18)/(SUM(H$10:OFFSET(H$10,$C$5-1,0,1,1))),(1/H18)/SUM(1/H$10:OFFSET(H$10,$C$5-1,0,1,1))),"")</f>
        <v>4.4450220951390687E-2</v>
      </c>
      <c r="I74" s="33">
        <f ca="1">IF(AND(ISNUMBER($B74),ISNUMBER(I$5)),IF(I$7=1,(I18)/(SUM(I$10:OFFSET(I$10,$C$5-1,0,1,1))),(1/I18)/SUM(1/I$10:OFFSET(I$10,$C$5-1,0,1,1))),"")</f>
        <v>5.9234802874344537E-2</v>
      </c>
      <c r="K74" s="14"/>
      <c r="L74" s="12">
        <v>9</v>
      </c>
      <c r="M74" s="13" t="s">
        <v>115</v>
      </c>
      <c r="N74" s="33">
        <f ca="1">IF(AND(ISNUMBER($L74),ISNUMBER(N$5)),IF(N$7=1,(N18)/(SUM(N$10:OFFSET(N$10,$M$5-1,0,1,1))),(1/N18)/SUM(1/N$10:OFFSET(N$10,$M$5-1,0,1,1))),"")</f>
        <v>3.3547008547008546E-2</v>
      </c>
      <c r="O74" s="33">
        <f ca="1">IF(AND(ISNUMBER($L74),ISNUMBER(O$5)),IF(O$7=1,(O18)/(SUM(O$10:OFFSET(O$10,$M$5-1,0,1,1))),(1/O18)/SUM(1/O$10:OFFSET(O$10,$M$5-1,0,1,1))),"")</f>
        <v>3.614457831325301E-2</v>
      </c>
      <c r="P74" s="33">
        <f ca="1">IF(AND(ISNUMBER($L74),ISNUMBER(P$5)),IF(P$7=1,(P18)/(SUM(P$10:OFFSET(P$10,$M$5-1,0,1,1))),(1/P18)/SUM(1/P$10:OFFSET(P$10,$M$5-1,0,1,1))),"")</f>
        <v>3.0694668820678516E-2</v>
      </c>
      <c r="Q74" s="33">
        <f ca="1">IF(AND(ISNUMBER($L74),ISNUMBER(Q$5)),IF(Q$7=1,(Q18)/(SUM(Q$10:OFFSET(Q$10,$M$5-1,0,1,1))),(1/Q18)/SUM(1/Q$10:OFFSET(Q$10,$M$5-1,0,1,1))),"")</f>
        <v>3.6008427504309513E-2</v>
      </c>
      <c r="R74" s="33">
        <f ca="1">IF(AND(ISNUMBER($L74),ISNUMBER(R$5)),IF(R$7=1,(R18)/(SUM(R$10:OFFSET(R$10,$M$5-1,0,1,1))),(1/R18)/SUM(1/R$10:OFFSET(R$10,$M$5-1,0,1,1))),"")</f>
        <v>4.2813062483929014E-2</v>
      </c>
      <c r="S74" s="33">
        <f ca="1">IF(AND(ISNUMBER($L74),ISNUMBER(S$5)),IF(S$7=1,(S18)/(SUM(S$10:OFFSET(S$10,$M$5-1,0,1,1))),(1/S18)/SUM(1/S$10:OFFSET(S$10,$M$5-1,0,1,1))),"")</f>
        <v>6.02939706029397E-2</v>
      </c>
      <c r="U74" s="14"/>
      <c r="V74" s="12">
        <v>9</v>
      </c>
      <c r="W74" s="13" t="s">
        <v>115</v>
      </c>
      <c r="X74" s="33">
        <f ca="1">IF(AND(ISNUMBER($V74),ISNUMBER(X$5)),IF(X$7=1,(X18)/(SUM(X$10:OFFSET(X$10,$W$5-1,0,1,1))),(1/X18)/SUM(1/X$10:OFFSET(X$10,$W$5-1,0,1,1))),"")</f>
        <v>3.5902197462086033E-2</v>
      </c>
      <c r="Y74" s="33">
        <f ca="1">IF(AND(ISNUMBER($V74),ISNUMBER(Y$5)),IF(Y$7=1,(Y18)/(SUM(Y$10:OFFSET(Y$10,$W$5-1,0,1,1))),(1/Y18)/SUM(1/Y$10:OFFSET(Y$10,$W$5-1,0,1,1))),"")</f>
        <v>3.6578171091445434E-2</v>
      </c>
      <c r="Z74" s="33">
        <f ca="1">IF(AND(ISNUMBER($V74),ISNUMBER(Z$5)),IF(Z$7=1,(Z18)/(SUM(Z$10:OFFSET(Z$10,$W$5-1,0,1,1))),(1/Z18)/SUM(1/Z$10:OFFSET(Z$10,$W$5-1,0,1,1))),"")</f>
        <v>3.5961086883596109E-2</v>
      </c>
      <c r="AA74" s="33">
        <f ca="1">IF(AND(ISNUMBER($V74),ISNUMBER(AA$5)),IF(AA$7=1,(AA18)/(SUM(AA$10:OFFSET(AA$10,$W$5-1,0,1,1))),(1/AA18)/SUM(1/AA$10:OFFSET(AA$10,$W$5-1,0,1,1))),"")</f>
        <v>3.4929744706115179E-2</v>
      </c>
      <c r="AB74" s="33">
        <f ca="1">IF(AND(ISNUMBER($V74),ISNUMBER(AB$5)),IF(AB$7=1,(AB18)/(SUM(AB$10:OFFSET(AB$10,$W$5-1,0,1,1))),(1/AB18)/SUM(1/AB$10:OFFSET(AB$10,$W$5-1,0,1,1))),"")</f>
        <v>4.3627197518097204E-2</v>
      </c>
      <c r="AC74" s="33">
        <f ca="1">IF(AND(ISNUMBER($V74),ISNUMBER(AC$5)),IF(AC$7=1,(AC18)/(SUM(AC$10:OFFSET(AC$10,$W$5-1,0,1,1))),(1/AC18)/SUM(1/AC$10:OFFSET(AC$10,$W$5-1,0,1,1))),"")</f>
        <v>5.9756638258042255E-2</v>
      </c>
    </row>
    <row r="75" spans="1:29" ht="12.75" customHeight="1">
      <c r="A75" s="14"/>
      <c r="B75" s="12">
        <v>10</v>
      </c>
      <c r="C75" s="13" t="s">
        <v>116</v>
      </c>
      <c r="D75" s="33">
        <f ca="1">IF(AND(ISNUMBER($B75),ISNUMBER(D$5)),IF(D$7=1,(D19)/(SUM(D$10:OFFSET(D$10,$C$5-1,0,1,1))),(1/D19)/SUM(1/D$10:OFFSET(D$10,$C$5-1,0,1,1))),"")</f>
        <v>8.557749850388989E-2</v>
      </c>
      <c r="E75" s="33">
        <f ca="1">IF(AND(ISNUMBER($B75),ISNUMBER(E$5)),IF(E$7=1,(E19)/(SUM(E$10:OFFSET(E$10,$C$5-1,0,1,1))),(1/E19)/SUM(1/E$10:OFFSET(E$10,$C$5-1,0,1,1))),"")</f>
        <v>4.9989880590973486E-2</v>
      </c>
      <c r="F75" s="33">
        <f ca="1">IF(AND(ISNUMBER($B75),ISNUMBER(F$5)),IF(F$7=1,(F19)/(SUM(F$10:OFFSET(F$10,$C$5-1,0,1,1))),(1/F19)/SUM(1/F$10:OFFSET(F$10,$C$5-1,0,1,1))),"")</f>
        <v>6.3241106719367585E-2</v>
      </c>
      <c r="G75" s="33">
        <f ca="1">IF(AND(ISNUMBER($B75),ISNUMBER(G$5)),IF(G$7=1,(G19)/(SUM(G$10:OFFSET(G$10,$C$5-1,0,1,1))),(1/G19)/SUM(1/G$10:OFFSET(G$10,$C$5-1,0,1,1))),"")</f>
        <v>8.0655066530194455E-2</v>
      </c>
      <c r="H75" s="33">
        <f ca="1">IF(AND(ISNUMBER($B75),ISNUMBER(H$5)),IF(H$7=1,(H19)/(SUM(H$10:OFFSET(H$10,$C$5-1,0,1,1))),(1/H19)/SUM(1/H$10:OFFSET(H$10,$C$5-1,0,1,1))),"")</f>
        <v>3.5222251104756949E-2</v>
      </c>
      <c r="I75" s="33">
        <f ca="1">IF(AND(ISNUMBER($B75),ISNUMBER(I$5)),IF(I$7=1,(I19)/(SUM(I$10:OFFSET(I$10,$C$5-1,0,1,1))),(1/I19)/SUM(1/I$10:OFFSET(I$10,$C$5-1,0,1,1))),"")</f>
        <v>5.0398135560302974E-2</v>
      </c>
      <c r="K75" s="14"/>
      <c r="L75" s="12">
        <v>10</v>
      </c>
      <c r="M75" s="13" t="s">
        <v>116</v>
      </c>
      <c r="N75" s="33">
        <f ca="1">IF(AND(ISNUMBER($L75),ISNUMBER(N$5)),IF(N$7=1,(N19)/(SUM(N$10:OFFSET(N$10,$M$5-1,0,1,1))),(1/N19)/SUM(1/N$10:OFFSET(N$10,$M$5-1,0,1,1))),"")</f>
        <v>9.166666666666666E-2</v>
      </c>
      <c r="O75" s="33">
        <f ca="1">IF(AND(ISNUMBER($L75),ISNUMBER(O$5)),IF(O$7=1,(O19)/(SUM(O$10:OFFSET(O$10,$M$5-1,0,1,1))),(1/O19)/SUM(1/O$10:OFFSET(O$10,$M$5-1,0,1,1))),"")</f>
        <v>5.5268693822910692E-2</v>
      </c>
      <c r="P75" s="33">
        <f ca="1">IF(AND(ISNUMBER($L75),ISNUMBER(P$5)),IF(P$7=1,(P19)/(SUM(P$10:OFFSET(P$10,$M$5-1,0,1,1))),(1/P19)/SUM(1/P$10:OFFSET(P$10,$M$5-1,0,1,1))),"")</f>
        <v>5.3458657658980772E-2</v>
      </c>
      <c r="Q75" s="33">
        <f ca="1">IF(AND(ISNUMBER($L75),ISNUMBER(Q$5)),IF(Q$7=1,(Q19)/(SUM(Q$10:OFFSET(Q$10,$M$5-1,0,1,1))),(1/Q19)/SUM(1/Q$10:OFFSET(Q$10,$M$5-1,0,1,1))),"")</f>
        <v>7.5464470407967804E-2</v>
      </c>
      <c r="R75" s="33">
        <f ca="1">IF(AND(ISNUMBER($L75),ISNUMBER(R$5)),IF(R$7=1,(R19)/(SUM(R$10:OFFSET(R$10,$M$5-1,0,1,1))),(1/R19)/SUM(1/R$10:OFFSET(R$10,$M$5-1,0,1,1))),"")</f>
        <v>3.4841861661095389E-2</v>
      </c>
      <c r="S75" s="33">
        <f ca="1">IF(AND(ISNUMBER($L75),ISNUMBER(S$5)),IF(S$7=1,(S19)/(SUM(S$10:OFFSET(S$10,$M$5-1,0,1,1))),(1/S19)/SUM(1/S$10:OFFSET(S$10,$M$5-1,0,1,1))),"")</f>
        <v>4.4395560443955602E-2</v>
      </c>
      <c r="U75" s="14"/>
      <c r="V75" s="12">
        <v>10</v>
      </c>
      <c r="W75" s="13" t="s">
        <v>116</v>
      </c>
      <c r="X75" s="33">
        <f ca="1">IF(AND(ISNUMBER($V75),ISNUMBER(X$5)),IF(X$7=1,(X19)/(SUM(X$10:OFFSET(X$10,$W$5-1,0,1,1))),(1/X19)/SUM(1/X$10:OFFSET(X$10,$W$5-1,0,1,1))),"")</f>
        <v>8.8517486846177634E-2</v>
      </c>
      <c r="Y75" s="33">
        <f ca="1">IF(AND(ISNUMBER($V75),ISNUMBER(Y$5)),IF(Y$7=1,(Y19)/(SUM(Y$10:OFFSET(Y$10,$W$5-1,0,1,1))),(1/Y19)/SUM(1/Y$10:OFFSET(Y$10,$W$5-1,0,1,1))),"")</f>
        <v>5.2704031465093414E-2</v>
      </c>
      <c r="Z75" s="33">
        <f ca="1">IF(AND(ISNUMBER($V75),ISNUMBER(Z$5)),IF(Z$7=1,(Z19)/(SUM(Z$10:OFFSET(Z$10,$W$5-1,0,1,1))),(1/Z19)/SUM(1/Z$10:OFFSET(Z$10,$W$5-1,0,1,1))),"")</f>
        <v>5.877222408587722E-2</v>
      </c>
      <c r="AA75" s="33">
        <f ca="1">IF(AND(ISNUMBER($V75),ISNUMBER(AA$5)),IF(AA$7=1,(AA19)/(SUM(AA$10:OFFSET(AA$10,$W$5-1,0,1,1))),(1/AA19)/SUM(1/AA$10:OFFSET(AA$10,$W$5-1,0,1,1))),"")</f>
        <v>7.7973481100336431E-2</v>
      </c>
      <c r="AB75" s="33">
        <f ca="1">IF(AND(ISNUMBER($V75),ISNUMBER(AB$5)),IF(AB$7=1,(AB19)/(SUM(AB$10:OFFSET(AB$10,$W$5-1,0,1,1))),(1/AB19)/SUM(1/AB$10:OFFSET(AB$10,$W$5-1,0,1,1))),"")</f>
        <v>3.5031023784901756E-2</v>
      </c>
      <c r="AC75" s="33">
        <f ca="1">IF(AND(ISNUMBER($V75),ISNUMBER(AC$5)),IF(AC$7=1,(AC19)/(SUM(AC$10:OFFSET(AC$10,$W$5-1,0,1,1))),(1/AC19)/SUM(1/AC$10:OFFSET(AC$10,$W$5-1,0,1,1))),"")</f>
        <v>4.7440760628602384E-2</v>
      </c>
    </row>
    <row r="76" spans="1:29" ht="12.75" customHeight="1">
      <c r="A76" s="14"/>
      <c r="B76" s="12">
        <v>11</v>
      </c>
      <c r="C76" s="13" t="s">
        <v>117</v>
      </c>
      <c r="D76" s="33">
        <f ca="1">IF(AND(ISNUMBER($B76),ISNUMBER(D$5)),IF(D$7=1,(D20)/(SUM(D$10:OFFSET(D$10,$C$5-1,0,1,1))),(1/D20)/SUM(1/D$10:OFFSET(D$10,$C$5-1,0,1,1))),"")</f>
        <v>3.4510273289447439E-2</v>
      </c>
      <c r="E76" s="33">
        <f ca="1">IF(AND(ISNUMBER($B76),ISNUMBER(E$5)),IF(E$7=1,(E20)/(SUM(E$10:OFFSET(E$10,$C$5-1,0,1,1))),(1/E20)/SUM(1/E$10:OFFSET(E$10,$C$5-1,0,1,1))),"")</f>
        <v>3.1977332523780613E-2</v>
      </c>
      <c r="F76" s="33">
        <f ca="1">IF(AND(ISNUMBER($B76),ISNUMBER(F$5)),IF(F$7=1,(F20)/(SUM(F$10:OFFSET(F$10,$C$5-1,0,1,1))),(1/F20)/SUM(1/F$10:OFFSET(F$10,$C$5-1,0,1,1))),"")</f>
        <v>3.2979249011857704E-2</v>
      </c>
      <c r="G76" s="33">
        <f ca="1">IF(AND(ISNUMBER($B76),ISNUMBER(G$5)),IF(G$7=1,(G20)/(SUM(G$10:OFFSET(G$10,$C$5-1,0,1,1))),(1/G20)/SUM(1/G$10:OFFSET(G$10,$C$5-1,0,1,1))),"")</f>
        <v>3.0706243602865911E-2</v>
      </c>
      <c r="H76" s="33">
        <f ca="1">IF(AND(ISNUMBER($B76),ISNUMBER(H$5)),IF(H$7=1,(H20)/(SUM(H$10:OFFSET(H$10,$C$5-1,0,1,1))),(1/H20)/SUM(1/H$10:OFFSET(H$10,$C$5-1,0,1,1))),"")</f>
        <v>3.834156485573173E-2</v>
      </c>
      <c r="I76" s="33">
        <f ca="1">IF(AND(ISNUMBER($B76),ISNUMBER(I$5)),IF(I$7=1,(I20)/(SUM(I$10:OFFSET(I$10,$C$5-1,0,1,1))),(1/I20)/SUM(1/I$10:OFFSET(I$10,$C$5-1,0,1,1))),"")</f>
        <v>3.437560691396388E-2</v>
      </c>
      <c r="K76" s="14"/>
      <c r="L76" s="12">
        <v>11</v>
      </c>
      <c r="M76" s="13" t="s">
        <v>117</v>
      </c>
      <c r="N76" s="33">
        <f ca="1">IF(AND(ISNUMBER($L76),ISNUMBER(N$5)),IF(N$7=1,(N20)/(SUM(N$10:OFFSET(N$10,$M$5-1,0,1,1))),(1/N20)/SUM(1/N$10:OFFSET(N$10,$M$5-1,0,1,1))),"")</f>
        <v>3.2905982905982907E-2</v>
      </c>
      <c r="O76" s="33">
        <f ca="1">IF(AND(ISNUMBER($L76),ISNUMBER(O$5)),IF(O$7=1,(O20)/(SUM(O$10:OFFSET(O$10,$M$5-1,0,1,1))),(1/O20)/SUM(1/O$10:OFFSET(O$10,$M$5-1,0,1,1))),"")</f>
        <v>4.6280359533371583E-2</v>
      </c>
      <c r="P76" s="33">
        <f ca="1">IF(AND(ISNUMBER($L76),ISNUMBER(P$5)),IF(P$7=1,(P20)/(SUM(P$10:OFFSET(P$10,$M$5-1,0,1,1))),(1/P20)/SUM(1/P$10:OFFSET(P$10,$M$5-1,0,1,1))),"")</f>
        <v>3.1282126597150836E-2</v>
      </c>
      <c r="Q76" s="33">
        <f ca="1">IF(AND(ISNUMBER($L76),ISNUMBER(Q$5)),IF(Q$7=1,(Q20)/(SUM(Q$10:OFFSET(Q$10,$M$5-1,0,1,1))),(1/Q20)/SUM(1/Q$10:OFFSET(Q$10,$M$5-1,0,1,1))),"")</f>
        <v>3.8689906148247452E-2</v>
      </c>
      <c r="R76" s="33">
        <f ca="1">IF(AND(ISNUMBER($L76),ISNUMBER(R$5)),IF(R$7=1,(R20)/(SUM(R$10:OFFSET(R$10,$M$5-1,0,1,1))),(1/R20)/SUM(1/R$10:OFFSET(R$10,$M$5-1,0,1,1))),"")</f>
        <v>4.2170223707894049E-2</v>
      </c>
      <c r="S76" s="33">
        <f ca="1">IF(AND(ISNUMBER($L76),ISNUMBER(S$5)),IF(S$7=1,(S20)/(SUM(S$10:OFFSET(S$10,$M$5-1,0,1,1))),(1/S20)/SUM(1/S$10:OFFSET(S$10,$M$5-1,0,1,1))),"")</f>
        <v>3.0096990300969902E-2</v>
      </c>
      <c r="U76" s="14"/>
      <c r="V76" s="12">
        <v>11</v>
      </c>
      <c r="W76" s="13" t="s">
        <v>117</v>
      </c>
      <c r="X76" s="33">
        <f ca="1">IF(AND(ISNUMBER($V76),ISNUMBER(X$5)),IF(X$7=1,(X20)/(SUM(X$10:OFFSET(X$10,$W$5-1,0,1,1))),(1/X20)/SUM(1/X$10:OFFSET(X$10,$W$5-1,0,1,1))),"")</f>
        <v>3.3735685546270502E-2</v>
      </c>
      <c r="Y76" s="33">
        <f ca="1">IF(AND(ISNUMBER($V76),ISNUMBER(Y$5)),IF(Y$7=1,(Y20)/(SUM(Y$10:OFFSET(Y$10,$W$5-1,0,1,1))),(1/Y20)/SUM(1/Y$10:OFFSET(Y$10,$W$5-1,0,1,1))),"")</f>
        <v>3.9331366764995088E-2</v>
      </c>
      <c r="Z76" s="33">
        <f ca="1">IF(AND(ISNUMBER($V76),ISNUMBER(Z$5)),IF(Z$7=1,(Z20)/(SUM(Z$10:OFFSET(Z$10,$W$5-1,0,1,1))),(1/Z20)/SUM(1/Z$10:OFFSET(Z$10,$W$5-1,0,1,1))),"")</f>
        <v>3.2203958403220392E-2</v>
      </c>
      <c r="AA76" s="33">
        <f ca="1">IF(AND(ISNUMBER($V76),ISNUMBER(AA$5)),IF(AA$7=1,(AA20)/(SUM(AA$10:OFFSET(AA$10,$W$5-1,0,1,1))),(1/AA20)/SUM(1/AA$10:OFFSET(AA$10,$W$5-1,0,1,1))),"")</f>
        <v>3.4830793587967548E-2</v>
      </c>
      <c r="AB76" s="33">
        <f ca="1">IF(AND(ISNUMBER($V76),ISNUMBER(AB$5)),IF(AB$7=1,(AB20)/(SUM(AB$10:OFFSET(AB$10,$W$5-1,0,1,1))),(1/AB20)/SUM(1/AB$10:OFFSET(AB$10,$W$5-1,0,1,1))),"")</f>
        <v>4.0266287487073414E-2</v>
      </c>
      <c r="AC76" s="33">
        <f ca="1">IF(AND(ISNUMBER($V76),ISNUMBER(AC$5)),IF(AC$7=1,(AC20)/(SUM(AC$10:OFFSET(AC$10,$W$5-1,0,1,1))),(1/AC20)/SUM(1/AC$10:OFFSET(AC$10,$W$5-1,0,1,1))),"")</f>
        <v>3.2267599389132463E-2</v>
      </c>
    </row>
    <row r="77" spans="1:29" ht="12.75" customHeight="1">
      <c r="A77" s="14"/>
      <c r="B77" s="12">
        <v>12</v>
      </c>
      <c r="C77" s="13" t="s">
        <v>118</v>
      </c>
      <c r="D77" s="33">
        <f ca="1">IF(AND(ISNUMBER($B77),ISNUMBER(D$5)),IF(D$7=1,(D21)/(SUM(D$10:OFFSET(D$10,$C$5-1,0,1,1))),(1/D21)/SUM(1/D$10:OFFSET(D$10,$C$5-1,0,1,1))),"")</f>
        <v>6.0442848593656499E-2</v>
      </c>
      <c r="E77" s="33">
        <f ca="1">IF(AND(ISNUMBER($B77),ISNUMBER(E$5)),IF(E$7=1,(E21)/(SUM(E$10:OFFSET(E$10,$C$5-1,0,1,1))),(1/E21)/SUM(1/E$10:OFFSET(E$10,$C$5-1,0,1,1))),"")</f>
        <v>5.5049585104229908E-2</v>
      </c>
      <c r="F77" s="33">
        <f ca="1">IF(AND(ISNUMBER($B77),ISNUMBER(F$5)),IF(F$7=1,(F21)/(SUM(F$10:OFFSET(F$10,$C$5-1,0,1,1))),(1/F21)/SUM(1/F$10:OFFSET(F$10,$C$5-1,0,1,1))),"")</f>
        <v>5.5830039525691703E-2</v>
      </c>
      <c r="G77" s="33">
        <f ca="1">IF(AND(ISNUMBER($B77),ISNUMBER(G$5)),IF(G$7=1,(G21)/(SUM(G$10:OFFSET(G$10,$C$5-1,0,1,1))),(1/G21)/SUM(1/G$10:OFFSET(G$10,$C$5-1,0,1,1))),"")</f>
        <v>8.1883316274309101E-2</v>
      </c>
      <c r="H77" s="33">
        <f ca="1">IF(AND(ISNUMBER($B77),ISNUMBER(H$5)),IF(H$7=1,(H21)/(SUM(H$10:OFFSET(H$10,$C$5-1,0,1,1))),(1/H21)/SUM(1/H$10:OFFSET(H$10,$C$5-1,0,1,1))),"")</f>
        <v>6.2516246425786307E-2</v>
      </c>
      <c r="I77" s="33">
        <f ca="1">IF(AND(ISNUMBER($B77),ISNUMBER(I$5)),IF(I$7=1,(I21)/(SUM(I$10:OFFSET(I$10,$C$5-1,0,1,1))),(1/I21)/SUM(1/I$10:OFFSET(I$10,$C$5-1,0,1,1))),"")</f>
        <v>5.4865022334433876E-2</v>
      </c>
      <c r="K77" s="14"/>
      <c r="L77" s="12">
        <v>12</v>
      </c>
      <c r="M77" s="13" t="s">
        <v>118</v>
      </c>
      <c r="N77" s="33">
        <f ca="1">IF(AND(ISNUMBER($L77),ISNUMBER(N$5)),IF(N$7=1,(N21)/(SUM(N$10:OFFSET(N$10,$M$5-1,0,1,1))),(1/N21)/SUM(1/N$10:OFFSET(N$10,$M$5-1,0,1,1))),"")</f>
        <v>6.4743589743589749E-2</v>
      </c>
      <c r="O77" s="33">
        <f ca="1">IF(AND(ISNUMBER($L77),ISNUMBER(O$5)),IF(O$7=1,(O21)/(SUM(O$10:OFFSET(O$10,$M$5-1,0,1,1))),(1/O21)/SUM(1/O$10:OFFSET(O$10,$M$5-1,0,1,1))),"")</f>
        <v>6.2153375406387455E-2</v>
      </c>
      <c r="P77" s="33">
        <f ca="1">IF(AND(ISNUMBER($L77),ISNUMBER(P$5)),IF(P$7=1,(P21)/(SUM(P$10:OFFSET(P$10,$M$5-1,0,1,1))),(1/P21)/SUM(1/P$10:OFFSET(P$10,$M$5-1,0,1,1))),"")</f>
        <v>6.1389337641357032E-2</v>
      </c>
      <c r="Q77" s="33">
        <f ca="1">IF(AND(ISNUMBER($L77),ISNUMBER(Q$5)),IF(Q$7=1,(Q21)/(SUM(Q$10:OFFSET(Q$10,$M$5-1,0,1,1))),(1/Q21)/SUM(1/Q$10:OFFSET(Q$10,$M$5-1,0,1,1))),"")</f>
        <v>9.0212602949626491E-2</v>
      </c>
      <c r="R77" s="33">
        <f ca="1">IF(AND(ISNUMBER($L77),ISNUMBER(R$5)),IF(R$7=1,(R21)/(SUM(R$10:OFFSET(R$10,$M$5-1,0,1,1))),(1/R21)/SUM(1/R$10:OFFSET(R$10,$M$5-1,0,1,1))),"")</f>
        <v>6.1841090254564142E-2</v>
      </c>
      <c r="S77" s="33">
        <f ca="1">IF(AND(ISNUMBER($L77),ISNUMBER(S$5)),IF(S$7=1,(S21)/(SUM(S$10:OFFSET(S$10,$M$5-1,0,1,1))),(1/S21)/SUM(1/S$10:OFFSET(S$10,$M$5-1,0,1,1))),"")</f>
        <v>5.7094290570942903E-2</v>
      </c>
      <c r="U77" s="14"/>
      <c r="V77" s="12">
        <v>12</v>
      </c>
      <c r="W77" s="13" t="s">
        <v>118</v>
      </c>
      <c r="X77" s="33">
        <f ca="1">IF(AND(ISNUMBER($V77),ISNUMBER(X$5)),IF(X$7=1,(X21)/(SUM(X$10:OFFSET(X$10,$W$5-1,0,1,1))),(1/X21)/SUM(1/X$10:OFFSET(X$10,$W$5-1,0,1,1))),"")</f>
        <v>6.2519343856391199E-2</v>
      </c>
      <c r="Y77" s="33">
        <f ca="1">IF(AND(ISNUMBER($V77),ISNUMBER(Y$5)),IF(Y$7=1,(Y21)/(SUM(Y$10:OFFSET(Y$10,$W$5-1,0,1,1))),(1/Y21)/SUM(1/Y$10:OFFSET(Y$10,$W$5-1,0,1,1))),"")</f>
        <v>5.8702064896755168E-2</v>
      </c>
      <c r="Z77" s="33">
        <f ca="1">IF(AND(ISNUMBER($V77),ISNUMBER(Z$5)),IF(Z$7=1,(Z21)/(SUM(Z$10:OFFSET(Z$10,$W$5-1,0,1,1))),(1/Z21)/SUM(1/Z$10:OFFSET(Z$10,$W$5-1,0,1,1))),"")</f>
        <v>5.8369674605836967E-2</v>
      </c>
      <c r="AA77" s="33">
        <f ca="1">IF(AND(ISNUMBER($V77),ISNUMBER(AA$5)),IF(AA$7=1,(AA21)/(SUM(AA$10:OFFSET(AA$10,$W$5-1,0,1,1))),(1/AA21)/SUM(1/AA$10:OFFSET(AA$10,$W$5-1,0,1,1))),"")</f>
        <v>8.6186423906590134E-2</v>
      </c>
      <c r="AB77" s="33">
        <f ca="1">IF(AND(ISNUMBER($V77),ISNUMBER(AB$5)),IF(AB$7=1,(AB21)/(SUM(AB$10:OFFSET(AB$10,$W$5-1,0,1,1))),(1/AB21)/SUM(1/AB$10:OFFSET(AB$10,$W$5-1,0,1,1))),"")</f>
        <v>6.2176835573940013E-2</v>
      </c>
      <c r="AC77" s="33">
        <f ca="1">IF(AND(ISNUMBER($V77),ISNUMBER(AC$5)),IF(AC$7=1,(AC21)/(SUM(AC$10:OFFSET(AC$10,$W$5-1,0,1,1))),(1/AC21)/SUM(1/AC$10:OFFSET(AC$10,$W$5-1,0,1,1))),"")</f>
        <v>5.5963347948174778E-2</v>
      </c>
    </row>
    <row r="78" spans="1:29" ht="12.75" customHeight="1">
      <c r="A78" s="14"/>
      <c r="B78" s="12">
        <v>13</v>
      </c>
      <c r="C78" s="13" t="s">
        <v>119</v>
      </c>
      <c r="D78" s="33">
        <f ca="1">IF(AND(ISNUMBER($B78),ISNUMBER(D$5)),IF(D$7=1,(D22)/(SUM(D$10:OFFSET(D$10,$C$5-1,0,1,1))),(1/D22)/SUM(1/D$10:OFFSET(D$10,$C$5-1,0,1,1))),"")</f>
        <v>3.3911829243965692E-2</v>
      </c>
      <c r="E78" s="33">
        <f ca="1">IF(AND(ISNUMBER($B78),ISNUMBER(E$5)),IF(E$7=1,(E22)/(SUM(E$10:OFFSET(E$10,$C$5-1,0,1,1))),(1/E22)/SUM(1/E$10:OFFSET(E$10,$C$5-1,0,1,1))),"")</f>
        <v>8.2979154017405382E-2</v>
      </c>
      <c r="F78" s="33">
        <f ca="1">IF(AND(ISNUMBER($B78),ISNUMBER(F$5)),IF(F$7=1,(F22)/(SUM(F$10:OFFSET(F$10,$C$5-1,0,1,1))),(1/F22)/SUM(1/F$10:OFFSET(F$10,$C$5-1,0,1,1))),"")</f>
        <v>7.0405138339920945E-2</v>
      </c>
      <c r="G78" s="33">
        <f ca="1">IF(AND(ISNUMBER($B78),ISNUMBER(G$5)),IF(G$7=1,(G22)/(SUM(G$10:OFFSET(G$10,$C$5-1,0,1,1))),(1/G22)/SUM(1/G$10:OFFSET(G$10,$C$5-1,0,1,1))),"")</f>
        <v>3.9303991811668368E-2</v>
      </c>
      <c r="H78" s="33">
        <f ca="1">IF(AND(ISNUMBER($B78),ISNUMBER(H$5)),IF(H$7=1,(H22)/(SUM(H$10:OFFSET(H$10,$C$5-1,0,1,1))),(1/H22)/SUM(1/H$10:OFFSET(H$10,$C$5-1,0,1,1))),"")</f>
        <v>5.1468676891083948E-2</v>
      </c>
      <c r="I78" s="33">
        <f ca="1">IF(AND(ISNUMBER($B78),ISNUMBER(I$5)),IF(I$7=1,(I22)/(SUM(I$10:OFFSET(I$10,$C$5-1,0,1,1))),(1/I22)/SUM(1/I$10:OFFSET(I$10,$C$5-1,0,1,1))),"")</f>
        <v>4.5542823849291127E-2</v>
      </c>
      <c r="K78" s="14"/>
      <c r="L78" s="12">
        <v>13</v>
      </c>
      <c r="M78" s="13" t="s">
        <v>119</v>
      </c>
      <c r="N78" s="33">
        <f ca="1">IF(AND(ISNUMBER($L78),ISNUMBER(N$5)),IF(N$7=1,(N22)/(SUM(N$10:OFFSET(N$10,$M$5-1,0,1,1))),(1/N22)/SUM(1/N$10:OFFSET(N$10,$M$5-1,0,1,1))),"")</f>
        <v>1.8376068376068377E-2</v>
      </c>
      <c r="O78" s="33">
        <f ca="1">IF(AND(ISNUMBER($L78),ISNUMBER(O$5)),IF(O$7=1,(O22)/(SUM(O$10:OFFSET(O$10,$M$5-1,0,1,1))),(1/O22)/SUM(1/O$10:OFFSET(O$10,$M$5-1,0,1,1))),"")</f>
        <v>7.4392809332568366E-2</v>
      </c>
      <c r="P78" s="33">
        <f ca="1">IF(AND(ISNUMBER($L78),ISNUMBER(P$5)),IF(P$7=1,(P22)/(SUM(P$10:OFFSET(P$10,$M$5-1,0,1,1))),(1/P22)/SUM(1/P$10:OFFSET(P$10,$M$5-1,0,1,1))),"")</f>
        <v>7.6369510941401098E-2</v>
      </c>
      <c r="Q78" s="33">
        <f ca="1">IF(AND(ISNUMBER($L78),ISNUMBER(Q$5)),IF(Q$7=1,(Q22)/(SUM(Q$10:OFFSET(Q$10,$M$5-1,0,1,1))),(1/Q22)/SUM(1/Q$10:OFFSET(Q$10,$M$5-1,0,1,1))),"")</f>
        <v>4.1371384792185398E-2</v>
      </c>
      <c r="R78" s="33">
        <f ca="1">IF(AND(ISNUMBER($L78),ISNUMBER(R$5)),IF(R$7=1,(R22)/(SUM(R$10:OFFSET(R$10,$M$5-1,0,1,1))),(1/R22)/SUM(1/R$10:OFFSET(R$10,$M$5-1,0,1,1))),"")</f>
        <v>5.1555669838004616E-2</v>
      </c>
      <c r="S78" s="33">
        <f ca="1">IF(AND(ISNUMBER($L78),ISNUMBER(S$5)),IF(S$7=1,(S22)/(SUM(S$10:OFFSET(S$10,$M$5-1,0,1,1))),(1/S22)/SUM(1/S$10:OFFSET(S$10,$M$5-1,0,1,1))),"")</f>
        <v>3.8996100389961E-2</v>
      </c>
      <c r="U78" s="14"/>
      <c r="V78" s="12">
        <v>13</v>
      </c>
      <c r="W78" s="13" t="s">
        <v>119</v>
      </c>
      <c r="X78" s="33">
        <f ca="1">IF(AND(ISNUMBER($V78),ISNUMBER(X$5)),IF(X$7=1,(X22)/(SUM(X$10:OFFSET(X$10,$W$5-1,0,1,1))),(1/X22)/SUM(1/X$10:OFFSET(X$10,$W$5-1,0,1,1))),"")</f>
        <v>2.6410811926132257E-2</v>
      </c>
      <c r="Y78" s="33">
        <f ca="1">IF(AND(ISNUMBER($V78),ISNUMBER(Y$5)),IF(Y$7=1,(Y22)/(SUM(Y$10:OFFSET(Y$10,$W$5-1,0,1,1))),(1/Y22)/SUM(1/Y$10:OFFSET(Y$10,$W$5-1,0,1,1))),"")</f>
        <v>7.856440511307769E-2</v>
      </c>
      <c r="Z78" s="33">
        <f ca="1">IF(AND(ISNUMBER($V78),ISNUMBER(Z$5)),IF(Z$7=1,(Z22)/(SUM(Z$10:OFFSET(Z$10,$W$5-1,0,1,1))),(1/Z22)/SUM(1/Z$10:OFFSET(Z$10,$W$5-1,0,1,1))),"")</f>
        <v>7.3129822207312983E-2</v>
      </c>
      <c r="AA78" s="33">
        <f ca="1">IF(AND(ISNUMBER($V78),ISNUMBER(AA$5)),IF(AA$7=1,(AA22)/(SUM(AA$10:OFFSET(AA$10,$W$5-1,0,1,1))),(1/AA22)/SUM(1/AA$10:OFFSET(AA$10,$W$5-1,0,1,1))),"")</f>
        <v>4.0372056204235104E-2</v>
      </c>
      <c r="AB78" s="33">
        <f ca="1">IF(AND(ISNUMBER($V78),ISNUMBER(AB$5)),IF(AB$7=1,(AB22)/(SUM(AB$10:OFFSET(AB$10,$W$5-1,0,1,1))),(1/AB22)/SUM(1/AB$10:OFFSET(AB$10,$W$5-1,0,1,1))),"")</f>
        <v>5.1512409513960696E-2</v>
      </c>
      <c r="AC78" s="33">
        <f ca="1">IF(AND(ISNUMBER($V78),ISNUMBER(AC$5)),IF(AC$7=1,(AC22)/(SUM(AC$10:OFFSET(AC$10,$W$5-1,0,1,1))),(1/AC22)/SUM(1/AC$10:OFFSET(AC$10,$W$5-1,0,1,1))),"")</f>
        <v>4.2317355534755401E-2</v>
      </c>
    </row>
    <row r="79" spans="1:29" ht="12.75" customHeight="1">
      <c r="A79" s="14"/>
      <c r="B79" s="12">
        <v>14</v>
      </c>
      <c r="C79" s="13" t="s">
        <v>120</v>
      </c>
      <c r="D79" s="33">
        <f ca="1">IF(AND(ISNUMBER($B79),ISNUMBER(D$5)),IF(D$7=1,(D23)/(SUM(D$10:OFFSET(D$10,$C$5-1,0,1,1))),(1/D23)/SUM(1/D$10:OFFSET(D$10,$C$5-1,0,1,1))),"")</f>
        <v>3.0919609016556954E-2</v>
      </c>
      <c r="E79" s="33">
        <f ca="1">IF(AND(ISNUMBER($B79),ISNUMBER(E$5)),IF(E$7=1,(E23)/(SUM(E$10:OFFSET(E$10,$C$5-1,0,1,1))),(1/E23)/SUM(1/E$10:OFFSET(E$10,$C$5-1,0,1,1))),"")</f>
        <v>4.4727787897186802E-2</v>
      </c>
      <c r="F79" s="33">
        <f ca="1">IF(AND(ISNUMBER($B79),ISNUMBER(F$5)),IF(F$7=1,(F23)/(SUM(F$10:OFFSET(F$10,$C$5-1,0,1,1))),(1/F23)/SUM(1/F$10:OFFSET(F$10,$C$5-1,0,1,1))),"")</f>
        <v>2.6556324110671936E-2</v>
      </c>
      <c r="G79" s="33">
        <f ca="1">IF(AND(ISNUMBER($B79),ISNUMBER(G$5)),IF(G$7=1,(G23)/(SUM(G$10:OFFSET(G$10,$C$5-1,0,1,1))),(1/G23)/SUM(1/G$10:OFFSET(G$10,$C$5-1,0,1,1))),"")</f>
        <v>2.681678607983623E-2</v>
      </c>
      <c r="H79" s="33">
        <f ca="1">IF(AND(ISNUMBER($B79),ISNUMBER(H$5)),IF(H$7=1,(H23)/(SUM(H$10:OFFSET(H$10,$C$5-1,0,1,1))),(1/H23)/SUM(1/H$10:OFFSET(H$10,$C$5-1,0,1,1))),"")</f>
        <v>3.7951650636859881E-2</v>
      </c>
      <c r="I79" s="33">
        <f ca="1">IF(AND(ISNUMBER($B79),ISNUMBER(I$5)),IF(I$7=1,(I23)/(SUM(I$10:OFFSET(I$10,$C$5-1,0,1,1))),(1/I23)/SUM(1/I$10:OFFSET(I$10,$C$5-1,0,1,1))),"")</f>
        <v>3.7385900174791223E-2</v>
      </c>
      <c r="K79" s="14"/>
      <c r="L79" s="12">
        <v>14</v>
      </c>
      <c r="M79" s="13" t="s">
        <v>120</v>
      </c>
      <c r="N79" s="33">
        <f ca="1">IF(AND(ISNUMBER($L79),ISNUMBER(N$5)),IF(N$7=1,(N23)/(SUM(N$10:OFFSET(N$10,$M$5-1,0,1,1))),(1/N23)/SUM(1/N$10:OFFSET(N$10,$M$5-1,0,1,1))),"")</f>
        <v>2.3717948717948717E-2</v>
      </c>
      <c r="O79" s="33">
        <f ca="1">IF(AND(ISNUMBER($L79),ISNUMBER(O$5)),IF(O$7=1,(O23)/(SUM(O$10:OFFSET(O$10,$M$5-1,0,1,1))),(1/O23)/SUM(1/O$10:OFFSET(O$10,$M$5-1,0,1,1))),"")</f>
        <v>5.4121246892331235E-2</v>
      </c>
      <c r="P79" s="33">
        <f ca="1">IF(AND(ISNUMBER($L79),ISNUMBER(P$5)),IF(P$7=1,(P23)/(SUM(P$10:OFFSET(P$10,$M$5-1,0,1,1))),(1/P23)/SUM(1/P$10:OFFSET(P$10,$M$5-1,0,1,1))),"")</f>
        <v>4.5674842120722585E-2</v>
      </c>
      <c r="Q79" s="33">
        <f ca="1">IF(AND(ISNUMBER($L79),ISNUMBER(Q$5)),IF(Q$7=1,(Q23)/(SUM(Q$10:OFFSET(Q$10,$M$5-1,0,1,1))),(1/Q23)/SUM(1/Q$10:OFFSET(Q$10,$M$5-1,0,1,1))),"")</f>
        <v>2.4899444550852322E-2</v>
      </c>
      <c r="R79" s="33">
        <f ca="1">IF(AND(ISNUMBER($L79),ISNUMBER(R$5)),IF(R$7=1,(R23)/(SUM(R$10:OFFSET(R$10,$M$5-1,0,1,1))),(1/R23)/SUM(1/R$10:OFFSET(R$10,$M$5-1,0,1,1))),"")</f>
        <v>4.0241707379789139E-2</v>
      </c>
      <c r="S79" s="33">
        <f ca="1">IF(AND(ISNUMBER($L79),ISNUMBER(S$5)),IF(S$7=1,(S23)/(SUM(S$10:OFFSET(S$10,$M$5-1,0,1,1))),(1/S23)/SUM(1/S$10:OFFSET(S$10,$M$5-1,0,1,1))),"")</f>
        <v>3.6696330366963306E-2</v>
      </c>
      <c r="U79" s="14"/>
      <c r="V79" s="12">
        <v>14</v>
      </c>
      <c r="W79" s="13" t="s">
        <v>120</v>
      </c>
      <c r="X79" s="33">
        <f ca="1">IF(AND(ISNUMBER($V79),ISNUMBER(X$5)),IF(X$7=1,(X23)/(SUM(X$10:OFFSET(X$10,$W$5-1,0,1,1))),(1/X23)/SUM(1/X$10:OFFSET(X$10,$W$5-1,0,1,1))),"")</f>
        <v>2.7442484266996799E-2</v>
      </c>
      <c r="Y79" s="33">
        <f ca="1">IF(AND(ISNUMBER($V79),ISNUMBER(Y$5)),IF(Y$7=1,(Y23)/(SUM(Y$10:OFFSET(Y$10,$W$5-1,0,1,1))),(1/Y23)/SUM(1/Y$10:OFFSET(Y$10,$W$5-1,0,1,1))),"")</f>
        <v>4.9557522123893818E-2</v>
      </c>
      <c r="Z79" s="33">
        <f ca="1">IF(AND(ISNUMBER($V79),ISNUMBER(Z$5)),IF(Z$7=1,(Z23)/(SUM(Z$10:OFFSET(Z$10,$W$5-1,0,1,1))),(1/Z23)/SUM(1/Z$10:OFFSET(Z$10,$W$5-1,0,1,1))),"")</f>
        <v>3.5290171083529019E-2</v>
      </c>
      <c r="AA79" s="33">
        <f ca="1">IF(AND(ISNUMBER($V79),ISNUMBER(AA$5)),IF(AA$7=1,(AA23)/(SUM(AA$10:OFFSET(AA$10,$W$5-1,0,1,1))),(1/AA23)/SUM(1/AA$10:OFFSET(AA$10,$W$5-1,0,1,1))),"")</f>
        <v>2.5826241836532753E-2</v>
      </c>
      <c r="AB79" s="33">
        <f ca="1">IF(AND(ISNUMBER($V79),ISNUMBER(AB$5)),IF(AB$7=1,(AB23)/(SUM(AB$10:OFFSET(AB$10,$W$5-1,0,1,1))),(1/AB23)/SUM(1/AB$10:OFFSET(AB$10,$W$5-1,0,1,1))),"")</f>
        <v>3.9102895553257487E-2</v>
      </c>
      <c r="AC79" s="33">
        <f ca="1">IF(AND(ISNUMBER($V79),ISNUMBER(AC$5)),IF(AC$7=1,(AC23)/(SUM(AC$10:OFFSET(AC$10,$W$5-1,0,1,1))),(1/AC23)/SUM(1/AC$10:OFFSET(AC$10,$W$5-1,0,1,1))),"")</f>
        <v>3.7046159909355135E-2</v>
      </c>
    </row>
    <row r="80" spans="1:29" ht="12.75" customHeight="1">
      <c r="A80" s="14"/>
      <c r="B80" s="12">
        <v>15</v>
      </c>
      <c r="C80" s="13" t="s">
        <v>121</v>
      </c>
      <c r="D80" s="33">
        <f ca="1">IF(AND(ISNUMBER($B80),ISNUMBER(D$5)),IF(D$7=1,(D24)/(SUM(D$10:OFFSET(D$10,$C$5-1,0,1,1))),(1/D24)/SUM(1/D$10:OFFSET(D$10,$C$5-1,0,1,1))),"")</f>
        <v>5.8647516457211252E-2</v>
      </c>
      <c r="E80" s="33">
        <f ca="1">IF(AND(ISNUMBER($B80),ISNUMBER(E$5)),IF(E$7=1,(E24)/(SUM(E$10:OFFSET(E$10,$C$5-1,0,1,1))),(1/E24)/SUM(1/E$10:OFFSET(E$10,$C$5-1,0,1,1))),"")</f>
        <v>5.6466302367941708E-2</v>
      </c>
      <c r="F80" s="33">
        <f ca="1">IF(AND(ISNUMBER($B80),ISNUMBER(F$5)),IF(F$7=1,(F24)/(SUM(F$10:OFFSET(F$10,$C$5-1,0,1,1))),(1/F24)/SUM(1/F$10:OFFSET(F$10,$C$5-1,0,1,1))),"")</f>
        <v>4.45899209486166E-2</v>
      </c>
      <c r="G80" s="33">
        <f ca="1">IF(AND(ISNUMBER($B80),ISNUMBER(G$5)),IF(G$7=1,(G24)/(SUM(G$10:OFFSET(G$10,$C$5-1,0,1,1))),(1/G24)/SUM(1/G$10:OFFSET(G$10,$C$5-1,0,1,1))),"")</f>
        <v>6.3254861821903777E-2</v>
      </c>
      <c r="H80" s="33">
        <f ca="1">IF(AND(ISNUMBER($B80),ISNUMBER(H$5)),IF(H$7=1,(H24)/(SUM(H$10:OFFSET(H$10,$C$5-1,0,1,1))),(1/H24)/SUM(1/H$10:OFFSET(H$10,$C$5-1,0,1,1))),"")</f>
        <v>4.2370678450740829E-2</v>
      </c>
      <c r="I80" s="33">
        <f ca="1">IF(AND(ISNUMBER($B80),ISNUMBER(I$5)),IF(I$7=1,(I24)/(SUM(I$10:OFFSET(I$10,$C$5-1,0,1,1))),(1/I24)/SUM(1/I$10:OFFSET(I$10,$C$5-1,0,1,1))),"")</f>
        <v>5.5350553505535055E-2</v>
      </c>
      <c r="K80" s="14"/>
      <c r="L80" s="12">
        <v>15</v>
      </c>
      <c r="M80" s="13" t="s">
        <v>121</v>
      </c>
      <c r="N80" s="33">
        <f ca="1">IF(AND(ISNUMBER($L80),ISNUMBER(N$5)),IF(N$7=1,(N24)/(SUM(N$10:OFFSET(N$10,$M$5-1,0,1,1))),(1/N24)/SUM(1/N$10:OFFSET(N$10,$M$5-1,0,1,1))),"")</f>
        <v>6.2606837606837606E-2</v>
      </c>
      <c r="O80" s="33">
        <f ca="1">IF(AND(ISNUMBER($L80),ISNUMBER(O$5)),IF(O$7=1,(O24)/(SUM(O$10:OFFSET(O$10,$M$5-1,0,1,1))),(1/O24)/SUM(1/O$10:OFFSET(O$10,$M$5-1,0,1,1))),"")</f>
        <v>5.3356282271944923E-2</v>
      </c>
      <c r="P80" s="33">
        <f ca="1">IF(AND(ISNUMBER($L80),ISNUMBER(P$5)),IF(P$7=1,(P24)/(SUM(P$10:OFFSET(P$10,$M$5-1,0,1,1))),(1/P24)/SUM(1/P$10:OFFSET(P$10,$M$5-1,0,1,1))),"")</f>
        <v>4.1122044353062132E-2</v>
      </c>
      <c r="Q80" s="33">
        <f ca="1">IF(AND(ISNUMBER($L80),ISNUMBER(Q$5)),IF(Q$7=1,(Q24)/(SUM(Q$10:OFFSET(Q$10,$M$5-1,0,1,1))),(1/Q24)/SUM(1/Q$10:OFFSET(Q$10,$M$5-1,0,1,1))),"")</f>
        <v>5.8992530166634728E-2</v>
      </c>
      <c r="R80" s="33">
        <f ca="1">IF(AND(ISNUMBER($L80),ISNUMBER(R$5)),IF(R$7=1,(R24)/(SUM(R$10:OFFSET(R$10,$M$5-1,0,1,1))),(1/R24)/SUM(1/R$10:OFFSET(R$10,$M$5-1,0,1,1))),"")</f>
        <v>4.2684494728722031E-2</v>
      </c>
      <c r="S80" s="33">
        <f ca="1">IF(AND(ISNUMBER($L80),ISNUMBER(S$5)),IF(S$7=1,(S24)/(SUM(S$10:OFFSET(S$10,$M$5-1,0,1,1))),(1/S24)/SUM(1/S$10:OFFSET(S$10,$M$5-1,0,1,1))),"")</f>
        <v>5.2494750524947502E-2</v>
      </c>
      <c r="U80" s="14"/>
      <c r="V80" s="12">
        <v>15</v>
      </c>
      <c r="W80" s="13" t="s">
        <v>121</v>
      </c>
      <c r="X80" s="33">
        <f ca="1">IF(AND(ISNUMBER($V80),ISNUMBER(X$5)),IF(X$7=1,(X24)/(SUM(X$10:OFFSET(X$10,$W$5-1,0,1,1))),(1/X24)/SUM(1/X$10:OFFSET(X$10,$W$5-1,0,1,1))),"")</f>
        <v>6.0559166408748574E-2</v>
      </c>
      <c r="Y80" s="33">
        <f ca="1">IF(AND(ISNUMBER($V80),ISNUMBER(Y$5)),IF(Y$7=1,(Y24)/(SUM(Y$10:OFFSET(Y$10,$W$5-1,0,1,1))),(1/Y24)/SUM(1/Y$10:OFFSET(Y$10,$W$5-1,0,1,1))),"")</f>
        <v>5.4867256637168148E-2</v>
      </c>
      <c r="Z80" s="33">
        <f ca="1">IF(AND(ISNUMBER($V80),ISNUMBER(Z$5)),IF(Z$7=1,(Z24)/(SUM(Z$10:OFFSET(Z$10,$W$5-1,0,1,1))),(1/Z24)/SUM(1/Z$10:OFFSET(Z$10,$W$5-1,0,1,1))),"")</f>
        <v>4.3005702784300569E-2</v>
      </c>
      <c r="AA80" s="33">
        <f ca="1">IF(AND(ISNUMBER($V80),ISNUMBER(AA$5)),IF(AA$7=1,(AA24)/(SUM(AA$10:OFFSET(AA$10,$W$5-1,0,1,1))),(1/AA24)/SUM(1/AA$10:OFFSET(AA$10,$W$5-1,0,1,1))),"")</f>
        <v>6.1052839897090837E-2</v>
      </c>
      <c r="AB80" s="33">
        <f ca="1">IF(AND(ISNUMBER($V80),ISNUMBER(AB$5)),IF(AB$7=1,(AB24)/(SUM(AB$10:OFFSET(AB$10,$W$5-1,0,1,1))),(1/AB24)/SUM(1/AB$10:OFFSET(AB$10,$W$5-1,0,1,1))),"")</f>
        <v>4.2528438469493279E-2</v>
      </c>
      <c r="AC80" s="33">
        <f ca="1">IF(AND(ISNUMBER($V80),ISNUMBER(AC$5)),IF(AC$7=1,(AC24)/(SUM(AC$10:OFFSET(AC$10,$W$5-1,0,1,1))),(1/AC24)/SUM(1/AC$10:OFFSET(AC$10,$W$5-1,0,1,1))),"")</f>
        <v>5.3943544016946642E-2</v>
      </c>
    </row>
    <row r="81" spans="1:29" ht="12.75" customHeight="1">
      <c r="A81" s="14"/>
      <c r="B81" s="12">
        <v>16</v>
      </c>
      <c r="C81" s="13" t="s">
        <v>122</v>
      </c>
      <c r="D81" s="33">
        <f ca="1">IF(AND(ISNUMBER($B81),ISNUMBER(D$5)),IF(D$7=1,(D25)/(SUM(D$10:OFFSET(D$10,$C$5-1,0,1,1))),(1/D25)/SUM(1/D$10:OFFSET(D$10,$C$5-1,0,1,1))),"")</f>
        <v>3.3911829243965692E-2</v>
      </c>
      <c r="E81" s="33">
        <f ca="1">IF(AND(ISNUMBER($B81),ISNUMBER(E$5)),IF(E$7=1,(E25)/(SUM(E$10:OFFSET(E$10,$C$5-1,0,1,1))),(1/E25)/SUM(1/E$10:OFFSET(E$10,$C$5-1,0,1,1))),"")</f>
        <v>5.0597045132564258E-2</v>
      </c>
      <c r="F81" s="33">
        <f ca="1">IF(AND(ISNUMBER($B81),ISNUMBER(F$5)),IF(F$7=1,(F25)/(SUM(F$10:OFFSET(F$10,$C$5-1,0,1,1))),(1/F25)/SUM(1/F$10:OFFSET(F$10,$C$5-1,0,1,1))),"")</f>
        <v>3.5449604743083001E-2</v>
      </c>
      <c r="G81" s="33">
        <f ca="1">IF(AND(ISNUMBER($B81),ISNUMBER(G$5)),IF(G$7=1,(G25)/(SUM(G$10:OFFSET(G$10,$C$5-1,0,1,1))),(1/G25)/SUM(1/G$10:OFFSET(G$10,$C$5-1,0,1,1))),"")</f>
        <v>4.9334698055271235E-2</v>
      </c>
      <c r="H81" s="33">
        <f ca="1">IF(AND(ISNUMBER($B81),ISNUMBER(H$5)),IF(H$7=1,(H25)/(SUM(H$10:OFFSET(H$10,$C$5-1,0,1,1))),(1/H25)/SUM(1/H$10:OFFSET(H$10,$C$5-1,0,1,1))),"")</f>
        <v>6.1606446581751996E-2</v>
      </c>
      <c r="I81" s="33">
        <f ca="1">IF(AND(ISNUMBER($B81),ISNUMBER(I$5)),IF(I$7=1,(I25)/(SUM(I$10:OFFSET(I$10,$C$5-1,0,1,1))),(1/I25)/SUM(1/I$10:OFFSET(I$10,$C$5-1,0,1,1))),"")</f>
        <v>4.4377549038648288E-2</v>
      </c>
      <c r="K81" s="14"/>
      <c r="L81" s="12">
        <v>16</v>
      </c>
      <c r="M81" s="13" t="s">
        <v>122</v>
      </c>
      <c r="N81" s="33">
        <f ca="1">IF(AND(ISNUMBER($L81),ISNUMBER(N$5)),IF(N$7=1,(N25)/(SUM(N$10:OFFSET(N$10,$M$5-1,0,1,1))),(1/N25)/SUM(1/N$10:OFFSET(N$10,$M$5-1,0,1,1))),"")</f>
        <v>3.653846153846154E-2</v>
      </c>
      <c r="O81" s="33">
        <f ca="1">IF(AND(ISNUMBER($L81),ISNUMBER(O$5)),IF(O$7=1,(O25)/(SUM(O$10:OFFSET(O$10,$M$5-1,0,1,1))),(1/O25)/SUM(1/O$10:OFFSET(O$10,$M$5-1,0,1,1))),"")</f>
        <v>5.584241728820042E-2</v>
      </c>
      <c r="P81" s="33">
        <f ca="1">IF(AND(ISNUMBER($L81),ISNUMBER(P$5)),IF(P$7=1,(P25)/(SUM(P$10:OFFSET(P$10,$M$5-1,0,1,1))),(1/P25)/SUM(1/P$10:OFFSET(P$10,$M$5-1,0,1,1))),"")</f>
        <v>2.7610515494198861E-2</v>
      </c>
      <c r="Q81" s="33">
        <f ca="1">IF(AND(ISNUMBER($L81),ISNUMBER(Q$5)),IF(Q$7=1,(Q25)/(SUM(Q$10:OFFSET(Q$10,$M$5-1,0,1,1))),(1/Q25)/SUM(1/Q$10:OFFSET(Q$10,$M$5-1,0,1,1))),"")</f>
        <v>5.1331162612526321E-2</v>
      </c>
      <c r="R81" s="33">
        <f ca="1">IF(AND(ISNUMBER($L81),ISNUMBER(R$5)),IF(R$7=1,(R25)/(SUM(R$10:OFFSET(R$10,$M$5-1,0,1,1))),(1/R25)/SUM(1/R$10:OFFSET(R$10,$M$5-1,0,1,1))),"")</f>
        <v>5.8884031884803276E-2</v>
      </c>
      <c r="S81" s="33">
        <f ca="1">IF(AND(ISNUMBER($L81),ISNUMBER(S$5)),IF(S$7=1,(S25)/(SUM(S$10:OFFSET(S$10,$M$5-1,0,1,1))),(1/S25)/SUM(1/S$10:OFFSET(S$10,$M$5-1,0,1,1))),"")</f>
        <v>4.4795520447955199E-2</v>
      </c>
      <c r="U81" s="14"/>
      <c r="V81" s="12">
        <v>16</v>
      </c>
      <c r="W81" s="13" t="s">
        <v>122</v>
      </c>
      <c r="X81" s="33">
        <f ca="1">IF(AND(ISNUMBER($V81),ISNUMBER(X$5)),IF(X$7=1,(X25)/(SUM(X$10:OFFSET(X$10,$W$5-1,0,1,1))),(1/X25)/SUM(1/X$10:OFFSET(X$10,$W$5-1,0,1,1))),"")</f>
        <v>3.5180026823480856E-2</v>
      </c>
      <c r="Y81" s="33">
        <f ca="1">IF(AND(ISNUMBER($V81),ISNUMBER(Y$5)),IF(Y$7=1,(Y25)/(SUM(Y$10:OFFSET(Y$10,$W$5-1,0,1,1))),(1/Y25)/SUM(1/Y$10:OFFSET(Y$10,$W$5-1,0,1,1))),"")</f>
        <v>5.3294001966568347E-2</v>
      </c>
      <c r="Z81" s="33">
        <f ca="1">IF(AND(ISNUMBER($V81),ISNUMBER(Z$5)),IF(Z$7=1,(Z25)/(SUM(Z$10:OFFSET(Z$10,$W$5-1,0,1,1))),(1/Z25)/SUM(1/Z$10:OFFSET(Z$10,$W$5-1,0,1,1))),"")</f>
        <v>3.1868500503186847E-2</v>
      </c>
      <c r="AA81" s="33">
        <f ca="1">IF(AND(ISNUMBER($V81),ISNUMBER(AA$5)),IF(AA$7=1,(AA25)/(SUM(AA$10:OFFSET(AA$10,$W$5-1,0,1,1))),(1/AA25)/SUM(1/AA$10:OFFSET(AA$10,$W$5-1,0,1,1))),"")</f>
        <v>5.0366119137146254E-2</v>
      </c>
      <c r="AB81" s="33">
        <f ca="1">IF(AND(ISNUMBER($V81),ISNUMBER(AB$5)),IF(AB$7=1,(AB25)/(SUM(AB$10:OFFSET(AB$10,$W$5-1,0,1,1))),(1/AB25)/SUM(1/AB$10:OFFSET(AB$10,$W$5-1,0,1,1))),"")</f>
        <v>6.0237849017580128E-2</v>
      </c>
      <c r="AC81" s="33">
        <f ca="1">IF(AND(ISNUMBER($V81),ISNUMBER(AC$5)),IF(AC$7=1,(AC25)/(SUM(AC$10:OFFSET(AC$10,$W$5-1,0,1,1))),(1/AC25)/SUM(1/AC$10:OFFSET(AC$10,$W$5-1,0,1,1))),"")</f>
        <v>4.4583477018572334E-2</v>
      </c>
    </row>
    <row r="82" spans="1:29" ht="14.25" customHeight="1">
      <c r="A82" s="14"/>
      <c r="B82" s="12">
        <v>17</v>
      </c>
      <c r="C82" s="13" t="s">
        <v>123</v>
      </c>
      <c r="D82" s="33">
        <f ca="1">IF(AND(ISNUMBER($B82),ISNUMBER(D$5)),IF(D$7=1,(D26)/(SUM(D$10:OFFSET(D$10,$C$5-1,0,1,1))),(1/D26)/SUM(1/D$10:OFFSET(D$10,$C$5-1,0,1,1))),"")</f>
        <v>2.2740873728306406E-2</v>
      </c>
      <c r="E82" s="33">
        <f ca="1">IF(AND(ISNUMBER($B82),ISNUMBER(E$5)),IF(E$7=1,(E26)/(SUM(E$10:OFFSET(E$10,$C$5-1,0,1,1))),(1/E26)/SUM(1/E$10:OFFSET(E$10,$C$5-1,0,1,1))),"")</f>
        <v>3.1977332523780613E-2</v>
      </c>
      <c r="F82" s="33">
        <f ca="1">IF(AND(ISNUMBER($B82),ISNUMBER(F$5)),IF(F$7=1,(F26)/(SUM(F$10:OFFSET(F$10,$C$5-1,0,1,1))),(1/F26)/SUM(1/F$10:OFFSET(F$10,$C$5-1,0,1,1))),"")</f>
        <v>3.5696640316205529E-2</v>
      </c>
      <c r="G82" s="33">
        <f ca="1">IF(AND(ISNUMBER($B82),ISNUMBER(G$5)),IF(G$7=1,(G26)/(SUM(G$10:OFFSET(G$10,$C$5-1,0,1,1))),(1/G26)/SUM(1/G$10:OFFSET(G$10,$C$5-1,0,1,1))),"")</f>
        <v>2.6612077789150458E-3</v>
      </c>
      <c r="H82" s="33">
        <f ca="1">IF(AND(ISNUMBER($B82),ISNUMBER(H$5)),IF(H$7=1,(H26)/(SUM(H$10:OFFSET(H$10,$C$5-1,0,1,1))),(1/H26)/SUM(1/H$10:OFFSET(H$10,$C$5-1,0,1,1))),"")</f>
        <v>3.3792565635560171E-2</v>
      </c>
      <c r="I82" s="33">
        <f ca="1">IF(AND(ISNUMBER($B82),ISNUMBER(I$5)),IF(I$7=1,(I26)/(SUM(I$10:OFFSET(I$10,$C$5-1,0,1,1))),(1/I26)/SUM(1/I$10:OFFSET(I$10,$C$5-1,0,1,1))),"")</f>
        <v>2.3499708681297339E-2</v>
      </c>
      <c r="K82" s="14"/>
      <c r="L82" s="12">
        <v>17</v>
      </c>
      <c r="M82" s="13" t="s">
        <v>123</v>
      </c>
      <c r="N82" s="33">
        <f ca="1">IF(AND(ISNUMBER($L82),ISNUMBER(N$5)),IF(N$7=1,(N26)/(SUM(N$10:OFFSET(N$10,$M$5-1,0,1,1))),(1/N26)/SUM(1/N$10:OFFSET(N$10,$M$5-1,0,1,1))),"")</f>
        <v>2.4358974358974359E-2</v>
      </c>
      <c r="O82" s="33">
        <f ca="1">IF(AND(ISNUMBER($L82),ISNUMBER(O$5)),IF(O$7=1,(O26)/(SUM(O$10:OFFSET(O$10,$M$5-1,0,1,1))),(1/O26)/SUM(1/O$10:OFFSET(O$10,$M$5-1,0,1,1))),"")</f>
        <v>2.2375215146299483E-2</v>
      </c>
      <c r="P82" s="33">
        <f ca="1">IF(AND(ISNUMBER($L82),ISNUMBER(P$5)),IF(P$7=1,(P26)/(SUM(P$10:OFFSET(P$10,$M$5-1,0,1,1))),(1/P26)/SUM(1/P$10:OFFSET(P$10,$M$5-1,0,1,1))),"")</f>
        <v>3.7891026582464397E-2</v>
      </c>
      <c r="Q82" s="33">
        <f ca="1">IF(AND(ISNUMBER($L82),ISNUMBER(Q$5)),IF(Q$7=1,(Q26)/(SUM(Q$10:OFFSET(Q$10,$M$5-1,0,1,1))),(1/Q26)/SUM(1/Q$10:OFFSET(Q$10,$M$5-1,0,1,1))),"")</f>
        <v>2.4899444550852321E-3</v>
      </c>
      <c r="R82" s="33">
        <f ca="1">IF(AND(ISNUMBER($L82),ISNUMBER(R$5)),IF(R$7=1,(R26)/(SUM(R$10:OFFSET(R$10,$M$5-1,0,1,1))),(1/R26)/SUM(1/R$10:OFFSET(R$10,$M$5-1,0,1,1))),"")</f>
        <v>2.8156338390331697E-2</v>
      </c>
      <c r="S82" s="33">
        <f ca="1">IF(AND(ISNUMBER($L82),ISNUMBER(S$5)),IF(S$7=1,(S26)/(SUM(S$10:OFFSET(S$10,$M$5-1,0,1,1))),(1/S26)/SUM(1/S$10:OFFSET(S$10,$M$5-1,0,1,1))),"")</f>
        <v>2.3597640235976405E-2</v>
      </c>
      <c r="U82" s="14"/>
      <c r="V82" s="12">
        <v>17</v>
      </c>
      <c r="W82" s="13" t="s">
        <v>123</v>
      </c>
      <c r="X82" s="33">
        <f ca="1">IF(AND(ISNUMBER($V82),ISNUMBER(X$5)),IF(X$7=1,(X26)/(SUM(X$10:OFFSET(X$10,$W$5-1,0,1,1))),(1/X26)/SUM(1/X$10:OFFSET(X$10,$W$5-1,0,1,1))),"")</f>
        <v>2.3522129371711539E-2</v>
      </c>
      <c r="Y82" s="33">
        <f ca="1">IF(AND(ISNUMBER($V82),ISNUMBER(Y$5)),IF(Y$7=1,(Y26)/(SUM(Y$10:OFFSET(Y$10,$W$5-1,0,1,1))),(1/Y26)/SUM(1/Y$10:OFFSET(Y$10,$W$5-1,0,1,1))),"")</f>
        <v>2.7040314650934122E-2</v>
      </c>
      <c r="Z82" s="33">
        <f ca="1">IF(AND(ISNUMBER($V82),ISNUMBER(Z$5)),IF(Z$7=1,(Z26)/(SUM(Z$10:OFFSET(Z$10,$W$5-1,0,1,1))),(1/Z26)/SUM(1/Z$10:OFFSET(Z$10,$W$5-1,0,1,1))),"")</f>
        <v>3.6699094263669914E-2</v>
      </c>
      <c r="AA82" s="33">
        <f ca="1">IF(AND(ISNUMBER($V82),ISNUMBER(AA$5)),IF(AA$7=1,(AA26)/(SUM(AA$10:OFFSET(AA$10,$W$5-1,0,1,1))),(1/AA26)/SUM(1/AA$10:OFFSET(AA$10,$W$5-1,0,1,1))),"")</f>
        <v>2.5727290718385119E-3</v>
      </c>
      <c r="AB82" s="33">
        <f ca="1">IF(AND(ISNUMBER($V82),ISNUMBER(AB$5)),IF(AB$7=1,(AB26)/(SUM(AB$10:OFFSET(AB$10,$W$5-1,0,1,1))),(1/AB26)/SUM(1/AB$10:OFFSET(AB$10,$W$5-1,0,1,1))),"")</f>
        <v>3.0959152016546011E-2</v>
      </c>
      <c r="AC82" s="33">
        <f ca="1">IF(AND(ISNUMBER($V82),ISNUMBER(AC$5)),IF(AC$7=1,(AC26)/(SUM(AC$10:OFFSET(AC$10,$W$5-1,0,1,1))),(1/AC26)/SUM(1/AC$10:OFFSET(AC$10,$W$5-1,0,1,1))),"")</f>
        <v>2.3547958027489033E-2</v>
      </c>
    </row>
    <row r="83" spans="1:29" ht="14.25" customHeight="1">
      <c r="A83" s="14"/>
      <c r="B83" s="12">
        <v>18</v>
      </c>
      <c r="C83" s="13" t="s">
        <v>124</v>
      </c>
      <c r="D83" s="33">
        <f ca="1">IF(AND(ISNUMBER($B83),ISNUMBER(D$5)),IF(D$7=1,(D27)/(SUM(D$10:OFFSET(D$10,$C$5-1,0,1,1))),(1/D27)/SUM(1/D$10:OFFSET(D$10,$C$5-1,0,1,1))),"")</f>
        <v>4.5082784759624982E-2</v>
      </c>
      <c r="E83" s="33">
        <f ca="1">IF(AND(ISNUMBER($B83),ISNUMBER(E$5)),IF(E$7=1,(E27)/(SUM(E$10:OFFSET(E$10,$C$5-1,0,1,1))),(1/E27)/SUM(1/E$10:OFFSET(E$10,$C$5-1,0,1,1))),"")</f>
        <v>3.1977332523780613E-2</v>
      </c>
      <c r="F83" s="33">
        <f ca="1">IF(AND(ISNUMBER($B83),ISNUMBER(F$5)),IF(F$7=1,(F27)/(SUM(F$10:OFFSET(F$10,$C$5-1,0,1,1))),(1/F27)/SUM(1/F$10:OFFSET(F$10,$C$5-1,0,1,1))),"")</f>
        <v>6.25E-2</v>
      </c>
      <c r="G83" s="33">
        <f ca="1">IF(AND(ISNUMBER($B83),ISNUMBER(G$5)),IF(G$7=1,(G27)/(SUM(G$10:OFFSET(G$10,$C$5-1,0,1,1))),(1/G27)/SUM(1/G$10:OFFSET(G$10,$C$5-1,0,1,1))),"")</f>
        <v>2.6202661207778914E-2</v>
      </c>
      <c r="H83" s="33">
        <f ca="1">IF(AND(ISNUMBER($B83),ISNUMBER(H$5)),IF(H$7=1,(H27)/(SUM(H$10:OFFSET(H$10,$C$5-1,0,1,1))),(1/H27)/SUM(1/H$10:OFFSET(H$10,$C$5-1,0,1,1))),"")</f>
        <v>5.4198076423186886E-2</v>
      </c>
      <c r="I83" s="33">
        <f ca="1">IF(AND(ISNUMBER($B83),ISNUMBER(I$5)),IF(I$7=1,(I27)/(SUM(I$10:OFFSET(I$10,$C$5-1,0,1,1))),(1/I27)/SUM(1/I$10:OFFSET(I$10,$C$5-1,0,1,1))),"")</f>
        <v>3.5735094193047191E-2</v>
      </c>
      <c r="K83" s="14"/>
      <c r="L83" s="12">
        <v>18</v>
      </c>
      <c r="M83" s="13" t="s">
        <v>124</v>
      </c>
      <c r="N83" s="33">
        <f ca="1">IF(AND(ISNUMBER($L83),ISNUMBER(N$5)),IF(N$7=1,(N27)/(SUM(N$10:OFFSET(N$10,$M$5-1,0,1,1))),(1/N27)/SUM(1/N$10:OFFSET(N$10,$M$5-1,0,1,1))),"")</f>
        <v>4.807692307692308E-2</v>
      </c>
      <c r="O83" s="33">
        <f ca="1">IF(AND(ISNUMBER($L83),ISNUMBER(O$5)),IF(O$7=1,(O27)/(SUM(O$10:OFFSET(O$10,$M$5-1,0,1,1))),(1/O27)/SUM(1/O$10:OFFSET(O$10,$M$5-1,0,1,1))),"")</f>
        <v>3.0216102505259135E-2</v>
      </c>
      <c r="P83" s="33">
        <f ca="1">IF(AND(ISNUMBER($L83),ISNUMBER(P$5)),IF(P$7=1,(P27)/(SUM(P$10:OFFSET(P$10,$M$5-1,0,1,1))),(1/P27)/SUM(1/P$10:OFFSET(P$10,$M$5-1,0,1,1))),"")</f>
        <v>6.3004846526655903E-2</v>
      </c>
      <c r="Q83" s="33">
        <f ca="1">IF(AND(ISNUMBER($L83),ISNUMBER(Q$5)),IF(Q$7=1,(Q27)/(SUM(Q$10:OFFSET(Q$10,$M$5-1,0,1,1))),(1/Q27)/SUM(1/Q$10:OFFSET(Q$10,$M$5-1,0,1,1))),"")</f>
        <v>2.4516376173146903E-2</v>
      </c>
      <c r="R83" s="33">
        <f ca="1">IF(AND(ISNUMBER($L83),ISNUMBER(R$5)),IF(R$7=1,(R27)/(SUM(R$10:OFFSET(R$10,$M$5-1,0,1,1))),(1/R27)/SUM(1/R$10:OFFSET(R$10,$M$5-1,0,1,1))),"")</f>
        <v>5.3612753921316522E-2</v>
      </c>
      <c r="S83" s="33">
        <f ca="1">IF(AND(ISNUMBER($L83),ISNUMBER(S$5)),IF(S$7=1,(S27)/(SUM(S$10:OFFSET(S$10,$M$5-1,0,1,1))),(1/S27)/SUM(1/S$10:OFFSET(S$10,$M$5-1,0,1,1))),"")</f>
        <v>3.4096590340965904E-2</v>
      </c>
      <c r="U83" s="14"/>
      <c r="V83" s="12">
        <v>18</v>
      </c>
      <c r="W83" s="13" t="s">
        <v>124</v>
      </c>
      <c r="X83" s="33">
        <f ca="1">IF(AND(ISNUMBER($V83),ISNUMBER(X$5)),IF(X$7=1,(X27)/(SUM(X$10:OFFSET(X$10,$W$5-1,0,1,1))),(1/X27)/SUM(1/X$10:OFFSET(X$10,$W$5-1,0,1,1))),"")</f>
        <v>4.6528422572990807E-2</v>
      </c>
      <c r="Y83" s="33">
        <f ca="1">IF(AND(ISNUMBER($V83),ISNUMBER(Y$5)),IF(Y$7=1,(Y27)/(SUM(Y$10:OFFSET(Y$10,$W$5-1,0,1,1))),(1/Y27)/SUM(1/Y$10:OFFSET(Y$10,$W$5-1,0,1,1))),"")</f>
        <v>3.107177974434612E-2</v>
      </c>
      <c r="Z83" s="33">
        <f ca="1">IF(AND(ISNUMBER($V83),ISNUMBER(Z$5)),IF(Z$7=1,(Z27)/(SUM(Z$10:OFFSET(Z$10,$W$5-1,0,1,1))),(1/Z27)/SUM(1/Z$10:OFFSET(Z$10,$W$5-1,0,1,1))),"")</f>
        <v>6.273062730627306E-2</v>
      </c>
      <c r="AA83" s="33">
        <f ca="1">IF(AND(ISNUMBER($V83),ISNUMBER(AA$5)),IF(AA$7=1,(AA27)/(SUM(AA$10:OFFSET(AA$10,$W$5-1,0,1,1))),(1/AA27)/SUM(1/AA$10:OFFSET(AA$10,$W$5-1,0,1,1))),"")</f>
        <v>2.5331486245794579E-2</v>
      </c>
      <c r="AB83" s="33">
        <f ca="1">IF(AND(ISNUMBER($V83),ISNUMBER(AB$5)),IF(AB$7=1,(AB27)/(SUM(AB$10:OFFSET(AB$10,$W$5-1,0,1,1))),(1/AB27)/SUM(1/AB$10:OFFSET(AB$10,$W$5-1,0,1,1))),"")</f>
        <v>5.3903826266804546E-2</v>
      </c>
      <c r="AC83" s="33">
        <f ca="1">IF(AND(ISNUMBER($V83),ISNUMBER(AC$5)),IF(AC$7=1,(AC27)/(SUM(AC$10:OFFSET(AC$10,$W$5-1,0,1,1))),(1/AC27)/SUM(1/AC$10:OFFSET(AC$10,$W$5-1,0,1,1))),"")</f>
        <v>3.4927828957091477E-2</v>
      </c>
    </row>
    <row r="84" spans="1:29" ht="14.25" customHeight="1">
      <c r="A84" s="14"/>
      <c r="B84" s="12">
        <v>19</v>
      </c>
      <c r="C84" s="13" t="s">
        <v>125</v>
      </c>
      <c r="D84" s="33">
        <f ca="1">IF(AND(ISNUMBER($B84),ISNUMBER(D$5)),IF(D$7=1,(D28)/(SUM(D$10:OFFSET(D$10,$C$5-1,0,1,1))),(1/D28)/SUM(1/D$10:OFFSET(D$10,$C$5-1,0,1,1))),"")</f>
        <v>1.9349690803909834E-2</v>
      </c>
      <c r="E84" s="33">
        <f ca="1">IF(AND(ISNUMBER($B84),ISNUMBER(E$5)),IF(E$7=1,(E28)/(SUM(E$10:OFFSET(E$10,$C$5-1,0,1,1))),(1/E28)/SUM(1/E$10:OFFSET(E$10,$C$5-1,0,1,1))),"")</f>
        <v>1.6798218984011334E-2</v>
      </c>
      <c r="F84" s="33">
        <f ca="1">IF(AND(ISNUMBER($B84),ISNUMBER(F$5)),IF(F$7=1,(F28)/(SUM(F$10:OFFSET(F$10,$C$5-1,0,1,1))),(1/F28)/SUM(1/F$10:OFFSET(F$10,$C$5-1,0,1,1))),"")</f>
        <v>3.0385375494071148E-2</v>
      </c>
      <c r="G84" s="33">
        <f ca="1">IF(AND(ISNUMBER($B84),ISNUMBER(G$5)),IF(G$7=1,(G28)/(SUM(G$10:OFFSET(G$10,$C$5-1,0,1,1))),(1/G28)/SUM(1/G$10:OFFSET(G$10,$C$5-1,0,1,1))),"")</f>
        <v>2.7430910951893549E-2</v>
      </c>
      <c r="H84" s="33">
        <f ca="1">IF(AND(ISNUMBER($B84),ISNUMBER(H$5)),IF(H$7=1,(H28)/(SUM(H$10:OFFSET(H$10,$C$5-1,0,1,1))),(1/H28)/SUM(1/H$10:OFFSET(H$10,$C$5-1,0,1,1))),"")</f>
        <v>3.1193137509747847E-2</v>
      </c>
      <c r="I84" s="33">
        <f ca="1">IF(AND(ISNUMBER($B84),ISNUMBER(I$5)),IF(I$7=1,(I28)/(SUM(I$10:OFFSET(I$10,$C$5-1,0,1,1))),(1/I28)/SUM(1/I$10:OFFSET(I$10,$C$5-1,0,1,1))),"")</f>
        <v>3.107399495047582E-2</v>
      </c>
      <c r="K84" s="14"/>
      <c r="L84" s="12">
        <v>19</v>
      </c>
      <c r="M84" s="13" t="s">
        <v>125</v>
      </c>
      <c r="N84" s="33">
        <f ca="1">IF(AND(ISNUMBER($L84),ISNUMBER(N$5)),IF(N$7=1,(N28)/(SUM(N$10:OFFSET(N$10,$M$5-1,0,1,1))),(1/N28)/SUM(1/N$10:OFFSET(N$10,$M$5-1,0,1,1))),"")</f>
        <v>2.7564102564102563E-2</v>
      </c>
      <c r="O84" s="33">
        <f ca="1">IF(AND(ISNUMBER($L84),ISNUMBER(O$5)),IF(O$7=1,(O28)/(SUM(O$10:OFFSET(O$10,$M$5-1,0,1,1))),(1/O28)/SUM(1/O$10:OFFSET(O$10,$M$5-1,0,1,1))),"")</f>
        <v>8.0321285140562259E-3</v>
      </c>
      <c r="P84" s="33">
        <f ca="1">IF(AND(ISNUMBER($L84),ISNUMBER(P$5)),IF(P$7=1,(P28)/(SUM(P$10:OFFSET(P$10,$M$5-1,0,1,1))),(1/P28)/SUM(1/P$10:OFFSET(P$10,$M$5-1,0,1,1))),"")</f>
        <v>2.6435599941254228E-2</v>
      </c>
      <c r="Q84" s="33">
        <f ca="1">IF(AND(ISNUMBER($L84),ISNUMBER(Q$5)),IF(Q$7=1,(Q28)/(SUM(Q$10:OFFSET(Q$10,$M$5-1,0,1,1))),(1/Q28)/SUM(1/Q$10:OFFSET(Q$10,$M$5-1,0,1,1))),"")</f>
        <v>2.566558130626316E-2</v>
      </c>
      <c r="R84" s="33">
        <f ca="1">IF(AND(ISNUMBER($L84),ISNUMBER(R$5)),IF(R$7=1,(R28)/(SUM(R$10:OFFSET(R$10,$M$5-1,0,1,1))),(1/R28)/SUM(1/R$10:OFFSET(R$10,$M$5-1,0,1,1))),"")</f>
        <v>3.1499100025713545E-2</v>
      </c>
      <c r="S84" s="33">
        <f ca="1">IF(AND(ISNUMBER($L84),ISNUMBER(S$5)),IF(S$7=1,(S28)/(SUM(S$10:OFFSET(S$10,$M$5-1,0,1,1))),(1/S28)/SUM(1/S$10:OFFSET(S$10,$M$5-1,0,1,1))),"")</f>
        <v>2.7397260273972601E-2</v>
      </c>
      <c r="U84" s="14"/>
      <c r="V84" s="12">
        <v>19</v>
      </c>
      <c r="W84" s="13" t="s">
        <v>125</v>
      </c>
      <c r="X84" s="33">
        <f ca="1">IF(AND(ISNUMBER($V84),ISNUMBER(X$5)),IF(X$7=1,(X28)/(SUM(X$10:OFFSET(X$10,$W$5-1,0,1,1))),(1/X28)/SUM(1/X$10:OFFSET(X$10,$W$5-1,0,1,1))),"")</f>
        <v>2.3315794903538634E-2</v>
      </c>
      <c r="Y84" s="33">
        <f ca="1">IF(AND(ISNUMBER($V84),ISNUMBER(Y$5)),IF(Y$7=1,(Y28)/(SUM(Y$10:OFFSET(Y$10,$W$5-1,0,1,1))),(1/Y28)/SUM(1/Y$10:OFFSET(Y$10,$W$5-1,0,1,1))),"")</f>
        <v>1.2291052114060966E-2</v>
      </c>
      <c r="Z84" s="33">
        <f ca="1">IF(AND(ISNUMBER($V84),ISNUMBER(Z$5)),IF(Z$7=1,(Z28)/(SUM(Z$10:OFFSET(Z$10,$W$5-1,0,1,1))),(1/Z28)/SUM(1/Z$10:OFFSET(Z$10,$W$5-1,0,1,1))),"")</f>
        <v>2.8581013082858101E-2</v>
      </c>
      <c r="AA84" s="33">
        <f ca="1">IF(AND(ISNUMBER($V84),ISNUMBER(AA$5)),IF(AA$7=1,(AA28)/(SUM(AA$10:OFFSET(AA$10,$W$5-1,0,1,1))),(1/AA28)/SUM(1/AA$10:OFFSET(AA$10,$W$5-1,0,1,1))),"")</f>
        <v>2.6518899663566197E-2</v>
      </c>
      <c r="AB84" s="33">
        <f ca="1">IF(AND(ISNUMBER($V84),ISNUMBER(AB$5)),IF(AB$7=1,(AB28)/(SUM(AB$10:OFFSET(AB$10,$W$5-1,0,1,1))),(1/AB28)/SUM(1/AB$10:OFFSET(AB$10,$W$5-1,0,1,1))),"")</f>
        <v>3.1346949327817987E-2</v>
      </c>
      <c r="AC84" s="33">
        <f ca="1">IF(AND(ISNUMBER($V84),ISNUMBER(AC$5)),IF(AC$7=1,(AC28)/(SUM(AC$10:OFFSET(AC$10,$W$5-1,0,1,1))),(1/AC28)/SUM(1/AC$10:OFFSET(AC$10,$W$5-1,0,1,1))),"")</f>
        <v>2.9262525247549135E-2</v>
      </c>
    </row>
    <row r="85" spans="1:29" ht="14.25" customHeight="1">
      <c r="A85" s="14"/>
      <c r="B85" s="12">
        <v>20</v>
      </c>
      <c r="C85" s="13" t="s">
        <v>126</v>
      </c>
      <c r="D85" s="33">
        <f ca="1">IF(AND(ISNUMBER($B85),ISNUMBER(D$5)),IF(D$7=1,(D29)/(SUM(D$10:OFFSET(D$10,$C$5-1,0,1,1))),(1/D29)/SUM(1/D$10:OFFSET(D$10,$C$5-1,0,1,1))),"")</f>
        <v>5.0468781168960711E-2</v>
      </c>
      <c r="E85" s="33">
        <f ca="1">IF(AND(ISNUMBER($B85),ISNUMBER(E$5)),IF(E$7=1,(E29)/(SUM(E$10:OFFSET(E$10,$C$5-1,0,1,1))),(1/E29)/SUM(1/E$10:OFFSET(E$10,$C$5-1,0,1,1))),"")</f>
        <v>4.1287188828172429E-2</v>
      </c>
      <c r="F85" s="33">
        <f ca="1">IF(AND(ISNUMBER($B85),ISNUMBER(F$5)),IF(F$7=1,(F29)/(SUM(F$10:OFFSET(F$10,$C$5-1,0,1,1))),(1/F29)/SUM(1/F$10:OFFSET(F$10,$C$5-1,0,1,1))),"")</f>
        <v>6.0400197628458496E-2</v>
      </c>
      <c r="G85" s="33">
        <f ca="1">IF(AND(ISNUMBER($B85),ISNUMBER(G$5)),IF(G$7=1,(G29)/(SUM(G$10:OFFSET(G$10,$C$5-1,0,1,1))),(1/G29)/SUM(1/G$10:OFFSET(G$10,$C$5-1,0,1,1))),"")</f>
        <v>2.681678607983623E-2</v>
      </c>
      <c r="H85" s="33">
        <f ca="1">IF(AND(ISNUMBER($B85),ISNUMBER(H$5)),IF(H$7=1,(H29)/(SUM(H$10:OFFSET(H$10,$C$5-1,0,1,1))),(1/H29)/SUM(1/H$10:OFFSET(H$10,$C$5-1,0,1,1))),"")</f>
        <v>3.7951650636859881E-2</v>
      </c>
      <c r="I85" s="33">
        <f ca="1">IF(AND(ISNUMBER($B85),ISNUMBER(I$5)),IF(I$7=1,(I29)/(SUM(I$10:OFFSET(I$10,$C$5-1,0,1,1))),(1/I29)/SUM(1/I$10:OFFSET(I$10,$C$5-1,0,1,1))),"")</f>
        <v>5.437949116333269E-2</v>
      </c>
      <c r="K85" s="14"/>
      <c r="L85" s="12">
        <v>20</v>
      </c>
      <c r="M85" s="13" t="s">
        <v>126</v>
      </c>
      <c r="N85" s="33">
        <f ca="1">IF(AND(ISNUMBER($L85),ISNUMBER(N$5)),IF(N$7=1,(N29)/(SUM(N$10:OFFSET(N$10,$M$5-1,0,1,1))),(1/N29)/SUM(1/N$10:OFFSET(N$10,$M$5-1,0,1,1))),"")</f>
        <v>4.6794871794871795E-2</v>
      </c>
      <c r="O85" s="33">
        <f ca="1">IF(AND(ISNUMBER($L85),ISNUMBER(O$5)),IF(O$7=1,(O29)/(SUM(O$10:OFFSET(O$10,$M$5-1,0,1,1))),(1/O29)/SUM(1/O$10:OFFSET(O$10,$M$5-1,0,1,1))),"")</f>
        <v>3.901319563970166E-2</v>
      </c>
      <c r="P85" s="33">
        <f ca="1">IF(AND(ISNUMBER($L85),ISNUMBER(P$5)),IF(P$7=1,(P29)/(SUM(P$10:OFFSET(P$10,$M$5-1,0,1,1))),(1/P29)/SUM(1/P$10:OFFSET(P$10,$M$5-1,0,1,1))),"")</f>
        <v>6.1536202085475118E-2</v>
      </c>
      <c r="Q85" s="33">
        <f ca="1">IF(AND(ISNUMBER($L85),ISNUMBER(Q$5)),IF(Q$7=1,(Q29)/(SUM(Q$10:OFFSET(Q$10,$M$5-1,0,1,1))),(1/Q29)/SUM(1/Q$10:OFFSET(Q$10,$M$5-1,0,1,1))),"")</f>
        <v>2.4899444550852322E-2</v>
      </c>
      <c r="R85" s="33">
        <f ca="1">IF(AND(ISNUMBER($L85),ISNUMBER(R$5)),IF(R$7=1,(R29)/(SUM(R$10:OFFSET(R$10,$M$5-1,0,1,1))),(1/R29)/SUM(1/R$10:OFFSET(R$10,$M$5-1,0,1,1))),"")</f>
        <v>4.3327333504757003E-2</v>
      </c>
      <c r="S85" s="33">
        <f ca="1">IF(AND(ISNUMBER($L85),ISNUMBER(S$5)),IF(S$7=1,(S29)/(SUM(S$10:OFFSET(S$10,$M$5-1,0,1,1))),(1/S29)/SUM(1/S$10:OFFSET(S$10,$M$5-1,0,1,1))),"")</f>
        <v>5.7694230576942306E-2</v>
      </c>
      <c r="U85" s="14"/>
      <c r="V85" s="12">
        <v>20</v>
      </c>
      <c r="W85" s="13" t="s">
        <v>126</v>
      </c>
      <c r="X85" s="33">
        <f ca="1">IF(AND(ISNUMBER($V85),ISNUMBER(X$5)),IF(X$7=1,(X29)/(SUM(X$10:OFFSET(X$10,$W$5-1,0,1,1))),(1/X29)/SUM(1/X$10:OFFSET(X$10,$W$5-1,0,1,1))),"")</f>
        <v>4.8694934488806352E-2</v>
      </c>
      <c r="Y85" s="33">
        <f ca="1">IF(AND(ISNUMBER($V85),ISNUMBER(Y$5)),IF(Y$7=1,(Y29)/(SUM(Y$10:OFFSET(Y$10,$W$5-1,0,1,1))),(1/Y29)/SUM(1/Y$10:OFFSET(Y$10,$W$5-1,0,1,1))),"")</f>
        <v>4.0117994100294985E-2</v>
      </c>
      <c r="Z85" s="33">
        <f ca="1">IF(AND(ISNUMBER($V85),ISNUMBER(Z$5)),IF(Z$7=1,(Z29)/(SUM(Z$10:OFFSET(Z$10,$W$5-1,0,1,1))),(1/Z29)/SUM(1/Z$10:OFFSET(Z$10,$W$5-1,0,1,1))),"")</f>
        <v>6.0919154646091912E-2</v>
      </c>
      <c r="AA85" s="33">
        <f ca="1">IF(AND(ISNUMBER($V85),ISNUMBER(AA$5)),IF(AA$7=1,(AA29)/(SUM(AA$10:OFFSET(AA$10,$W$5-1,0,1,1))),(1/AA29)/SUM(1/AA$10:OFFSET(AA$10,$W$5-1,0,1,1))),"")</f>
        <v>2.5826241836532753E-2</v>
      </c>
      <c r="AB85" s="33">
        <f ca="1">IF(AND(ISNUMBER($V85),ISNUMBER(AB$5)),IF(AB$7=1,(AB29)/(SUM(AB$10:OFFSET(AB$10,$W$5-1,0,1,1))),(1/AB29)/SUM(1/AB$10:OFFSET(AB$10,$W$5-1,0,1,1))),"")</f>
        <v>4.0654084798345397E-2</v>
      </c>
      <c r="AC85" s="33">
        <f ca="1">IF(AND(ISNUMBER($V85),ISNUMBER(AC$5)),IF(AC$7=1,(AC29)/(SUM(AC$10:OFFSET(AC$10,$W$5-1,0,1,1))),(1/AC29)/SUM(1/AC$10:OFFSET(AC$10,$W$5-1,0,1,1))),"")</f>
        <v>5.6012611458692539E-2</v>
      </c>
    </row>
    <row r="86" spans="1:29" ht="14.25" customHeight="1" thickBot="1">
      <c r="A86" s="14"/>
      <c r="B86" s="12">
        <v>21</v>
      </c>
      <c r="C86" s="13" t="s">
        <v>127</v>
      </c>
      <c r="D86" s="33">
        <f ca="1">IF(AND(ISNUMBER($B86),ISNUMBER(D$5)),IF(D$7=1,(D30)/(SUM(D$10:OFFSET(D$10,$C$5-1,0,1,1))),(1/D30)/SUM(1/D$10:OFFSET(D$10,$C$5-1,0,1,1))),"")</f>
        <v>1.8352284061440256E-2</v>
      </c>
      <c r="E86" s="33">
        <f ca="1">IF(AND(ISNUMBER($B86),ISNUMBER(E$5)),IF(E$7=1,(E30)/(SUM(E$10:OFFSET(E$10,$C$5-1,0,1,1))),(1/E30)/SUM(1/E$10:OFFSET(E$10,$C$5-1,0,1,1))),"")</f>
        <v>1.6798218984011334E-2</v>
      </c>
      <c r="F86" s="33">
        <f ca="1">IF(AND(ISNUMBER($B86),ISNUMBER(F$5)),IF(F$7=1,(F30)/(SUM(F$10:OFFSET(F$10,$C$5-1,0,1,1))),(1/F30)/SUM(1/F$10:OFFSET(F$10,$C$5-1,0,1,1))),"")</f>
        <v>3.0508893280632408E-2</v>
      </c>
      <c r="G86" s="33">
        <f ca="1">IF(AND(ISNUMBER($B86),ISNUMBER(G$5)),IF(G$7=1,(G30)/(SUM(G$10:OFFSET(G$10,$C$5-1,0,1,1))),(1/G30)/SUM(1/G$10:OFFSET(G$10,$C$5-1,0,1,1))),"")</f>
        <v>2.4564994882292732E-2</v>
      </c>
      <c r="H86" s="33">
        <f ca="1">IF(AND(ISNUMBER($B86),ISNUMBER(H$5)),IF(H$7=1,(H30)/(SUM(H$10:OFFSET(H$10,$C$5-1,0,1,1))),(1/H30)/SUM(1/H$10:OFFSET(H$10,$C$5-1,0,1,1))),"")</f>
        <v>4.8739277358981009E-2</v>
      </c>
      <c r="I86" s="33">
        <f ca="1">IF(AND(ISNUMBER($B86),ISNUMBER(I$5)),IF(I$7=1,(I30)/(SUM(I$10:OFFSET(I$10,$C$5-1,0,1,1))),(1/I30)/SUM(1/I$10:OFFSET(I$10,$C$5-1,0,1,1))),"")</f>
        <v>2.6995533113225872E-2</v>
      </c>
      <c r="K86" s="14"/>
      <c r="L86" s="12">
        <v>21</v>
      </c>
      <c r="M86" s="13" t="s">
        <v>127</v>
      </c>
      <c r="N86" s="33">
        <f ca="1">IF(AND(ISNUMBER($L86),ISNUMBER(N$5)),IF(N$7=1,(N30)/(SUM(N$10:OFFSET(N$10,$M$5-1,0,1,1))),(1/N30)/SUM(1/N$10:OFFSET(N$10,$M$5-1,0,1,1))),"")</f>
        <v>1.7094017094017094E-3</v>
      </c>
      <c r="O86" s="33">
        <f ca="1">IF(AND(ISNUMBER($L86),ISNUMBER(O$5)),IF(O$7=1,(O30)/(SUM(O$10:OFFSET(O$10,$M$5-1,0,1,1))),(1/O30)/SUM(1/O$10:OFFSET(O$10,$M$5-1,0,1,1))),"")</f>
        <v>8.0321285140562259E-3</v>
      </c>
      <c r="P86" s="33">
        <f ca="1">IF(AND(ISNUMBER($L86),ISNUMBER(P$5)),IF(P$7=1,(P30)/(SUM(P$10:OFFSET(P$10,$M$5-1,0,1,1))),(1/P30)/SUM(1/P$10:OFFSET(P$10,$M$5-1,0,1,1))),"")</f>
        <v>2.5701277720663832E-2</v>
      </c>
      <c r="Q86" s="33">
        <f ca="1">IF(AND(ISNUMBER($L86),ISNUMBER(Q$5)),IF(Q$7=1,(Q30)/(SUM(Q$10:OFFSET(Q$10,$M$5-1,0,1,1))),(1/Q30)/SUM(1/Q$10:OFFSET(Q$10,$M$5-1,0,1,1))),"")</f>
        <v>2.2984102662325218E-2</v>
      </c>
      <c r="R86" s="33">
        <f ca="1">IF(AND(ISNUMBER($L86),ISNUMBER(R$5)),IF(R$7=1,(R30)/(SUM(R$10:OFFSET(R$10,$M$5-1,0,1,1))),(1/R30)/SUM(1/R$10:OFFSET(R$10,$M$5-1,0,1,1))),"")</f>
        <v>4.8212908202622771E-2</v>
      </c>
      <c r="S86" s="33">
        <f ca="1">IF(AND(ISNUMBER($L86),ISNUMBER(S$5)),IF(S$7=1,(S30)/(SUM(S$10:OFFSET(S$10,$M$5-1,0,1,1))),(1/S30)/SUM(1/S$10:OFFSET(S$10,$M$5-1,0,1,1))),"")</f>
        <v>2.4897510248975102E-2</v>
      </c>
      <c r="U86" s="14"/>
      <c r="V86" s="12">
        <v>21</v>
      </c>
      <c r="W86" s="13" t="s">
        <v>127</v>
      </c>
      <c r="X86" s="33">
        <f ca="1">IF(AND(ISNUMBER($V86),ISNUMBER(X$5)),IF(X$7=1,(X30)/(SUM(X$10:OFFSET(X$10,$W$5-1,0,1,1))),(1/X30)/SUM(1/X$10:OFFSET(X$10,$W$5-1,0,1,1))),"")</f>
        <v>1.0316723408645413E-2</v>
      </c>
      <c r="Y86" s="33">
        <f ca="1">IF(AND(ISNUMBER($V86),ISNUMBER(Y$5)),IF(Y$7=1,(Y30)/(SUM(Y$10:OFFSET(Y$10,$W$5-1,0,1,1))),(1/Y30)/SUM(1/Y$10:OFFSET(Y$10,$W$5-1,0,1,1))),"")</f>
        <v>1.2291052114060966E-2</v>
      </c>
      <c r="Z86" s="33">
        <f ca="1">IF(AND(ISNUMBER($V86),ISNUMBER(Z$5)),IF(Z$7=1,(Z30)/(SUM(Z$10:OFFSET(Z$10,$W$5-1,0,1,1))),(1/Z30)/SUM(1/Z$10:OFFSET(Z$10,$W$5-1,0,1,1))),"")</f>
        <v>2.8312646762831267E-2</v>
      </c>
      <c r="AA86" s="33">
        <f ca="1">IF(AND(ISNUMBER($V86),ISNUMBER(AA$5)),IF(AA$7=1,(AA30)/(SUM(AA$10:OFFSET(AA$10,$W$5-1,0,1,1))),(1/AA30)/SUM(1/AA$10:OFFSET(AA$10,$W$5-1,0,1,1))),"")</f>
        <v>2.3748268355432416E-2</v>
      </c>
      <c r="AB86" s="33">
        <f ca="1">IF(AND(ISNUMBER($V86),ISNUMBER(AB$5)),IF(AB$7=1,(AB30)/(SUM(AB$10:OFFSET(AB$10,$W$5-1,0,1,1))),(1/AB30)/SUM(1/AB$10:OFFSET(AB$10,$W$5-1,0,1,1))),"")</f>
        <v>4.8474663908996886E-2</v>
      </c>
      <c r="AC86" s="33">
        <f ca="1">IF(AND(ISNUMBER($V86),ISNUMBER(AC$5)),IF(AC$7=1,(AC30)/(SUM(AC$10:OFFSET(AC$10,$W$5-1,0,1,1))),(1/AC30)/SUM(1/AC$10:OFFSET(AC$10,$W$5-1,0,1,1))),"")</f>
        <v>2.5961870042859252E-2</v>
      </c>
    </row>
    <row r="87" spans="1:29" ht="14.25" hidden="1" customHeight="1">
      <c r="A87" s="14"/>
      <c r="B87" s="12"/>
      <c r="C87" s="13"/>
      <c r="D87" s="33"/>
      <c r="E87" s="33"/>
      <c r="F87" s="33"/>
      <c r="G87" s="33"/>
      <c r="H87" s="33"/>
      <c r="I87" s="33"/>
      <c r="K87" s="14"/>
      <c r="L87" s="12"/>
      <c r="M87" s="13"/>
      <c r="N87" s="33"/>
      <c r="O87" s="33"/>
      <c r="P87" s="33"/>
      <c r="Q87" s="33"/>
      <c r="R87" s="33"/>
      <c r="S87" s="33"/>
      <c r="U87" s="14"/>
      <c r="V87" s="12"/>
      <c r="W87" s="13"/>
      <c r="X87" s="33"/>
      <c r="Y87" s="33"/>
      <c r="Z87" s="33"/>
      <c r="AA87" s="33"/>
      <c r="AB87" s="33"/>
      <c r="AC87" s="33"/>
    </row>
    <row r="88" spans="1:29" ht="14.25" hidden="1" customHeight="1">
      <c r="A88" s="14"/>
      <c r="B88" s="12"/>
      <c r="C88" s="13"/>
      <c r="D88" s="33"/>
      <c r="E88" s="33"/>
      <c r="F88" s="33"/>
      <c r="G88" s="33"/>
      <c r="H88" s="33"/>
      <c r="I88" s="33"/>
      <c r="K88" s="14"/>
      <c r="L88" s="12"/>
      <c r="M88" s="13"/>
      <c r="N88" s="33"/>
      <c r="O88" s="33"/>
      <c r="P88" s="33"/>
      <c r="Q88" s="33"/>
      <c r="R88" s="33"/>
      <c r="S88" s="33"/>
      <c r="U88" s="14"/>
      <c r="V88" s="12"/>
      <c r="W88" s="13"/>
      <c r="X88" s="33"/>
      <c r="Y88" s="33"/>
      <c r="Z88" s="33"/>
      <c r="AA88" s="33"/>
      <c r="AB88" s="33"/>
      <c r="AC88" s="33"/>
    </row>
    <row r="89" spans="1:29" ht="14.25" hidden="1" customHeight="1">
      <c r="A89" s="14"/>
      <c r="B89" s="12"/>
      <c r="C89" s="13"/>
      <c r="D89" s="33"/>
      <c r="E89" s="33"/>
      <c r="F89" s="33"/>
      <c r="G89" s="33"/>
      <c r="H89" s="33"/>
      <c r="I89" s="33"/>
      <c r="K89" s="14"/>
      <c r="L89" s="12"/>
      <c r="M89" s="13"/>
      <c r="N89" s="33"/>
      <c r="O89" s="33"/>
      <c r="P89" s="33"/>
      <c r="Q89" s="33"/>
      <c r="R89" s="33"/>
      <c r="S89" s="33"/>
      <c r="U89" s="14"/>
      <c r="V89" s="12"/>
      <c r="W89" s="13"/>
      <c r="X89" s="33"/>
      <c r="Y89" s="33"/>
      <c r="Z89" s="33"/>
      <c r="AA89" s="33"/>
      <c r="AB89" s="33"/>
      <c r="AC89" s="33"/>
    </row>
    <row r="90" spans="1:29" ht="14.25" hidden="1" customHeight="1">
      <c r="A90" s="14"/>
      <c r="B90" s="12"/>
      <c r="C90" s="13"/>
      <c r="D90" s="33"/>
      <c r="E90" s="33"/>
      <c r="F90" s="33"/>
      <c r="G90" s="33"/>
      <c r="H90" s="33"/>
      <c r="I90" s="33"/>
      <c r="K90" s="14"/>
      <c r="L90" s="12"/>
      <c r="M90" s="13"/>
      <c r="N90" s="33"/>
      <c r="O90" s="33"/>
      <c r="P90" s="33"/>
      <c r="Q90" s="33"/>
      <c r="R90" s="33"/>
      <c r="S90" s="33"/>
      <c r="U90" s="14"/>
      <c r="V90" s="12"/>
      <c r="W90" s="13"/>
      <c r="X90" s="33"/>
      <c r="Y90" s="33"/>
      <c r="Z90" s="33"/>
      <c r="AA90" s="33"/>
      <c r="AB90" s="33"/>
      <c r="AC90" s="33"/>
    </row>
    <row r="91" spans="1:29" ht="14.25" hidden="1" customHeight="1">
      <c r="A91" s="14"/>
      <c r="B91" s="12"/>
      <c r="C91" s="13"/>
      <c r="D91" s="33"/>
      <c r="E91" s="33"/>
      <c r="F91" s="33"/>
      <c r="G91" s="33"/>
      <c r="H91" s="33"/>
      <c r="I91" s="33"/>
      <c r="K91" s="14"/>
      <c r="L91" s="12"/>
      <c r="M91" s="13"/>
      <c r="N91" s="33"/>
      <c r="O91" s="33"/>
      <c r="P91" s="33"/>
      <c r="Q91" s="33"/>
      <c r="R91" s="33"/>
      <c r="S91" s="33"/>
      <c r="U91" s="14"/>
      <c r="V91" s="12"/>
      <c r="W91" s="13"/>
      <c r="X91" s="33"/>
      <c r="Y91" s="33"/>
      <c r="Z91" s="33"/>
      <c r="AA91" s="33"/>
      <c r="AB91" s="33"/>
      <c r="AC91" s="33"/>
    </row>
    <row r="92" spans="1:29" ht="14.25" hidden="1" customHeight="1" thickBot="1">
      <c r="A92" s="14"/>
      <c r="B92" s="12"/>
      <c r="C92" s="13"/>
      <c r="D92" s="33"/>
      <c r="E92" s="33"/>
      <c r="F92" s="33"/>
      <c r="G92" s="33"/>
      <c r="H92" s="33"/>
      <c r="I92" s="33"/>
      <c r="K92" s="14"/>
      <c r="L92" s="12"/>
      <c r="M92" s="13"/>
      <c r="N92" s="33"/>
      <c r="O92" s="33"/>
      <c r="P92" s="33"/>
      <c r="Q92" s="33"/>
      <c r="R92" s="33"/>
      <c r="S92" s="33"/>
      <c r="U92" s="14"/>
      <c r="V92" s="12"/>
      <c r="W92" s="13"/>
      <c r="X92" s="33"/>
      <c r="Y92" s="33"/>
      <c r="Z92" s="33"/>
      <c r="AA92" s="33"/>
      <c r="AB92" s="33"/>
      <c r="AC92" s="33"/>
    </row>
    <row r="93" spans="1:29" ht="14.25" hidden="1" customHeight="1">
      <c r="D93" s="33" t="str">
        <f ca="1">IF(AND(ISNUMBER($B93),ISNUMBER(D$5)),IF(D$7=1,(D37)/(SUM(D$10:OFFSET(D$10,$C$5-1,0,1,1))),(1/D37)/SUM(1/D$10:OFFSET(D$10,$C$5-1,0,1,1))),"")</f>
        <v/>
      </c>
      <c r="E93" s="33" t="str">
        <f ca="1">IF(AND(ISNUMBER($B93),ISNUMBER(E$5)),IF(E$7=1,(E37)/(SUM(E$10:OFFSET(E$10,$C$5-1,0,1,1))),(1/E37)/SUM(1/E$10:OFFSET(E$10,$C$5-1,0,1,1))),"")</f>
        <v/>
      </c>
      <c r="F93" s="33" t="str">
        <f ca="1">IF(AND(ISNUMBER($B93),ISNUMBER(F$5)),IF(F$7=1,(F37)/(SUM(F$10:OFFSET(F$10,$C$5-1,0,1,1))),(1/F37)/SUM(1/F$10:OFFSET(F$10,$C$5-1,0,1,1))),"")</f>
        <v/>
      </c>
      <c r="G93" s="33" t="str">
        <f ca="1">IF(AND(ISNUMBER($B93),ISNUMBER(G$5)),IF(G$7=1,(G37)/(SUM(G$10:OFFSET(G$10,$C$5-1,0,1,1))),(1/G37)/SUM(1/G$10:OFFSET(G$10,$C$5-1,0,1,1))),"")</f>
        <v/>
      </c>
      <c r="H93" s="33" t="str">
        <f ca="1">IF(AND(ISNUMBER($B93),ISNUMBER(H$5)),IF(H$7=1,(H37)/(SUM(H$10:OFFSET(H$10,$C$5-1,0,1,1))),(1/H37)/SUM(1/H$10:OFFSET(H$10,$C$5-1,0,1,1))),"")</f>
        <v/>
      </c>
      <c r="I93" s="33" t="str">
        <f ca="1">IF(AND(ISNUMBER($B93),ISNUMBER(I$5)),IF(I$7=1,(I37)/(SUM(I$10:OFFSET(I$10,$C$5-1,0,1,1))),(1/I37)/SUM(1/I$10:OFFSET(I$10,$C$5-1,0,1,1))),"")</f>
        <v/>
      </c>
      <c r="N93" s="33" t="str">
        <f ca="1">IF(AND(ISNUMBER($L93),ISNUMBER(N$5)),IF(N$7=1,(N37)/(SUM(N$10:OFFSET(N$10,$M$5-1,0,1,1))),(1/N37)/SUM(1/N$10:OFFSET(N$10,$M$5-1,0,1,1))),"")</f>
        <v/>
      </c>
      <c r="O93" s="33" t="str">
        <f ca="1">IF(AND(ISNUMBER($L93),ISNUMBER(O$5)),IF(O$7=1,(O37)/(SUM(O$10:OFFSET(O$10,$M$5-1,0,1,1))),(1/O37)/SUM(1/O$10:OFFSET(O$10,$M$5-1,0,1,1))),"")</f>
        <v/>
      </c>
      <c r="P93" s="33" t="str">
        <f ca="1">IF(AND(ISNUMBER($L93),ISNUMBER(P$5)),IF(P$7=1,(P37)/(SUM(P$10:OFFSET(P$10,$M$5-1,0,1,1))),(1/P37)/SUM(1/P$10:OFFSET(P$10,$M$5-1,0,1,1))),"")</f>
        <v/>
      </c>
      <c r="Q93" s="33" t="str">
        <f ca="1">IF(AND(ISNUMBER($L93),ISNUMBER(Q$5)),IF(Q$7=1,(Q37)/(SUM(Q$10:OFFSET(Q$10,$M$5-1,0,1,1))),(1/Q37)/SUM(1/Q$10:OFFSET(Q$10,$M$5-1,0,1,1))),"")</f>
        <v/>
      </c>
      <c r="R93" s="33" t="str">
        <f ca="1">IF(AND(ISNUMBER($L93),ISNUMBER(R$5)),IF(R$7=1,(R37)/(SUM(R$10:OFFSET(R$10,$M$5-1,0,1,1))),(1/R37)/SUM(1/R$10:OFFSET(R$10,$M$5-1,0,1,1))),"")</f>
        <v/>
      </c>
      <c r="S93" s="33" t="str">
        <f ca="1">IF(AND(ISNUMBER($L93),ISNUMBER(S$5)),IF(S$7=1,(S37)/(SUM(S$10:OFFSET(S$10,$M$5-1,0,1,1))),(1/S37)/SUM(1/S$10:OFFSET(S$10,$M$5-1,0,1,1))),"")</f>
        <v/>
      </c>
      <c r="X93" s="33" t="str">
        <f ca="1">IF(AND(ISNUMBER($V93),ISNUMBER(X$5)),IF(X$7=1,(X37)/(SUM(X$10:OFFSET(X$10,$W$5-1,0,1,1))),(1/X37)/SUM(1/X$10:OFFSET(X$10,$W$5-1,0,1,1))),"")</f>
        <v/>
      </c>
      <c r="Y93" s="33" t="str">
        <f ca="1">IF(AND(ISNUMBER($V93),ISNUMBER(Y$5)),IF(Y$7=1,(Y37)/(SUM(Y$10:OFFSET(Y$10,$W$5-1,0,1,1))),(1/Y37)/SUM(1/Y$10:OFFSET(Y$10,$W$5-1,0,1,1))),"")</f>
        <v/>
      </c>
      <c r="Z93" s="33" t="str">
        <f ca="1">IF(AND(ISNUMBER($V93),ISNUMBER(Z$5)),IF(Z$7=1,(Z37)/(SUM(Z$10:OFFSET(Z$10,$W$5-1,0,1,1))),(1/Z37)/SUM(1/Z$10:OFFSET(Z$10,$W$5-1,0,1,1))),"")</f>
        <v/>
      </c>
      <c r="AA93" s="33" t="str">
        <f ca="1">IF(AND(ISNUMBER($V93),ISNUMBER(AA$5)),IF(AA$7=1,(AA37)/(SUM(AA$10:OFFSET(AA$10,$W$5-1,0,1,1))),(1/AA37)/SUM(1/AA$10:OFFSET(AA$10,$W$5-1,0,1,1))),"")</f>
        <v/>
      </c>
      <c r="AB93" s="33" t="str">
        <f ca="1">IF(AND(ISNUMBER($V93),ISNUMBER(AB$5)),IF(AB$7=1,(AB37)/(SUM(AB$10:OFFSET(AB$10,$W$5-1,0,1,1))),(1/AB37)/SUM(1/AB$10:OFFSET(AB$10,$W$5-1,0,1,1))),"")</f>
        <v/>
      </c>
      <c r="AC93" s="33" t="str">
        <f ca="1">IF(AND(ISNUMBER($V93),ISNUMBER(AC$5)),IF(AC$7=1,(AC37)/(SUM(AC$10:OFFSET(AC$10,$W$5-1,0,1,1))),(1/AC37)/SUM(1/AC$10:OFFSET(AC$10,$W$5-1,0,1,1))),"")</f>
        <v/>
      </c>
    </row>
    <row r="94" spans="1:29" ht="14.25" hidden="1" customHeight="1">
      <c r="D94" s="33" t="str">
        <f ca="1">IF(AND(ISNUMBER($B94),ISNUMBER(D$5)),IF(D$7=1,(D38)/(SUM(D$10:OFFSET(D$10,$C$5-1,0,1,1))),(1/D38)/SUM(1/D$10:OFFSET(D$10,$C$5-1,0,1,1))),"")</f>
        <v/>
      </c>
      <c r="E94" s="33" t="str">
        <f ca="1">IF(AND(ISNUMBER($B94),ISNUMBER(E$5)),IF(E$7=1,(E38)/(SUM(E$10:OFFSET(E$10,$C$5-1,0,1,1))),(1/E38)/SUM(1/E$10:OFFSET(E$10,$C$5-1,0,1,1))),"")</f>
        <v/>
      </c>
      <c r="F94" s="33" t="str">
        <f ca="1">IF(AND(ISNUMBER($B94),ISNUMBER(F$5)),IF(F$7=1,(F38)/(SUM(F$10:OFFSET(F$10,$C$5-1,0,1,1))),(1/F38)/SUM(1/F$10:OFFSET(F$10,$C$5-1,0,1,1))),"")</f>
        <v/>
      </c>
      <c r="G94" s="33" t="str">
        <f ca="1">IF(AND(ISNUMBER($B94),ISNUMBER(G$5)),IF(G$7=1,(G38)/(SUM(G$10:OFFSET(G$10,$C$5-1,0,1,1))),(1/G38)/SUM(1/G$10:OFFSET(G$10,$C$5-1,0,1,1))),"")</f>
        <v/>
      </c>
      <c r="H94" s="33" t="str">
        <f ca="1">IF(AND(ISNUMBER($B94),ISNUMBER(H$5)),IF(H$7=1,(H38)/(SUM(H$10:OFFSET(H$10,$C$5-1,0,1,1))),(1/H38)/SUM(1/H$10:OFFSET(H$10,$C$5-1,0,1,1))),"")</f>
        <v/>
      </c>
      <c r="I94" s="33" t="str">
        <f ca="1">IF(AND(ISNUMBER($B94),ISNUMBER(I$5)),IF(I$7=1,(I38)/(SUM(I$10:OFFSET(I$10,$C$5-1,0,1,1))),(1/I38)/SUM(1/I$10:OFFSET(I$10,$C$5-1,0,1,1))),"")</f>
        <v/>
      </c>
      <c r="N94" s="33" t="str">
        <f ca="1">IF(AND(ISNUMBER($L94),ISNUMBER(N$5)),IF(N$7=1,(N38)/(SUM(N$10:OFFSET(N$10,$M$5-1,0,1,1))),(1/N38)/SUM(1/N$10:OFFSET(N$10,$M$5-1,0,1,1))),"")</f>
        <v/>
      </c>
      <c r="O94" s="33" t="str">
        <f ca="1">IF(AND(ISNUMBER($L94),ISNUMBER(O$5)),IF(O$7=1,(O38)/(SUM(O$10:OFFSET(O$10,$M$5-1,0,1,1))),(1/O38)/SUM(1/O$10:OFFSET(O$10,$M$5-1,0,1,1))),"")</f>
        <v/>
      </c>
      <c r="P94" s="33" t="str">
        <f ca="1">IF(AND(ISNUMBER($L94),ISNUMBER(P$5)),IF(P$7=1,(P38)/(SUM(P$10:OFFSET(P$10,$M$5-1,0,1,1))),(1/P38)/SUM(1/P$10:OFFSET(P$10,$M$5-1,0,1,1))),"")</f>
        <v/>
      </c>
      <c r="Q94" s="33" t="str">
        <f ca="1">IF(AND(ISNUMBER($L94),ISNUMBER(Q$5)),IF(Q$7=1,(Q38)/(SUM(Q$10:OFFSET(Q$10,$M$5-1,0,1,1))),(1/Q38)/SUM(1/Q$10:OFFSET(Q$10,$M$5-1,0,1,1))),"")</f>
        <v/>
      </c>
      <c r="R94" s="33" t="str">
        <f ca="1">IF(AND(ISNUMBER($L94),ISNUMBER(R$5)),IF(R$7=1,(R38)/(SUM(R$10:OFFSET(R$10,$M$5-1,0,1,1))),(1/R38)/SUM(1/R$10:OFFSET(R$10,$M$5-1,0,1,1))),"")</f>
        <v/>
      </c>
      <c r="S94" s="33" t="str">
        <f ca="1">IF(AND(ISNUMBER($L94),ISNUMBER(S$5)),IF(S$7=1,(S38)/(SUM(S$10:OFFSET(S$10,$M$5-1,0,1,1))),(1/S38)/SUM(1/S$10:OFFSET(S$10,$M$5-1,0,1,1))),"")</f>
        <v/>
      </c>
      <c r="X94" s="33" t="str">
        <f ca="1">IF(AND(ISNUMBER($V94),ISNUMBER(X$5)),IF(X$7=1,(X38)/(SUM(X$10:OFFSET(X$10,$W$5-1,0,1,1))),(1/X38)/SUM(1/X$10:OFFSET(X$10,$W$5-1,0,1,1))),"")</f>
        <v/>
      </c>
      <c r="Y94" s="33" t="str">
        <f ca="1">IF(AND(ISNUMBER($V94),ISNUMBER(Y$5)),IF(Y$7=1,(Y38)/(SUM(Y$10:OFFSET(Y$10,$W$5-1,0,1,1))),(1/Y38)/SUM(1/Y$10:OFFSET(Y$10,$W$5-1,0,1,1))),"")</f>
        <v/>
      </c>
      <c r="Z94" s="33" t="str">
        <f ca="1">IF(AND(ISNUMBER($V94),ISNUMBER(Z$5)),IF(Z$7=1,(Z38)/(SUM(Z$10:OFFSET(Z$10,$W$5-1,0,1,1))),(1/Z38)/SUM(1/Z$10:OFFSET(Z$10,$W$5-1,0,1,1))),"")</f>
        <v/>
      </c>
      <c r="AA94" s="33" t="str">
        <f ca="1">IF(AND(ISNUMBER($V94),ISNUMBER(AA$5)),IF(AA$7=1,(AA38)/(SUM(AA$10:OFFSET(AA$10,$W$5-1,0,1,1))),(1/AA38)/SUM(1/AA$10:OFFSET(AA$10,$W$5-1,0,1,1))),"")</f>
        <v/>
      </c>
      <c r="AB94" s="33" t="str">
        <f ca="1">IF(AND(ISNUMBER($V94),ISNUMBER(AB$5)),IF(AB$7=1,(AB38)/(SUM(AB$10:OFFSET(AB$10,$W$5-1,0,1,1))),(1/AB38)/SUM(1/AB$10:OFFSET(AB$10,$W$5-1,0,1,1))),"")</f>
        <v/>
      </c>
      <c r="AC94" s="33" t="str">
        <f ca="1">IF(AND(ISNUMBER($V94),ISNUMBER(AC$5)),IF(AC$7=1,(AC38)/(SUM(AC$10:OFFSET(AC$10,$W$5-1,0,1,1))),(1/AC38)/SUM(1/AC$10:OFFSET(AC$10,$W$5-1,0,1,1))),"")</f>
        <v/>
      </c>
    </row>
    <row r="95" spans="1:29" ht="14.25" hidden="1" customHeight="1">
      <c r="D95" s="33" t="str">
        <f ca="1">IF(AND(ISNUMBER($B95),ISNUMBER(D$5)),IF(D$7=1,(D39)/(SUM(D$10:OFFSET(D$10,$C$5-1,0,1,1))),(1/D39)/SUM(1/D$10:OFFSET(D$10,$C$5-1,0,1,1))),"")</f>
        <v/>
      </c>
      <c r="E95" s="33" t="str">
        <f ca="1">IF(AND(ISNUMBER($B95),ISNUMBER(E$5)),IF(E$7=1,(E39)/(SUM(E$10:OFFSET(E$10,$C$5-1,0,1,1))),(1/E39)/SUM(1/E$10:OFFSET(E$10,$C$5-1,0,1,1))),"")</f>
        <v/>
      </c>
      <c r="F95" s="33" t="str">
        <f ca="1">IF(AND(ISNUMBER($B95),ISNUMBER(F$5)),IF(F$7=1,(F39)/(SUM(F$10:OFFSET(F$10,$C$5-1,0,1,1))),(1/F39)/SUM(1/F$10:OFFSET(F$10,$C$5-1,0,1,1))),"")</f>
        <v/>
      </c>
      <c r="G95" s="33" t="str">
        <f ca="1">IF(AND(ISNUMBER($B95),ISNUMBER(G$5)),IF(G$7=1,(G39)/(SUM(G$10:OFFSET(G$10,$C$5-1,0,1,1))),(1/G39)/SUM(1/G$10:OFFSET(G$10,$C$5-1,0,1,1))),"")</f>
        <v/>
      </c>
      <c r="H95" s="33" t="str">
        <f ca="1">IF(AND(ISNUMBER($B95),ISNUMBER(H$5)),IF(H$7=1,(H39)/(SUM(H$10:OFFSET(H$10,$C$5-1,0,1,1))),(1/H39)/SUM(1/H$10:OFFSET(H$10,$C$5-1,0,1,1))),"")</f>
        <v/>
      </c>
      <c r="I95" s="33" t="str">
        <f ca="1">IF(AND(ISNUMBER($B95),ISNUMBER(I$5)),IF(I$7=1,(I39)/(SUM(I$10:OFFSET(I$10,$C$5-1,0,1,1))),(1/I39)/SUM(1/I$10:OFFSET(I$10,$C$5-1,0,1,1))),"")</f>
        <v/>
      </c>
      <c r="N95" s="33" t="str">
        <f ca="1">IF(AND(ISNUMBER($L95),ISNUMBER(N$5)),IF(N$7=1,(N39)/(SUM(N$10:OFFSET(N$10,$M$5-1,0,1,1))),(1/N39)/SUM(1/N$10:OFFSET(N$10,$M$5-1,0,1,1))),"")</f>
        <v/>
      </c>
      <c r="O95" s="33" t="str">
        <f ca="1">IF(AND(ISNUMBER($L95),ISNUMBER(O$5)),IF(O$7=1,(O39)/(SUM(O$10:OFFSET(O$10,$M$5-1,0,1,1))),(1/O39)/SUM(1/O$10:OFFSET(O$10,$M$5-1,0,1,1))),"")</f>
        <v/>
      </c>
      <c r="P95" s="33" t="str">
        <f ca="1">IF(AND(ISNUMBER($L95),ISNUMBER(P$5)),IF(P$7=1,(P39)/(SUM(P$10:OFFSET(P$10,$M$5-1,0,1,1))),(1/P39)/SUM(1/P$10:OFFSET(P$10,$M$5-1,0,1,1))),"")</f>
        <v/>
      </c>
      <c r="Q95" s="33" t="str">
        <f ca="1">IF(AND(ISNUMBER($L95),ISNUMBER(Q$5)),IF(Q$7=1,(Q39)/(SUM(Q$10:OFFSET(Q$10,$M$5-1,0,1,1))),(1/Q39)/SUM(1/Q$10:OFFSET(Q$10,$M$5-1,0,1,1))),"")</f>
        <v/>
      </c>
      <c r="R95" s="33" t="str">
        <f ca="1">IF(AND(ISNUMBER($L95),ISNUMBER(R$5)),IF(R$7=1,(R39)/(SUM(R$10:OFFSET(R$10,$M$5-1,0,1,1))),(1/R39)/SUM(1/R$10:OFFSET(R$10,$M$5-1,0,1,1))),"")</f>
        <v/>
      </c>
      <c r="S95" s="33" t="str">
        <f ca="1">IF(AND(ISNUMBER($L95),ISNUMBER(S$5)),IF(S$7=1,(S39)/(SUM(S$10:OFFSET(S$10,$M$5-1,0,1,1))),(1/S39)/SUM(1/S$10:OFFSET(S$10,$M$5-1,0,1,1))),"")</f>
        <v/>
      </c>
      <c r="X95" s="33" t="str">
        <f ca="1">IF(AND(ISNUMBER($V95),ISNUMBER(X$5)),IF(X$7=1,(X39)/(SUM(X$10:OFFSET(X$10,$W$5-1,0,1,1))),(1/X39)/SUM(1/X$10:OFFSET(X$10,$W$5-1,0,1,1))),"")</f>
        <v/>
      </c>
      <c r="Y95" s="33" t="str">
        <f ca="1">IF(AND(ISNUMBER($V95),ISNUMBER(Y$5)),IF(Y$7=1,(Y39)/(SUM(Y$10:OFFSET(Y$10,$W$5-1,0,1,1))),(1/Y39)/SUM(1/Y$10:OFFSET(Y$10,$W$5-1,0,1,1))),"")</f>
        <v/>
      </c>
      <c r="Z95" s="33" t="str">
        <f ca="1">IF(AND(ISNUMBER($V95),ISNUMBER(Z$5)),IF(Z$7=1,(Z39)/(SUM(Z$10:OFFSET(Z$10,$W$5-1,0,1,1))),(1/Z39)/SUM(1/Z$10:OFFSET(Z$10,$W$5-1,0,1,1))),"")</f>
        <v/>
      </c>
      <c r="AA95" s="33" t="str">
        <f ca="1">IF(AND(ISNUMBER($V95),ISNUMBER(AA$5)),IF(AA$7=1,(AA39)/(SUM(AA$10:OFFSET(AA$10,$W$5-1,0,1,1))),(1/AA39)/SUM(1/AA$10:OFFSET(AA$10,$W$5-1,0,1,1))),"")</f>
        <v/>
      </c>
      <c r="AB95" s="33" t="str">
        <f ca="1">IF(AND(ISNUMBER($V95),ISNUMBER(AB$5)),IF(AB$7=1,(AB39)/(SUM(AB$10:OFFSET(AB$10,$W$5-1,0,1,1))),(1/AB39)/SUM(1/AB$10:OFFSET(AB$10,$W$5-1,0,1,1))),"")</f>
        <v/>
      </c>
      <c r="AC95" s="33" t="str">
        <f ca="1">IF(AND(ISNUMBER($V95),ISNUMBER(AC$5)),IF(AC$7=1,(AC39)/(SUM(AC$10:OFFSET(AC$10,$W$5-1,0,1,1))),(1/AC39)/SUM(1/AC$10:OFFSET(AC$10,$W$5-1,0,1,1))),"")</f>
        <v/>
      </c>
    </row>
    <row r="96" spans="1:29" ht="14.25" hidden="1" customHeight="1">
      <c r="D96" s="33" t="str">
        <f ca="1">IF(AND(ISNUMBER($B96),ISNUMBER(D$5)),IF(D$7=1,(D40)/(SUM(D$10:OFFSET(D$10,$C$5-1,0,1,1))),(1/D40)/SUM(1/D$10:OFFSET(D$10,$C$5-1,0,1,1))),"")</f>
        <v/>
      </c>
      <c r="E96" s="33" t="str">
        <f ca="1">IF(AND(ISNUMBER($B96),ISNUMBER(E$5)),IF(E$7=1,(E40)/(SUM(E$10:OFFSET(E$10,$C$5-1,0,1,1))),(1/E40)/SUM(1/E$10:OFFSET(E$10,$C$5-1,0,1,1))),"")</f>
        <v/>
      </c>
      <c r="F96" s="33" t="str">
        <f ca="1">IF(AND(ISNUMBER($B96),ISNUMBER(F$5)),IF(F$7=1,(F40)/(SUM(F$10:OFFSET(F$10,$C$5-1,0,1,1))),(1/F40)/SUM(1/F$10:OFFSET(F$10,$C$5-1,0,1,1))),"")</f>
        <v/>
      </c>
      <c r="G96" s="33" t="str">
        <f ca="1">IF(AND(ISNUMBER($B96),ISNUMBER(G$5)),IF(G$7=1,(G40)/(SUM(G$10:OFFSET(G$10,$C$5-1,0,1,1))),(1/G40)/SUM(1/G$10:OFFSET(G$10,$C$5-1,0,1,1))),"")</f>
        <v/>
      </c>
      <c r="H96" s="33" t="str">
        <f ca="1">IF(AND(ISNUMBER($B96),ISNUMBER(H$5)),IF(H$7=1,(H40)/(SUM(H$10:OFFSET(H$10,$C$5-1,0,1,1))),(1/H40)/SUM(1/H$10:OFFSET(H$10,$C$5-1,0,1,1))),"")</f>
        <v/>
      </c>
      <c r="I96" s="33" t="str">
        <f ca="1">IF(AND(ISNUMBER($B96),ISNUMBER(I$5)),IF(I$7=1,(I40)/(SUM(I$10:OFFSET(I$10,$C$5-1,0,1,1))),(1/I40)/SUM(1/I$10:OFFSET(I$10,$C$5-1,0,1,1))),"")</f>
        <v/>
      </c>
      <c r="N96" s="33" t="str">
        <f ca="1">IF(AND(ISNUMBER($L96),ISNUMBER(N$5)),IF(N$7=1,(N40)/(SUM(N$10:OFFSET(N$10,$M$5-1,0,1,1))),(1/N40)/SUM(1/N$10:OFFSET(N$10,$M$5-1,0,1,1))),"")</f>
        <v/>
      </c>
      <c r="O96" s="33" t="str">
        <f ca="1">IF(AND(ISNUMBER($L96),ISNUMBER(O$5)),IF(O$7=1,(O40)/(SUM(O$10:OFFSET(O$10,$M$5-1,0,1,1))),(1/O40)/SUM(1/O$10:OFFSET(O$10,$M$5-1,0,1,1))),"")</f>
        <v/>
      </c>
      <c r="P96" s="33" t="str">
        <f ca="1">IF(AND(ISNUMBER($L96),ISNUMBER(P$5)),IF(P$7=1,(P40)/(SUM(P$10:OFFSET(P$10,$M$5-1,0,1,1))),(1/P40)/SUM(1/P$10:OFFSET(P$10,$M$5-1,0,1,1))),"")</f>
        <v/>
      </c>
      <c r="Q96" s="33" t="str">
        <f ca="1">IF(AND(ISNUMBER($L96),ISNUMBER(Q$5)),IF(Q$7=1,(Q40)/(SUM(Q$10:OFFSET(Q$10,$M$5-1,0,1,1))),(1/Q40)/SUM(1/Q$10:OFFSET(Q$10,$M$5-1,0,1,1))),"")</f>
        <v/>
      </c>
      <c r="R96" s="33" t="str">
        <f ca="1">IF(AND(ISNUMBER($L96),ISNUMBER(R$5)),IF(R$7=1,(R40)/(SUM(R$10:OFFSET(R$10,$M$5-1,0,1,1))),(1/R40)/SUM(1/R$10:OFFSET(R$10,$M$5-1,0,1,1))),"")</f>
        <v/>
      </c>
      <c r="S96" s="33" t="str">
        <f ca="1">IF(AND(ISNUMBER($L96),ISNUMBER(S$5)),IF(S$7=1,(S40)/(SUM(S$10:OFFSET(S$10,$M$5-1,0,1,1))),(1/S40)/SUM(1/S$10:OFFSET(S$10,$M$5-1,0,1,1))),"")</f>
        <v/>
      </c>
      <c r="X96" s="33" t="str">
        <f ca="1">IF(AND(ISNUMBER($V96),ISNUMBER(X$5)),IF(X$7=1,(X40)/(SUM(X$10:OFFSET(X$10,$W$5-1,0,1,1))),(1/X40)/SUM(1/X$10:OFFSET(X$10,$W$5-1,0,1,1))),"")</f>
        <v/>
      </c>
      <c r="Y96" s="33" t="str">
        <f ca="1">IF(AND(ISNUMBER($V96),ISNUMBER(Y$5)),IF(Y$7=1,(Y40)/(SUM(Y$10:OFFSET(Y$10,$W$5-1,0,1,1))),(1/Y40)/SUM(1/Y$10:OFFSET(Y$10,$W$5-1,0,1,1))),"")</f>
        <v/>
      </c>
      <c r="Z96" s="33" t="str">
        <f ca="1">IF(AND(ISNUMBER($V96),ISNUMBER(Z$5)),IF(Z$7=1,(Z40)/(SUM(Z$10:OFFSET(Z$10,$W$5-1,0,1,1))),(1/Z40)/SUM(1/Z$10:OFFSET(Z$10,$W$5-1,0,1,1))),"")</f>
        <v/>
      </c>
      <c r="AA96" s="33" t="str">
        <f ca="1">IF(AND(ISNUMBER($V96),ISNUMBER(AA$5)),IF(AA$7=1,(AA40)/(SUM(AA$10:OFFSET(AA$10,$W$5-1,0,1,1))),(1/AA40)/SUM(1/AA$10:OFFSET(AA$10,$W$5-1,0,1,1))),"")</f>
        <v/>
      </c>
      <c r="AB96" s="33" t="str">
        <f ca="1">IF(AND(ISNUMBER($V96),ISNUMBER(AB$5)),IF(AB$7=1,(AB40)/(SUM(AB$10:OFFSET(AB$10,$W$5-1,0,1,1))),(1/AB40)/SUM(1/AB$10:OFFSET(AB$10,$W$5-1,0,1,1))),"")</f>
        <v/>
      </c>
      <c r="AC96" s="33" t="str">
        <f ca="1">IF(AND(ISNUMBER($V96),ISNUMBER(AC$5)),IF(AC$7=1,(AC40)/(SUM(AC$10:OFFSET(AC$10,$W$5-1,0,1,1))),(1/AC40)/SUM(1/AC$10:OFFSET(AC$10,$W$5-1,0,1,1))),"")</f>
        <v/>
      </c>
    </row>
    <row r="97" spans="1:29" ht="14.25" hidden="1" customHeight="1">
      <c r="A97" s="14"/>
      <c r="D97" s="33" t="str">
        <f ca="1">IF(AND(ISNUMBER($B97),ISNUMBER(D$5)),IF(D$7=1,(D41)/(SUM(D$10:OFFSET(D$10,$C$5-1,0,1,1))),(1/D41)/SUM(1/D$10:OFFSET(D$10,$C$5-1,0,1,1))),"")</f>
        <v/>
      </c>
      <c r="E97" s="33" t="str">
        <f ca="1">IF(AND(ISNUMBER($B97),ISNUMBER(E$5)),IF(E$7=1,(E41)/(SUM(E$10:OFFSET(E$10,$C$5-1,0,1,1))),(1/E41)/SUM(1/E$10:OFFSET(E$10,$C$5-1,0,1,1))),"")</f>
        <v/>
      </c>
      <c r="F97" s="33" t="str">
        <f ca="1">IF(AND(ISNUMBER($B97),ISNUMBER(F$5)),IF(F$7=1,(F41)/(SUM(F$10:OFFSET(F$10,$C$5-1,0,1,1))),(1/F41)/SUM(1/F$10:OFFSET(F$10,$C$5-1,0,1,1))),"")</f>
        <v/>
      </c>
      <c r="G97" s="33" t="str">
        <f ca="1">IF(AND(ISNUMBER($B97),ISNUMBER(G$5)),IF(G$7=1,(G41)/(SUM(G$10:OFFSET(G$10,$C$5-1,0,1,1))),(1/G41)/SUM(1/G$10:OFFSET(G$10,$C$5-1,0,1,1))),"")</f>
        <v/>
      </c>
      <c r="H97" s="33" t="str">
        <f ca="1">IF(AND(ISNUMBER($B97),ISNUMBER(H$5)),IF(H$7=1,(H41)/(SUM(H$10:OFFSET(H$10,$C$5-1,0,1,1))),(1/H41)/SUM(1/H$10:OFFSET(H$10,$C$5-1,0,1,1))),"")</f>
        <v/>
      </c>
      <c r="I97" s="33" t="str">
        <f ca="1">IF(AND(ISNUMBER($B97),ISNUMBER(I$5)),IF(I$7=1,(I41)/(SUM(I$10:OFFSET(I$10,$C$5-1,0,1,1))),(1/I41)/SUM(1/I$10:OFFSET(I$10,$C$5-1,0,1,1))),"")</f>
        <v/>
      </c>
      <c r="K97" s="14"/>
      <c r="N97" s="33" t="str">
        <f ca="1">IF(AND(ISNUMBER($L97),ISNUMBER(N$5)),IF(N$7=1,(N41)/(SUM(N$10:OFFSET(N$10,$M$5-1,0,1,1))),(1/N41)/SUM(1/N$10:OFFSET(N$10,$M$5-1,0,1,1))),"")</f>
        <v/>
      </c>
      <c r="O97" s="33" t="str">
        <f ca="1">IF(AND(ISNUMBER($L97),ISNUMBER(O$5)),IF(O$7=1,(O41)/(SUM(O$10:OFFSET(O$10,$M$5-1,0,1,1))),(1/O41)/SUM(1/O$10:OFFSET(O$10,$M$5-1,0,1,1))),"")</f>
        <v/>
      </c>
      <c r="P97" s="33" t="str">
        <f ca="1">IF(AND(ISNUMBER($L97),ISNUMBER(P$5)),IF(P$7=1,(P41)/(SUM(P$10:OFFSET(P$10,$M$5-1,0,1,1))),(1/P41)/SUM(1/P$10:OFFSET(P$10,$M$5-1,0,1,1))),"")</f>
        <v/>
      </c>
      <c r="Q97" s="33" t="str">
        <f ca="1">IF(AND(ISNUMBER($L97),ISNUMBER(Q$5)),IF(Q$7=1,(Q41)/(SUM(Q$10:OFFSET(Q$10,$M$5-1,0,1,1))),(1/Q41)/SUM(1/Q$10:OFFSET(Q$10,$M$5-1,0,1,1))),"")</f>
        <v/>
      </c>
      <c r="R97" s="33" t="str">
        <f ca="1">IF(AND(ISNUMBER($L97),ISNUMBER(R$5)),IF(R$7=1,(R41)/(SUM(R$10:OFFSET(R$10,$M$5-1,0,1,1))),(1/R41)/SUM(1/R$10:OFFSET(R$10,$M$5-1,0,1,1))),"")</f>
        <v/>
      </c>
      <c r="S97" s="33" t="str">
        <f ca="1">IF(AND(ISNUMBER($L97),ISNUMBER(S$5)),IF(S$7=1,(S41)/(SUM(S$10:OFFSET(S$10,$M$5-1,0,1,1))),(1/S41)/SUM(1/S$10:OFFSET(S$10,$M$5-1,0,1,1))),"")</f>
        <v/>
      </c>
      <c r="U97" s="14"/>
      <c r="X97" s="33" t="str">
        <f ca="1">IF(AND(ISNUMBER($V97),ISNUMBER(X$5)),IF(X$7=1,(X41)/(SUM(X$10:OFFSET(X$10,$W$5-1,0,1,1))),(1/X41)/SUM(1/X$10:OFFSET(X$10,$W$5-1,0,1,1))),"")</f>
        <v/>
      </c>
      <c r="Y97" s="33" t="str">
        <f ca="1">IF(AND(ISNUMBER($V97),ISNUMBER(Y$5)),IF(Y$7=1,(Y41)/(SUM(Y$10:OFFSET(Y$10,$W$5-1,0,1,1))),(1/Y41)/SUM(1/Y$10:OFFSET(Y$10,$W$5-1,0,1,1))),"")</f>
        <v/>
      </c>
      <c r="Z97" s="33" t="str">
        <f ca="1">IF(AND(ISNUMBER($V97),ISNUMBER(Z$5)),IF(Z$7=1,(Z41)/(SUM(Z$10:OFFSET(Z$10,$W$5-1,0,1,1))),(1/Z41)/SUM(1/Z$10:OFFSET(Z$10,$W$5-1,0,1,1))),"")</f>
        <v/>
      </c>
      <c r="AA97" s="33" t="str">
        <f ca="1">IF(AND(ISNUMBER($V97),ISNUMBER(AA$5)),IF(AA$7=1,(AA41)/(SUM(AA$10:OFFSET(AA$10,$W$5-1,0,1,1))),(1/AA41)/SUM(1/AA$10:OFFSET(AA$10,$W$5-1,0,1,1))),"")</f>
        <v/>
      </c>
      <c r="AB97" s="33" t="str">
        <f ca="1">IF(AND(ISNUMBER($V97),ISNUMBER(AB$5)),IF(AB$7=1,(AB41)/(SUM(AB$10:OFFSET(AB$10,$W$5-1,0,1,1))),(1/AB41)/SUM(1/AB$10:OFFSET(AB$10,$W$5-1,0,1,1))),"")</f>
        <v/>
      </c>
      <c r="AC97" s="33" t="str">
        <f ca="1">IF(AND(ISNUMBER($V97),ISNUMBER(AC$5)),IF(AC$7=1,(AC41)/(SUM(AC$10:OFFSET(AC$10,$W$5-1,0,1,1))),(1/AC41)/SUM(1/AC$10:OFFSET(AC$10,$W$5-1,0,1,1))),"")</f>
        <v/>
      </c>
    </row>
    <row r="98" spans="1:29" ht="14.25" hidden="1" customHeight="1">
      <c r="A98" s="14"/>
      <c r="B98" s="12"/>
      <c r="C98" s="13"/>
      <c r="D98" s="33" t="str">
        <f ca="1">IF(AND(ISNUMBER($B98),ISNUMBER(D$5)),IF(D$7=1,(D42)/(SUM(D$10:OFFSET(D$10,$C$5-1,0,1,1))),(1/D42)/SUM(1/D$10:OFFSET(D$10,$C$5-1,0,1,1))),"")</f>
        <v/>
      </c>
      <c r="E98" s="33" t="str">
        <f ca="1">IF(AND(ISNUMBER($B98),ISNUMBER(E$5)),IF(E$7=1,(E42)/(SUM(E$10:OFFSET(E$10,$C$5-1,0,1,1))),(1/E42)/SUM(1/E$10:OFFSET(E$10,$C$5-1,0,1,1))),"")</f>
        <v/>
      </c>
      <c r="F98" s="33" t="str">
        <f ca="1">IF(AND(ISNUMBER($B98),ISNUMBER(F$5)),IF(F$7=1,(F42)/(SUM(F$10:OFFSET(F$10,$C$5-1,0,1,1))),(1/F42)/SUM(1/F$10:OFFSET(F$10,$C$5-1,0,1,1))),"")</f>
        <v/>
      </c>
      <c r="G98" s="33" t="str">
        <f ca="1">IF(AND(ISNUMBER($B98),ISNUMBER(G$5)),IF(G$7=1,(G42)/(SUM(G$10:OFFSET(G$10,$C$5-1,0,1,1))),(1/G42)/SUM(1/G$10:OFFSET(G$10,$C$5-1,0,1,1))),"")</f>
        <v/>
      </c>
      <c r="H98" s="33" t="str">
        <f ca="1">IF(AND(ISNUMBER($B98),ISNUMBER(H$5)),IF(H$7=1,(H42)/(SUM(H$10:OFFSET(H$10,$C$5-1,0,1,1))),(1/H42)/SUM(1/H$10:OFFSET(H$10,$C$5-1,0,1,1))),"")</f>
        <v/>
      </c>
      <c r="I98" s="33" t="str">
        <f ca="1">IF(AND(ISNUMBER($B98),ISNUMBER(I$5)),IF(I$7=1,(I42)/(SUM(I$10:OFFSET(I$10,$C$5-1,0,1,1))),(1/I42)/SUM(1/I$10:OFFSET(I$10,$C$5-1,0,1,1))),"")</f>
        <v/>
      </c>
      <c r="K98" s="14"/>
      <c r="L98" s="12"/>
      <c r="M98" s="13"/>
      <c r="N98" s="33" t="str">
        <f ca="1">IF(AND(ISNUMBER($L98),ISNUMBER(N$5)),IF(N$7=1,(N42)/(SUM(N$10:OFFSET(N$10,$M$5-1,0,1,1))),(1/N42)/SUM(1/N$10:OFFSET(N$10,$M$5-1,0,1,1))),"")</f>
        <v/>
      </c>
      <c r="O98" s="33" t="str">
        <f ca="1">IF(AND(ISNUMBER($L98),ISNUMBER(O$5)),IF(O$7=1,(O42)/(SUM(O$10:OFFSET(O$10,$M$5-1,0,1,1))),(1/O42)/SUM(1/O$10:OFFSET(O$10,$M$5-1,0,1,1))),"")</f>
        <v/>
      </c>
      <c r="P98" s="33" t="str">
        <f ca="1">IF(AND(ISNUMBER($L98),ISNUMBER(P$5)),IF(P$7=1,(P42)/(SUM(P$10:OFFSET(P$10,$M$5-1,0,1,1))),(1/P42)/SUM(1/P$10:OFFSET(P$10,$M$5-1,0,1,1))),"")</f>
        <v/>
      </c>
      <c r="Q98" s="33" t="str">
        <f ca="1">IF(AND(ISNUMBER($L98),ISNUMBER(Q$5)),IF(Q$7=1,(Q42)/(SUM(Q$10:OFFSET(Q$10,$M$5-1,0,1,1))),(1/Q42)/SUM(1/Q$10:OFFSET(Q$10,$M$5-1,0,1,1))),"")</f>
        <v/>
      </c>
      <c r="R98" s="33" t="str">
        <f ca="1">IF(AND(ISNUMBER($L98),ISNUMBER(R$5)),IF(R$7=1,(R42)/(SUM(R$10:OFFSET(R$10,$M$5-1,0,1,1))),(1/R42)/SUM(1/R$10:OFFSET(R$10,$M$5-1,0,1,1))),"")</f>
        <v/>
      </c>
      <c r="S98" s="33" t="str">
        <f ca="1">IF(AND(ISNUMBER($L98),ISNUMBER(S$5)),IF(S$7=1,(S42)/(SUM(S$10:OFFSET(S$10,$M$5-1,0,1,1))),(1/S42)/SUM(1/S$10:OFFSET(S$10,$M$5-1,0,1,1))),"")</f>
        <v/>
      </c>
      <c r="U98" s="14"/>
      <c r="V98" s="12"/>
      <c r="W98" s="13"/>
      <c r="X98" s="33" t="str">
        <f ca="1">IF(AND(ISNUMBER($V98),ISNUMBER(X$5)),IF(X$7=1,(X42)/(SUM(X$10:OFFSET(X$10,$W$5-1,0,1,1))),(1/X42)/SUM(1/X$10:OFFSET(X$10,$W$5-1,0,1,1))),"")</f>
        <v/>
      </c>
      <c r="Y98" s="33" t="str">
        <f ca="1">IF(AND(ISNUMBER($V98),ISNUMBER(Y$5)),IF(Y$7=1,(Y42)/(SUM(Y$10:OFFSET(Y$10,$W$5-1,0,1,1))),(1/Y42)/SUM(1/Y$10:OFFSET(Y$10,$W$5-1,0,1,1))),"")</f>
        <v/>
      </c>
      <c r="Z98" s="33" t="str">
        <f ca="1">IF(AND(ISNUMBER($V98),ISNUMBER(Z$5)),IF(Z$7=1,(Z42)/(SUM(Z$10:OFFSET(Z$10,$W$5-1,0,1,1))),(1/Z42)/SUM(1/Z$10:OFFSET(Z$10,$W$5-1,0,1,1))),"")</f>
        <v/>
      </c>
      <c r="AA98" s="33" t="str">
        <f ca="1">IF(AND(ISNUMBER($V98),ISNUMBER(AA$5)),IF(AA$7=1,(AA42)/(SUM(AA$10:OFFSET(AA$10,$W$5-1,0,1,1))),(1/AA42)/SUM(1/AA$10:OFFSET(AA$10,$W$5-1,0,1,1))),"")</f>
        <v/>
      </c>
      <c r="AB98" s="33" t="str">
        <f ca="1">IF(AND(ISNUMBER($V98),ISNUMBER(AB$5)),IF(AB$7=1,(AB42)/(SUM(AB$10:OFFSET(AB$10,$W$5-1,0,1,1))),(1/AB42)/SUM(1/AB$10:OFFSET(AB$10,$W$5-1,0,1,1))),"")</f>
        <v/>
      </c>
      <c r="AC98" s="33" t="str">
        <f ca="1">IF(AND(ISNUMBER($V98),ISNUMBER(AC$5)),IF(AC$7=1,(AC42)/(SUM(AC$10:OFFSET(AC$10,$W$5-1,0,1,1))),(1/AC42)/SUM(1/AC$10:OFFSET(AC$10,$W$5-1,0,1,1))),"")</f>
        <v/>
      </c>
    </row>
    <row r="99" spans="1:29" ht="14.25" hidden="1" customHeight="1">
      <c r="A99" s="14"/>
      <c r="B99" s="12"/>
      <c r="C99" s="13"/>
      <c r="D99" s="33" t="str">
        <f ca="1">IF(AND(ISNUMBER($B99),ISNUMBER(D$5)),IF(D$7=1,(D43)/(SUM(D$10:OFFSET(D$10,$C$5-1,0,1,1))),(1/D43)/SUM(1/D$10:OFFSET(D$10,$C$5-1,0,1,1))),"")</f>
        <v/>
      </c>
      <c r="E99" s="33" t="str">
        <f ca="1">IF(AND(ISNUMBER($B99),ISNUMBER(E$5)),IF(E$7=1,(E43)/(SUM(E$10:OFFSET(E$10,$C$5-1,0,1,1))),(1/E43)/SUM(1/E$10:OFFSET(E$10,$C$5-1,0,1,1))),"")</f>
        <v/>
      </c>
      <c r="F99" s="33" t="str">
        <f ca="1">IF(AND(ISNUMBER($B99),ISNUMBER(F$5)),IF(F$7=1,(F43)/(SUM(F$10:OFFSET(F$10,$C$5-1,0,1,1))),(1/F43)/SUM(1/F$10:OFFSET(F$10,$C$5-1,0,1,1))),"")</f>
        <v/>
      </c>
      <c r="G99" s="33" t="str">
        <f ca="1">IF(AND(ISNUMBER($B99),ISNUMBER(G$5)),IF(G$7=1,(G43)/(SUM(G$10:OFFSET(G$10,$C$5-1,0,1,1))),(1/G43)/SUM(1/G$10:OFFSET(G$10,$C$5-1,0,1,1))),"")</f>
        <v/>
      </c>
      <c r="H99" s="33" t="str">
        <f ca="1">IF(AND(ISNUMBER($B99),ISNUMBER(H$5)),IF(H$7=1,(H43)/(SUM(H$10:OFFSET(H$10,$C$5-1,0,1,1))),(1/H43)/SUM(1/H$10:OFFSET(H$10,$C$5-1,0,1,1))),"")</f>
        <v/>
      </c>
      <c r="I99" s="33" t="str">
        <f ca="1">IF(AND(ISNUMBER($B99),ISNUMBER(I$5)),IF(I$7=1,(I43)/(SUM(I$10:OFFSET(I$10,$C$5-1,0,1,1))),(1/I43)/SUM(1/I$10:OFFSET(I$10,$C$5-1,0,1,1))),"")</f>
        <v/>
      </c>
      <c r="K99" s="14"/>
      <c r="L99" s="12"/>
      <c r="M99" s="13"/>
      <c r="N99" s="33" t="str">
        <f ca="1">IF(AND(ISNUMBER($L99),ISNUMBER(N$5)),IF(N$7=1,(N43)/(SUM(N$10:OFFSET(N$10,$M$5-1,0,1,1))),(1/N43)/SUM(1/N$10:OFFSET(N$10,$M$5-1,0,1,1))),"")</f>
        <v/>
      </c>
      <c r="O99" s="33" t="str">
        <f ca="1">IF(AND(ISNUMBER($L99),ISNUMBER(O$5)),IF(O$7=1,(O43)/(SUM(O$10:OFFSET(O$10,$M$5-1,0,1,1))),(1/O43)/SUM(1/O$10:OFFSET(O$10,$M$5-1,0,1,1))),"")</f>
        <v/>
      </c>
      <c r="P99" s="33" t="str">
        <f ca="1">IF(AND(ISNUMBER($L99),ISNUMBER(P$5)),IF(P$7=1,(P43)/(SUM(P$10:OFFSET(P$10,$M$5-1,0,1,1))),(1/P43)/SUM(1/P$10:OFFSET(P$10,$M$5-1,0,1,1))),"")</f>
        <v/>
      </c>
      <c r="Q99" s="33" t="str">
        <f ca="1">IF(AND(ISNUMBER($L99),ISNUMBER(Q$5)),IF(Q$7=1,(Q43)/(SUM(Q$10:OFFSET(Q$10,$M$5-1,0,1,1))),(1/Q43)/SUM(1/Q$10:OFFSET(Q$10,$M$5-1,0,1,1))),"")</f>
        <v/>
      </c>
      <c r="R99" s="33" t="str">
        <f ca="1">IF(AND(ISNUMBER($L99),ISNUMBER(R$5)),IF(R$7=1,(R43)/(SUM(R$10:OFFSET(R$10,$M$5-1,0,1,1))),(1/R43)/SUM(1/R$10:OFFSET(R$10,$M$5-1,0,1,1))),"")</f>
        <v/>
      </c>
      <c r="S99" s="33" t="str">
        <f ca="1">IF(AND(ISNUMBER($L99),ISNUMBER(S$5)),IF(S$7=1,(S43)/(SUM(S$10:OFFSET(S$10,$M$5-1,0,1,1))),(1/S43)/SUM(1/S$10:OFFSET(S$10,$M$5-1,0,1,1))),"")</f>
        <v/>
      </c>
      <c r="U99" s="14"/>
      <c r="V99" s="12"/>
      <c r="W99" s="13"/>
      <c r="X99" s="33" t="str">
        <f ca="1">IF(AND(ISNUMBER($V99),ISNUMBER(X$5)),IF(X$7=1,(X43)/(SUM(X$10:OFFSET(X$10,$W$5-1,0,1,1))),(1/X43)/SUM(1/X$10:OFFSET(X$10,$W$5-1,0,1,1))),"")</f>
        <v/>
      </c>
      <c r="Y99" s="33" t="str">
        <f ca="1">IF(AND(ISNUMBER($V99),ISNUMBER(Y$5)),IF(Y$7=1,(Y43)/(SUM(Y$10:OFFSET(Y$10,$W$5-1,0,1,1))),(1/Y43)/SUM(1/Y$10:OFFSET(Y$10,$W$5-1,0,1,1))),"")</f>
        <v/>
      </c>
      <c r="Z99" s="33" t="str">
        <f ca="1">IF(AND(ISNUMBER($V99),ISNUMBER(Z$5)),IF(Z$7=1,(Z43)/(SUM(Z$10:OFFSET(Z$10,$W$5-1,0,1,1))),(1/Z43)/SUM(1/Z$10:OFFSET(Z$10,$W$5-1,0,1,1))),"")</f>
        <v/>
      </c>
      <c r="AA99" s="33" t="str">
        <f ca="1">IF(AND(ISNUMBER($V99),ISNUMBER(AA$5)),IF(AA$7=1,(AA43)/(SUM(AA$10:OFFSET(AA$10,$W$5-1,0,1,1))),(1/AA43)/SUM(1/AA$10:OFFSET(AA$10,$W$5-1,0,1,1))),"")</f>
        <v/>
      </c>
      <c r="AB99" s="33" t="str">
        <f ca="1">IF(AND(ISNUMBER($V99),ISNUMBER(AB$5)),IF(AB$7=1,(AB43)/(SUM(AB$10:OFFSET(AB$10,$W$5-1,0,1,1))),(1/AB43)/SUM(1/AB$10:OFFSET(AB$10,$W$5-1,0,1,1))),"")</f>
        <v/>
      </c>
      <c r="AC99" s="33" t="str">
        <f ca="1">IF(AND(ISNUMBER($V99),ISNUMBER(AC$5)),IF(AC$7=1,(AC43)/(SUM(AC$10:OFFSET(AC$10,$W$5-1,0,1,1))),(1/AC43)/SUM(1/AC$10:OFFSET(AC$10,$W$5-1,0,1,1))),"")</f>
        <v/>
      </c>
    </row>
    <row r="100" spans="1:29" ht="14.25" hidden="1" customHeight="1">
      <c r="A100" s="14"/>
      <c r="B100" s="12"/>
      <c r="C100" s="13"/>
      <c r="D100" s="33" t="str">
        <f ca="1">IF(AND(ISNUMBER($B100),ISNUMBER(D$5)),IF(D$7=1,(D44)/(SUM(D$10:OFFSET(D$10,$C$5-1,0,1,1))),(1/D44)/SUM(1/D$10:OFFSET(D$10,$C$5-1,0,1,1))),"")</f>
        <v/>
      </c>
      <c r="E100" s="33" t="str">
        <f ca="1">IF(AND(ISNUMBER($B100),ISNUMBER(E$5)),IF(E$7=1,(E44)/(SUM(E$10:OFFSET(E$10,$C$5-1,0,1,1))),(1/E44)/SUM(1/E$10:OFFSET(E$10,$C$5-1,0,1,1))),"")</f>
        <v/>
      </c>
      <c r="F100" s="33" t="str">
        <f ca="1">IF(AND(ISNUMBER($B100),ISNUMBER(F$5)),IF(F$7=1,(F44)/(SUM(F$10:OFFSET(F$10,$C$5-1,0,1,1))),(1/F44)/SUM(1/F$10:OFFSET(F$10,$C$5-1,0,1,1))),"")</f>
        <v/>
      </c>
      <c r="G100" s="33" t="str">
        <f ca="1">IF(AND(ISNUMBER($B100),ISNUMBER(G$5)),IF(G$7=1,(G44)/(SUM(G$10:OFFSET(G$10,$C$5-1,0,1,1))),(1/G44)/SUM(1/G$10:OFFSET(G$10,$C$5-1,0,1,1))),"")</f>
        <v/>
      </c>
      <c r="H100" s="33" t="str">
        <f ca="1">IF(AND(ISNUMBER($B100),ISNUMBER(H$5)),IF(H$7=1,(H44)/(SUM(H$10:OFFSET(H$10,$C$5-1,0,1,1))),(1/H44)/SUM(1/H$10:OFFSET(H$10,$C$5-1,0,1,1))),"")</f>
        <v/>
      </c>
      <c r="I100" s="33" t="str">
        <f ca="1">IF(AND(ISNUMBER($B100),ISNUMBER(I$5)),IF(I$7=1,(I44)/(SUM(I$10:OFFSET(I$10,$C$5-1,0,1,1))),(1/I44)/SUM(1/I$10:OFFSET(I$10,$C$5-1,0,1,1))),"")</f>
        <v/>
      </c>
      <c r="K100" s="14"/>
      <c r="L100" s="12"/>
      <c r="M100" s="13"/>
      <c r="N100" s="33" t="str">
        <f ca="1">IF(AND(ISNUMBER($L100),ISNUMBER(N$5)),IF(N$7=1,(N44)/(SUM(N$10:OFFSET(N$10,$M$5-1,0,1,1))),(1/N44)/SUM(1/N$10:OFFSET(N$10,$M$5-1,0,1,1))),"")</f>
        <v/>
      </c>
      <c r="O100" s="33" t="str">
        <f ca="1">IF(AND(ISNUMBER($L100),ISNUMBER(O$5)),IF(O$7=1,(O44)/(SUM(O$10:OFFSET(O$10,$M$5-1,0,1,1))),(1/O44)/SUM(1/O$10:OFFSET(O$10,$M$5-1,0,1,1))),"")</f>
        <v/>
      </c>
      <c r="P100" s="33" t="str">
        <f ca="1">IF(AND(ISNUMBER($L100),ISNUMBER(P$5)),IF(P$7=1,(P44)/(SUM(P$10:OFFSET(P$10,$M$5-1,0,1,1))),(1/P44)/SUM(1/P$10:OFFSET(P$10,$M$5-1,0,1,1))),"")</f>
        <v/>
      </c>
      <c r="Q100" s="33" t="str">
        <f ca="1">IF(AND(ISNUMBER($L100),ISNUMBER(Q$5)),IF(Q$7=1,(Q44)/(SUM(Q$10:OFFSET(Q$10,$M$5-1,0,1,1))),(1/Q44)/SUM(1/Q$10:OFFSET(Q$10,$M$5-1,0,1,1))),"")</f>
        <v/>
      </c>
      <c r="R100" s="33" t="str">
        <f ca="1">IF(AND(ISNUMBER($L100),ISNUMBER(R$5)),IF(R$7=1,(R44)/(SUM(R$10:OFFSET(R$10,$M$5-1,0,1,1))),(1/R44)/SUM(1/R$10:OFFSET(R$10,$M$5-1,0,1,1))),"")</f>
        <v/>
      </c>
      <c r="S100" s="33" t="str">
        <f ca="1">IF(AND(ISNUMBER($L100),ISNUMBER(S$5)),IF(S$7=1,(S44)/(SUM(S$10:OFFSET(S$10,$M$5-1,0,1,1))),(1/S44)/SUM(1/S$10:OFFSET(S$10,$M$5-1,0,1,1))),"")</f>
        <v/>
      </c>
      <c r="U100" s="14"/>
      <c r="V100" s="12"/>
      <c r="W100" s="13"/>
      <c r="X100" s="33" t="str">
        <f ca="1">IF(AND(ISNUMBER($V100),ISNUMBER(X$5)),IF(X$7=1,(X44)/(SUM(X$10:OFFSET(X$10,$W$5-1,0,1,1))),(1/X44)/SUM(1/X$10:OFFSET(X$10,$W$5-1,0,1,1))),"")</f>
        <v/>
      </c>
      <c r="Y100" s="33" t="str">
        <f ca="1">IF(AND(ISNUMBER($V100),ISNUMBER(Y$5)),IF(Y$7=1,(Y44)/(SUM(Y$10:OFFSET(Y$10,$W$5-1,0,1,1))),(1/Y44)/SUM(1/Y$10:OFFSET(Y$10,$W$5-1,0,1,1))),"")</f>
        <v/>
      </c>
      <c r="Z100" s="33" t="str">
        <f ca="1">IF(AND(ISNUMBER($V100),ISNUMBER(Z$5)),IF(Z$7=1,(Z44)/(SUM(Z$10:OFFSET(Z$10,$W$5-1,0,1,1))),(1/Z44)/SUM(1/Z$10:OFFSET(Z$10,$W$5-1,0,1,1))),"")</f>
        <v/>
      </c>
      <c r="AA100" s="33" t="str">
        <f ca="1">IF(AND(ISNUMBER($V100),ISNUMBER(AA$5)),IF(AA$7=1,(AA44)/(SUM(AA$10:OFFSET(AA$10,$W$5-1,0,1,1))),(1/AA44)/SUM(1/AA$10:OFFSET(AA$10,$W$5-1,0,1,1))),"")</f>
        <v/>
      </c>
      <c r="AB100" s="33" t="str">
        <f ca="1">IF(AND(ISNUMBER($V100),ISNUMBER(AB$5)),IF(AB$7=1,(AB44)/(SUM(AB$10:OFFSET(AB$10,$W$5-1,0,1,1))),(1/AB44)/SUM(1/AB$10:OFFSET(AB$10,$W$5-1,0,1,1))),"")</f>
        <v/>
      </c>
      <c r="AC100" s="33" t="str">
        <f ca="1">IF(AND(ISNUMBER($V100),ISNUMBER(AC$5)),IF(AC$7=1,(AC44)/(SUM(AC$10:OFFSET(AC$10,$W$5-1,0,1,1))),(1/AC44)/SUM(1/AC$10:OFFSET(AC$10,$W$5-1,0,1,1))),"")</f>
        <v/>
      </c>
    </row>
    <row r="101" spans="1:29" ht="14.25" hidden="1" customHeight="1">
      <c r="A101" s="14"/>
      <c r="B101" s="12"/>
      <c r="C101" s="13"/>
      <c r="D101" s="33" t="str">
        <f ca="1">IF(AND(ISNUMBER($B101),ISNUMBER(D$5)),IF(D$7=1,(D45)/(SUM(D$10:OFFSET(D$10,$C$5-1,0,1,1))),(1/D45)/SUM(1/D$10:OFFSET(D$10,$C$5-1,0,1,1))),"")</f>
        <v/>
      </c>
      <c r="E101" s="33" t="str">
        <f ca="1">IF(AND(ISNUMBER($B101),ISNUMBER(E$5)),IF(E$7=1,(E45)/(SUM(E$10:OFFSET(E$10,$C$5-1,0,1,1))),(1/E45)/SUM(1/E$10:OFFSET(E$10,$C$5-1,0,1,1))),"")</f>
        <v/>
      </c>
      <c r="F101" s="33" t="str">
        <f ca="1">IF(AND(ISNUMBER($B101),ISNUMBER(F$5)),IF(F$7=1,(F45)/(SUM(F$10:OFFSET(F$10,$C$5-1,0,1,1))),(1/F45)/SUM(1/F$10:OFFSET(F$10,$C$5-1,0,1,1))),"")</f>
        <v/>
      </c>
      <c r="G101" s="33" t="str">
        <f ca="1">IF(AND(ISNUMBER($B101),ISNUMBER(G$5)),IF(G$7=1,(G45)/(SUM(G$10:OFFSET(G$10,$C$5-1,0,1,1))),(1/G45)/SUM(1/G$10:OFFSET(G$10,$C$5-1,0,1,1))),"")</f>
        <v/>
      </c>
      <c r="H101" s="33" t="str">
        <f ca="1">IF(AND(ISNUMBER($B101),ISNUMBER(H$5)),IF(H$7=1,(H45)/(SUM(H$10:OFFSET(H$10,$C$5-1,0,1,1))),(1/H45)/SUM(1/H$10:OFFSET(H$10,$C$5-1,0,1,1))),"")</f>
        <v/>
      </c>
      <c r="I101" s="33" t="str">
        <f ca="1">IF(AND(ISNUMBER($B101),ISNUMBER(I$5)),IF(I$7=1,(I45)/(SUM(I$10:OFFSET(I$10,$C$5-1,0,1,1))),(1/I45)/SUM(1/I$10:OFFSET(I$10,$C$5-1,0,1,1))),"")</f>
        <v/>
      </c>
      <c r="K101" s="14"/>
      <c r="L101" s="12"/>
      <c r="M101" s="13"/>
      <c r="N101" s="33" t="str">
        <f ca="1">IF(AND(ISNUMBER($L101),ISNUMBER(N$5)),IF(N$7=1,(N45)/(SUM(N$10:OFFSET(N$10,$M$5-1,0,1,1))),(1/N45)/SUM(1/N$10:OFFSET(N$10,$M$5-1,0,1,1))),"")</f>
        <v/>
      </c>
      <c r="O101" s="33" t="str">
        <f ca="1">IF(AND(ISNUMBER($L101),ISNUMBER(O$5)),IF(O$7=1,(O45)/(SUM(O$10:OFFSET(O$10,$M$5-1,0,1,1))),(1/O45)/SUM(1/O$10:OFFSET(O$10,$M$5-1,0,1,1))),"")</f>
        <v/>
      </c>
      <c r="P101" s="33" t="str">
        <f ca="1">IF(AND(ISNUMBER($L101),ISNUMBER(P$5)),IF(P$7=1,(P45)/(SUM(P$10:OFFSET(P$10,$M$5-1,0,1,1))),(1/P45)/SUM(1/P$10:OFFSET(P$10,$M$5-1,0,1,1))),"")</f>
        <v/>
      </c>
      <c r="Q101" s="33" t="str">
        <f ca="1">IF(AND(ISNUMBER($L101),ISNUMBER(Q$5)),IF(Q$7=1,(Q45)/(SUM(Q$10:OFFSET(Q$10,$M$5-1,0,1,1))),(1/Q45)/SUM(1/Q$10:OFFSET(Q$10,$M$5-1,0,1,1))),"")</f>
        <v/>
      </c>
      <c r="R101" s="33" t="str">
        <f ca="1">IF(AND(ISNUMBER($L101),ISNUMBER(R$5)),IF(R$7=1,(R45)/(SUM(R$10:OFFSET(R$10,$M$5-1,0,1,1))),(1/R45)/SUM(1/R$10:OFFSET(R$10,$M$5-1,0,1,1))),"")</f>
        <v/>
      </c>
      <c r="S101" s="33" t="str">
        <f ca="1">IF(AND(ISNUMBER($L101),ISNUMBER(S$5)),IF(S$7=1,(S45)/(SUM(S$10:OFFSET(S$10,$M$5-1,0,1,1))),(1/S45)/SUM(1/S$10:OFFSET(S$10,$M$5-1,0,1,1))),"")</f>
        <v/>
      </c>
      <c r="U101" s="14"/>
      <c r="V101" s="12"/>
      <c r="W101" s="13"/>
      <c r="X101" s="33" t="str">
        <f ca="1">IF(AND(ISNUMBER($V101),ISNUMBER(X$5)),IF(X$7=1,(X45)/(SUM(X$10:OFFSET(X$10,$W$5-1,0,1,1))),(1/X45)/SUM(1/X$10:OFFSET(X$10,$W$5-1,0,1,1))),"")</f>
        <v/>
      </c>
      <c r="Y101" s="33" t="str">
        <f ca="1">IF(AND(ISNUMBER($V101),ISNUMBER(Y$5)),IF(Y$7=1,(Y45)/(SUM(Y$10:OFFSET(Y$10,$W$5-1,0,1,1))),(1/Y45)/SUM(1/Y$10:OFFSET(Y$10,$W$5-1,0,1,1))),"")</f>
        <v/>
      </c>
      <c r="Z101" s="33" t="str">
        <f ca="1">IF(AND(ISNUMBER($V101),ISNUMBER(Z$5)),IF(Z$7=1,(Z45)/(SUM(Z$10:OFFSET(Z$10,$W$5-1,0,1,1))),(1/Z45)/SUM(1/Z$10:OFFSET(Z$10,$W$5-1,0,1,1))),"")</f>
        <v/>
      </c>
      <c r="AA101" s="33" t="str">
        <f ca="1">IF(AND(ISNUMBER($V101),ISNUMBER(AA$5)),IF(AA$7=1,(AA45)/(SUM(AA$10:OFFSET(AA$10,$W$5-1,0,1,1))),(1/AA45)/SUM(1/AA$10:OFFSET(AA$10,$W$5-1,0,1,1))),"")</f>
        <v/>
      </c>
      <c r="AB101" s="33" t="str">
        <f ca="1">IF(AND(ISNUMBER($V101),ISNUMBER(AB$5)),IF(AB$7=1,(AB45)/(SUM(AB$10:OFFSET(AB$10,$W$5-1,0,1,1))),(1/AB45)/SUM(1/AB$10:OFFSET(AB$10,$W$5-1,0,1,1))),"")</f>
        <v/>
      </c>
      <c r="AC101" s="33" t="str">
        <f ca="1">IF(AND(ISNUMBER($V101),ISNUMBER(AC$5)),IF(AC$7=1,(AC45)/(SUM(AC$10:OFFSET(AC$10,$W$5-1,0,1,1))),(1/AC45)/SUM(1/AC$10:OFFSET(AC$10,$W$5-1,0,1,1))),"")</f>
        <v/>
      </c>
    </row>
    <row r="102" spans="1:29" ht="14.25" hidden="1" customHeight="1">
      <c r="A102" s="14"/>
      <c r="B102" s="12"/>
      <c r="C102" s="13"/>
      <c r="D102" s="33" t="str">
        <f ca="1">IF(AND(ISNUMBER($B102),ISNUMBER(D$5)),IF(D$7=1,(D46)/(SUM(D$10:OFFSET(D$10,$C$5-1,0,1,1))),(1/D46)/SUM(1/D$10:OFFSET(D$10,$C$5-1,0,1,1))),"")</f>
        <v/>
      </c>
      <c r="E102" s="33" t="str">
        <f ca="1">IF(AND(ISNUMBER($B102),ISNUMBER(E$5)),IF(E$7=1,(E46)/(SUM(E$10:OFFSET(E$10,$C$5-1,0,1,1))),(1/E46)/SUM(1/E$10:OFFSET(E$10,$C$5-1,0,1,1))),"")</f>
        <v/>
      </c>
      <c r="F102" s="33" t="str">
        <f ca="1">IF(AND(ISNUMBER($B102),ISNUMBER(F$5)),IF(F$7=1,(F46)/(SUM(F$10:OFFSET(F$10,$C$5-1,0,1,1))),(1/F46)/SUM(1/F$10:OFFSET(F$10,$C$5-1,0,1,1))),"")</f>
        <v/>
      </c>
      <c r="G102" s="33" t="str">
        <f ca="1">IF(AND(ISNUMBER($B102),ISNUMBER(G$5)),IF(G$7=1,(G46)/(SUM(G$10:OFFSET(G$10,$C$5-1,0,1,1))),(1/G46)/SUM(1/G$10:OFFSET(G$10,$C$5-1,0,1,1))),"")</f>
        <v/>
      </c>
      <c r="H102" s="33" t="str">
        <f ca="1">IF(AND(ISNUMBER($B102),ISNUMBER(H$5)),IF(H$7=1,(H46)/(SUM(H$10:OFFSET(H$10,$C$5-1,0,1,1))),(1/H46)/SUM(1/H$10:OFFSET(H$10,$C$5-1,0,1,1))),"")</f>
        <v/>
      </c>
      <c r="I102" s="33" t="str">
        <f ca="1">IF(AND(ISNUMBER($B102),ISNUMBER(I$5)),IF(I$7=1,(I46)/(SUM(I$10:OFFSET(I$10,$C$5-1,0,1,1))),(1/I46)/SUM(1/I$10:OFFSET(I$10,$C$5-1,0,1,1))),"")</f>
        <v/>
      </c>
      <c r="K102" s="14"/>
      <c r="L102" s="12"/>
      <c r="M102" s="13"/>
      <c r="N102" s="33" t="str">
        <f ca="1">IF(AND(ISNUMBER($L102),ISNUMBER(N$5)),IF(N$7=1,(N46)/(SUM(N$10:OFFSET(N$10,$M$5-1,0,1,1))),(1/N46)/SUM(1/N$10:OFFSET(N$10,$M$5-1,0,1,1))),"")</f>
        <v/>
      </c>
      <c r="O102" s="33" t="str">
        <f ca="1">IF(AND(ISNUMBER($L102),ISNUMBER(O$5)),IF(O$7=1,(O46)/(SUM(O$10:OFFSET(O$10,$M$5-1,0,1,1))),(1/O46)/SUM(1/O$10:OFFSET(O$10,$M$5-1,0,1,1))),"")</f>
        <v/>
      </c>
      <c r="P102" s="33" t="str">
        <f ca="1">IF(AND(ISNUMBER($L102),ISNUMBER(P$5)),IF(P$7=1,(P46)/(SUM(P$10:OFFSET(P$10,$M$5-1,0,1,1))),(1/P46)/SUM(1/P$10:OFFSET(P$10,$M$5-1,0,1,1))),"")</f>
        <v/>
      </c>
      <c r="Q102" s="33" t="str">
        <f ca="1">IF(AND(ISNUMBER($L102),ISNUMBER(Q$5)),IF(Q$7=1,(Q46)/(SUM(Q$10:OFFSET(Q$10,$M$5-1,0,1,1))),(1/Q46)/SUM(1/Q$10:OFFSET(Q$10,$M$5-1,0,1,1))),"")</f>
        <v/>
      </c>
      <c r="R102" s="33" t="str">
        <f ca="1">IF(AND(ISNUMBER($L102),ISNUMBER(R$5)),IF(R$7=1,(R46)/(SUM(R$10:OFFSET(R$10,$M$5-1,0,1,1))),(1/R46)/SUM(1/R$10:OFFSET(R$10,$M$5-1,0,1,1))),"")</f>
        <v/>
      </c>
      <c r="S102" s="33" t="str">
        <f ca="1">IF(AND(ISNUMBER($L102),ISNUMBER(S$5)),IF(S$7=1,(S46)/(SUM(S$10:OFFSET(S$10,$M$5-1,0,1,1))),(1/S46)/SUM(1/S$10:OFFSET(S$10,$M$5-1,0,1,1))),"")</f>
        <v/>
      </c>
      <c r="U102" s="14"/>
      <c r="V102" s="12"/>
      <c r="W102" s="13"/>
      <c r="X102" s="33" t="str">
        <f ca="1">IF(AND(ISNUMBER($V102),ISNUMBER(X$5)),IF(X$7=1,(X46)/(SUM(X$10:OFFSET(X$10,$W$5-1,0,1,1))),(1/X46)/SUM(1/X$10:OFFSET(X$10,$W$5-1,0,1,1))),"")</f>
        <v/>
      </c>
      <c r="Y102" s="33" t="str">
        <f ca="1">IF(AND(ISNUMBER($V102),ISNUMBER(Y$5)),IF(Y$7=1,(Y46)/(SUM(Y$10:OFFSET(Y$10,$W$5-1,0,1,1))),(1/Y46)/SUM(1/Y$10:OFFSET(Y$10,$W$5-1,0,1,1))),"")</f>
        <v/>
      </c>
      <c r="Z102" s="33" t="str">
        <f ca="1">IF(AND(ISNUMBER($V102),ISNUMBER(Z$5)),IF(Z$7=1,(Z46)/(SUM(Z$10:OFFSET(Z$10,$W$5-1,0,1,1))),(1/Z46)/SUM(1/Z$10:OFFSET(Z$10,$W$5-1,0,1,1))),"")</f>
        <v/>
      </c>
      <c r="AA102" s="33" t="str">
        <f ca="1">IF(AND(ISNUMBER($V102),ISNUMBER(AA$5)),IF(AA$7=1,(AA46)/(SUM(AA$10:OFFSET(AA$10,$W$5-1,0,1,1))),(1/AA46)/SUM(1/AA$10:OFFSET(AA$10,$W$5-1,0,1,1))),"")</f>
        <v/>
      </c>
      <c r="AB102" s="33" t="str">
        <f ca="1">IF(AND(ISNUMBER($V102),ISNUMBER(AB$5)),IF(AB$7=1,(AB46)/(SUM(AB$10:OFFSET(AB$10,$W$5-1,0,1,1))),(1/AB46)/SUM(1/AB$10:OFFSET(AB$10,$W$5-1,0,1,1))),"")</f>
        <v/>
      </c>
      <c r="AC102" s="33" t="str">
        <f ca="1">IF(AND(ISNUMBER($V102),ISNUMBER(AC$5)),IF(AC$7=1,(AC46)/(SUM(AC$10:OFFSET(AC$10,$W$5-1,0,1,1))),(1/AC46)/SUM(1/AC$10:OFFSET(AC$10,$W$5-1,0,1,1))),"")</f>
        <v/>
      </c>
    </row>
    <row r="103" spans="1:29" ht="14.25" hidden="1" customHeight="1">
      <c r="A103" s="14"/>
      <c r="B103" s="12"/>
      <c r="C103" s="13"/>
      <c r="D103" s="33" t="str">
        <f ca="1">IF(AND(ISNUMBER($B103),ISNUMBER(D$5)),IF(D$7=1,(D47)/(SUM(D$10:OFFSET(D$10,$C$5-1,0,1,1))),(1/D47)/SUM(1/D$10:OFFSET(D$10,$C$5-1,0,1,1))),"")</f>
        <v/>
      </c>
      <c r="E103" s="33" t="str">
        <f ca="1">IF(AND(ISNUMBER($B103),ISNUMBER(E$5)),IF(E$7=1,(E47)/(SUM(E$10:OFFSET(E$10,$C$5-1,0,1,1))),(1/E47)/SUM(1/E$10:OFFSET(E$10,$C$5-1,0,1,1))),"")</f>
        <v/>
      </c>
      <c r="F103" s="33" t="str">
        <f ca="1">IF(AND(ISNUMBER($B103),ISNUMBER(F$5)),IF(F$7=1,(F47)/(SUM(F$10:OFFSET(F$10,$C$5-1,0,1,1))),(1/F47)/SUM(1/F$10:OFFSET(F$10,$C$5-1,0,1,1))),"")</f>
        <v/>
      </c>
      <c r="G103" s="33" t="str">
        <f ca="1">IF(AND(ISNUMBER($B103),ISNUMBER(G$5)),IF(G$7=1,(G47)/(SUM(G$10:OFFSET(G$10,$C$5-1,0,1,1))),(1/G47)/SUM(1/G$10:OFFSET(G$10,$C$5-1,0,1,1))),"")</f>
        <v/>
      </c>
      <c r="H103" s="33" t="str">
        <f ca="1">IF(AND(ISNUMBER($B103),ISNUMBER(H$5)),IF(H$7=1,(H47)/(SUM(H$10:OFFSET(H$10,$C$5-1,0,1,1))),(1/H47)/SUM(1/H$10:OFFSET(H$10,$C$5-1,0,1,1))),"")</f>
        <v/>
      </c>
      <c r="I103" s="33" t="str">
        <f ca="1">IF(AND(ISNUMBER($B103),ISNUMBER(I$5)),IF(I$7=1,(I47)/(SUM(I$10:OFFSET(I$10,$C$5-1,0,1,1))),(1/I47)/SUM(1/I$10:OFFSET(I$10,$C$5-1,0,1,1))),"")</f>
        <v/>
      </c>
      <c r="K103" s="14"/>
      <c r="L103" s="12"/>
      <c r="M103" s="13"/>
      <c r="N103" s="33" t="str">
        <f ca="1">IF(AND(ISNUMBER($L103),ISNUMBER(N$5)),IF(N$7=1,(N47)/(SUM(N$10:OFFSET(N$10,$M$5-1,0,1,1))),(1/N47)/SUM(1/N$10:OFFSET(N$10,$M$5-1,0,1,1))),"")</f>
        <v/>
      </c>
      <c r="O103" s="33" t="str">
        <f ca="1">IF(AND(ISNUMBER($L103),ISNUMBER(O$5)),IF(O$7=1,(O47)/(SUM(O$10:OFFSET(O$10,$M$5-1,0,1,1))),(1/O47)/SUM(1/O$10:OFFSET(O$10,$M$5-1,0,1,1))),"")</f>
        <v/>
      </c>
      <c r="P103" s="33" t="str">
        <f ca="1">IF(AND(ISNUMBER($L103),ISNUMBER(P$5)),IF(P$7=1,(P47)/(SUM(P$10:OFFSET(P$10,$M$5-1,0,1,1))),(1/P47)/SUM(1/P$10:OFFSET(P$10,$M$5-1,0,1,1))),"")</f>
        <v/>
      </c>
      <c r="Q103" s="33" t="str">
        <f ca="1">IF(AND(ISNUMBER($L103),ISNUMBER(Q$5)),IF(Q$7=1,(Q47)/(SUM(Q$10:OFFSET(Q$10,$M$5-1,0,1,1))),(1/Q47)/SUM(1/Q$10:OFFSET(Q$10,$M$5-1,0,1,1))),"")</f>
        <v/>
      </c>
      <c r="R103" s="33" t="str">
        <f ca="1">IF(AND(ISNUMBER($L103),ISNUMBER(R$5)),IF(R$7=1,(R47)/(SUM(R$10:OFFSET(R$10,$M$5-1,0,1,1))),(1/R47)/SUM(1/R$10:OFFSET(R$10,$M$5-1,0,1,1))),"")</f>
        <v/>
      </c>
      <c r="S103" s="33" t="str">
        <f ca="1">IF(AND(ISNUMBER($L103),ISNUMBER(S$5)),IF(S$7=1,(S47)/(SUM(S$10:OFFSET(S$10,$M$5-1,0,1,1))),(1/S47)/SUM(1/S$10:OFFSET(S$10,$M$5-1,0,1,1))),"")</f>
        <v/>
      </c>
      <c r="U103" s="14"/>
      <c r="V103" s="12"/>
      <c r="W103" s="13"/>
      <c r="X103" s="33" t="str">
        <f ca="1">IF(AND(ISNUMBER($V103),ISNUMBER(X$5)),IF(X$7=1,(X47)/(SUM(X$10:OFFSET(X$10,$W$5-1,0,1,1))),(1/X47)/SUM(1/X$10:OFFSET(X$10,$W$5-1,0,1,1))),"")</f>
        <v/>
      </c>
      <c r="Y103" s="33" t="str">
        <f ca="1">IF(AND(ISNUMBER($V103),ISNUMBER(Y$5)),IF(Y$7=1,(Y47)/(SUM(Y$10:OFFSET(Y$10,$W$5-1,0,1,1))),(1/Y47)/SUM(1/Y$10:OFFSET(Y$10,$W$5-1,0,1,1))),"")</f>
        <v/>
      </c>
      <c r="Z103" s="33" t="str">
        <f ca="1">IF(AND(ISNUMBER($V103),ISNUMBER(Z$5)),IF(Z$7=1,(Z47)/(SUM(Z$10:OFFSET(Z$10,$W$5-1,0,1,1))),(1/Z47)/SUM(1/Z$10:OFFSET(Z$10,$W$5-1,0,1,1))),"")</f>
        <v/>
      </c>
      <c r="AA103" s="33" t="str">
        <f ca="1">IF(AND(ISNUMBER($V103),ISNUMBER(AA$5)),IF(AA$7=1,(AA47)/(SUM(AA$10:OFFSET(AA$10,$W$5-1,0,1,1))),(1/AA47)/SUM(1/AA$10:OFFSET(AA$10,$W$5-1,0,1,1))),"")</f>
        <v/>
      </c>
      <c r="AB103" s="33" t="str">
        <f ca="1">IF(AND(ISNUMBER($V103),ISNUMBER(AB$5)),IF(AB$7=1,(AB47)/(SUM(AB$10:OFFSET(AB$10,$W$5-1,0,1,1))),(1/AB47)/SUM(1/AB$10:OFFSET(AB$10,$W$5-1,0,1,1))),"")</f>
        <v/>
      </c>
      <c r="AC103" s="33" t="str">
        <f ca="1">IF(AND(ISNUMBER($V103),ISNUMBER(AC$5)),IF(AC$7=1,(AC47)/(SUM(AC$10:OFFSET(AC$10,$W$5-1,0,1,1))),(1/AC47)/SUM(1/AC$10:OFFSET(AC$10,$W$5-1,0,1,1))),"")</f>
        <v/>
      </c>
    </row>
    <row r="104" spans="1:29" ht="14.25" hidden="1" customHeight="1">
      <c r="A104" s="14"/>
      <c r="B104" s="12"/>
      <c r="C104" s="13"/>
      <c r="D104" s="33" t="str">
        <f ca="1">IF(AND(ISNUMBER($B104),ISNUMBER(D$5)),IF(D$7=1,(D48)/(SUM(D$10:OFFSET(D$10,$C$5-1,0,1,1))),(1/D48)/SUM(1/D$10:OFFSET(D$10,$C$5-1,0,1,1))),"")</f>
        <v/>
      </c>
      <c r="E104" s="33" t="str">
        <f ca="1">IF(AND(ISNUMBER($B104),ISNUMBER(E$5)),IF(E$7=1,(E48)/(SUM(E$10:OFFSET(E$10,$C$5-1,0,1,1))),(1/E48)/SUM(1/E$10:OFFSET(E$10,$C$5-1,0,1,1))),"")</f>
        <v/>
      </c>
      <c r="F104" s="33" t="str">
        <f ca="1">IF(AND(ISNUMBER($B104),ISNUMBER(F$5)),IF(F$7=1,(F48)/(SUM(F$10:OFFSET(F$10,$C$5-1,0,1,1))),(1/F48)/SUM(1/F$10:OFFSET(F$10,$C$5-1,0,1,1))),"")</f>
        <v/>
      </c>
      <c r="G104" s="33" t="str">
        <f ca="1">IF(AND(ISNUMBER($B104),ISNUMBER(G$5)),IF(G$7=1,(G48)/(SUM(G$10:OFFSET(G$10,$C$5-1,0,1,1))),(1/G48)/SUM(1/G$10:OFFSET(G$10,$C$5-1,0,1,1))),"")</f>
        <v/>
      </c>
      <c r="H104" s="33" t="str">
        <f ca="1">IF(AND(ISNUMBER($B104),ISNUMBER(H$5)),IF(H$7=1,(H48)/(SUM(H$10:OFFSET(H$10,$C$5-1,0,1,1))),(1/H48)/SUM(1/H$10:OFFSET(H$10,$C$5-1,0,1,1))),"")</f>
        <v/>
      </c>
      <c r="I104" s="33" t="str">
        <f ca="1">IF(AND(ISNUMBER($B104),ISNUMBER(I$5)),IF(I$7=1,(I48)/(SUM(I$10:OFFSET(I$10,$C$5-1,0,1,1))),(1/I48)/SUM(1/I$10:OFFSET(I$10,$C$5-1,0,1,1))),"")</f>
        <v/>
      </c>
      <c r="K104" s="14"/>
      <c r="L104" s="12"/>
      <c r="M104" s="13"/>
      <c r="N104" s="33" t="str">
        <f ca="1">IF(AND(ISNUMBER($L104),ISNUMBER(N$5)),IF(N$7=1,(N48)/(SUM(N$10:OFFSET(N$10,$M$5-1,0,1,1))),(1/N48)/SUM(1/N$10:OFFSET(N$10,$M$5-1,0,1,1))),"")</f>
        <v/>
      </c>
      <c r="O104" s="33" t="str">
        <f ca="1">IF(AND(ISNUMBER($L104),ISNUMBER(O$5)),IF(O$7=1,(O48)/(SUM(O$10:OFFSET(O$10,$M$5-1,0,1,1))),(1/O48)/SUM(1/O$10:OFFSET(O$10,$M$5-1,0,1,1))),"")</f>
        <v/>
      </c>
      <c r="P104" s="33" t="str">
        <f ca="1">IF(AND(ISNUMBER($L104),ISNUMBER(P$5)),IF(P$7=1,(P48)/(SUM(P$10:OFFSET(P$10,$M$5-1,0,1,1))),(1/P48)/SUM(1/P$10:OFFSET(P$10,$M$5-1,0,1,1))),"")</f>
        <v/>
      </c>
      <c r="Q104" s="33" t="str">
        <f ca="1">IF(AND(ISNUMBER($L104),ISNUMBER(Q$5)),IF(Q$7=1,(Q48)/(SUM(Q$10:OFFSET(Q$10,$M$5-1,0,1,1))),(1/Q48)/SUM(1/Q$10:OFFSET(Q$10,$M$5-1,0,1,1))),"")</f>
        <v/>
      </c>
      <c r="R104" s="33" t="str">
        <f ca="1">IF(AND(ISNUMBER($L104),ISNUMBER(R$5)),IF(R$7=1,(R48)/(SUM(R$10:OFFSET(R$10,$M$5-1,0,1,1))),(1/R48)/SUM(1/R$10:OFFSET(R$10,$M$5-1,0,1,1))),"")</f>
        <v/>
      </c>
      <c r="S104" s="33" t="str">
        <f ca="1">IF(AND(ISNUMBER($L104),ISNUMBER(S$5)),IF(S$7=1,(S48)/(SUM(S$10:OFFSET(S$10,$M$5-1,0,1,1))),(1/S48)/SUM(1/S$10:OFFSET(S$10,$M$5-1,0,1,1))),"")</f>
        <v/>
      </c>
      <c r="U104" s="14"/>
      <c r="V104" s="12"/>
      <c r="W104" s="13"/>
      <c r="X104" s="33" t="str">
        <f ca="1">IF(AND(ISNUMBER($V104),ISNUMBER(X$5)),IF(X$7=1,(X48)/(SUM(X$10:OFFSET(X$10,$W$5-1,0,1,1))),(1/X48)/SUM(1/X$10:OFFSET(X$10,$W$5-1,0,1,1))),"")</f>
        <v/>
      </c>
      <c r="Y104" s="33" t="str">
        <f ca="1">IF(AND(ISNUMBER($V104),ISNUMBER(Y$5)),IF(Y$7=1,(Y48)/(SUM(Y$10:OFFSET(Y$10,$W$5-1,0,1,1))),(1/Y48)/SUM(1/Y$10:OFFSET(Y$10,$W$5-1,0,1,1))),"")</f>
        <v/>
      </c>
      <c r="Z104" s="33" t="str">
        <f ca="1">IF(AND(ISNUMBER($V104),ISNUMBER(Z$5)),IF(Z$7=1,(Z48)/(SUM(Z$10:OFFSET(Z$10,$W$5-1,0,1,1))),(1/Z48)/SUM(1/Z$10:OFFSET(Z$10,$W$5-1,0,1,1))),"")</f>
        <v/>
      </c>
      <c r="AA104" s="33" t="str">
        <f ca="1">IF(AND(ISNUMBER($V104),ISNUMBER(AA$5)),IF(AA$7=1,(AA48)/(SUM(AA$10:OFFSET(AA$10,$W$5-1,0,1,1))),(1/AA48)/SUM(1/AA$10:OFFSET(AA$10,$W$5-1,0,1,1))),"")</f>
        <v/>
      </c>
      <c r="AB104" s="33" t="str">
        <f ca="1">IF(AND(ISNUMBER($V104),ISNUMBER(AB$5)),IF(AB$7=1,(AB48)/(SUM(AB$10:OFFSET(AB$10,$W$5-1,0,1,1))),(1/AB48)/SUM(1/AB$10:OFFSET(AB$10,$W$5-1,0,1,1))),"")</f>
        <v/>
      </c>
      <c r="AC104" s="33" t="str">
        <f ca="1">IF(AND(ISNUMBER($V104),ISNUMBER(AC$5)),IF(AC$7=1,(AC48)/(SUM(AC$10:OFFSET(AC$10,$W$5-1,0,1,1))),(1/AC48)/SUM(1/AC$10:OFFSET(AC$10,$W$5-1,0,1,1))),"")</f>
        <v/>
      </c>
    </row>
    <row r="105" spans="1:29" ht="14.25" hidden="1" customHeight="1">
      <c r="A105" s="14"/>
      <c r="B105" s="12"/>
      <c r="C105" s="13"/>
      <c r="D105" s="33" t="str">
        <f ca="1">IF(AND(ISNUMBER($B105),ISNUMBER(D$5)),IF(D$7=1,(D49)/(SUM(D$10:OFFSET(D$10,$C$5-1,0,1,1))),(1/D49)/SUM(1/D$10:OFFSET(D$10,$C$5-1,0,1,1))),"")</f>
        <v/>
      </c>
      <c r="E105" s="33" t="str">
        <f ca="1">IF(AND(ISNUMBER($B105),ISNUMBER(E$5)),IF(E$7=1,(E49)/(SUM(E$10:OFFSET(E$10,$C$5-1,0,1,1))),(1/E49)/SUM(1/E$10:OFFSET(E$10,$C$5-1,0,1,1))),"")</f>
        <v/>
      </c>
      <c r="F105" s="33" t="str">
        <f ca="1">IF(AND(ISNUMBER($B105),ISNUMBER(F$5)),IF(F$7=1,(F49)/(SUM(F$10:OFFSET(F$10,$C$5-1,0,1,1))),(1/F49)/SUM(1/F$10:OFFSET(F$10,$C$5-1,0,1,1))),"")</f>
        <v/>
      </c>
      <c r="G105" s="33" t="str">
        <f ca="1">IF(AND(ISNUMBER($B105),ISNUMBER(G$5)),IF(G$7=1,(G49)/(SUM(G$10:OFFSET(G$10,$C$5-1,0,1,1))),(1/G49)/SUM(1/G$10:OFFSET(G$10,$C$5-1,0,1,1))),"")</f>
        <v/>
      </c>
      <c r="H105" s="33" t="str">
        <f ca="1">IF(AND(ISNUMBER($B105),ISNUMBER(H$5)),IF(H$7=1,(H49)/(SUM(H$10:OFFSET(H$10,$C$5-1,0,1,1))),(1/H49)/SUM(1/H$10:OFFSET(H$10,$C$5-1,0,1,1))),"")</f>
        <v/>
      </c>
      <c r="I105" s="33" t="str">
        <f ca="1">IF(AND(ISNUMBER($B105),ISNUMBER(I$5)),IF(I$7=1,(I49)/(SUM(I$10:OFFSET(I$10,$C$5-1,0,1,1))),(1/I49)/SUM(1/I$10:OFFSET(I$10,$C$5-1,0,1,1))),"")</f>
        <v/>
      </c>
      <c r="K105" s="14"/>
      <c r="L105" s="12"/>
      <c r="M105" s="13"/>
      <c r="N105" s="33" t="str">
        <f ca="1">IF(AND(ISNUMBER($L105),ISNUMBER(N$5)),IF(N$7=1,(N49)/(SUM(N$10:OFFSET(N$10,$M$5-1,0,1,1))),(1/N49)/SUM(1/N$10:OFFSET(N$10,$M$5-1,0,1,1))),"")</f>
        <v/>
      </c>
      <c r="O105" s="33" t="str">
        <f ca="1">IF(AND(ISNUMBER($L105),ISNUMBER(O$5)),IF(O$7=1,(O49)/(SUM(O$10:OFFSET(O$10,$M$5-1,0,1,1))),(1/O49)/SUM(1/O$10:OFFSET(O$10,$M$5-1,0,1,1))),"")</f>
        <v/>
      </c>
      <c r="P105" s="33" t="str">
        <f ca="1">IF(AND(ISNUMBER($L105),ISNUMBER(P$5)),IF(P$7=1,(P49)/(SUM(P$10:OFFSET(P$10,$M$5-1,0,1,1))),(1/P49)/SUM(1/P$10:OFFSET(P$10,$M$5-1,0,1,1))),"")</f>
        <v/>
      </c>
      <c r="Q105" s="33" t="str">
        <f ca="1">IF(AND(ISNUMBER($L105),ISNUMBER(Q$5)),IF(Q$7=1,(Q49)/(SUM(Q$10:OFFSET(Q$10,$M$5-1,0,1,1))),(1/Q49)/SUM(1/Q$10:OFFSET(Q$10,$M$5-1,0,1,1))),"")</f>
        <v/>
      </c>
      <c r="R105" s="33" t="str">
        <f ca="1">IF(AND(ISNUMBER($L105),ISNUMBER(R$5)),IF(R$7=1,(R49)/(SUM(R$10:OFFSET(R$10,$M$5-1,0,1,1))),(1/R49)/SUM(1/R$10:OFFSET(R$10,$M$5-1,0,1,1))),"")</f>
        <v/>
      </c>
      <c r="S105" s="33" t="str">
        <f ca="1">IF(AND(ISNUMBER($L105),ISNUMBER(S$5)),IF(S$7=1,(S49)/(SUM(S$10:OFFSET(S$10,$M$5-1,0,1,1))),(1/S49)/SUM(1/S$10:OFFSET(S$10,$M$5-1,0,1,1))),"")</f>
        <v/>
      </c>
      <c r="U105" s="14"/>
      <c r="V105" s="12"/>
      <c r="W105" s="13"/>
      <c r="X105" s="33" t="str">
        <f ca="1">IF(AND(ISNUMBER($V105),ISNUMBER(X$5)),IF(X$7=1,(X49)/(SUM(X$10:OFFSET(X$10,$W$5-1,0,1,1))),(1/X49)/SUM(1/X$10:OFFSET(X$10,$W$5-1,0,1,1))),"")</f>
        <v/>
      </c>
      <c r="Y105" s="33" t="str">
        <f ca="1">IF(AND(ISNUMBER($V105),ISNUMBER(Y$5)),IF(Y$7=1,(Y49)/(SUM(Y$10:OFFSET(Y$10,$W$5-1,0,1,1))),(1/Y49)/SUM(1/Y$10:OFFSET(Y$10,$W$5-1,0,1,1))),"")</f>
        <v/>
      </c>
      <c r="Z105" s="33" t="str">
        <f ca="1">IF(AND(ISNUMBER($V105),ISNUMBER(Z$5)),IF(Z$7=1,(Z49)/(SUM(Z$10:OFFSET(Z$10,$W$5-1,0,1,1))),(1/Z49)/SUM(1/Z$10:OFFSET(Z$10,$W$5-1,0,1,1))),"")</f>
        <v/>
      </c>
      <c r="AA105" s="33" t="str">
        <f ca="1">IF(AND(ISNUMBER($V105),ISNUMBER(AA$5)),IF(AA$7=1,(AA49)/(SUM(AA$10:OFFSET(AA$10,$W$5-1,0,1,1))),(1/AA49)/SUM(1/AA$10:OFFSET(AA$10,$W$5-1,0,1,1))),"")</f>
        <v/>
      </c>
      <c r="AB105" s="33" t="str">
        <f ca="1">IF(AND(ISNUMBER($V105),ISNUMBER(AB$5)),IF(AB$7=1,(AB49)/(SUM(AB$10:OFFSET(AB$10,$W$5-1,0,1,1))),(1/AB49)/SUM(1/AB$10:OFFSET(AB$10,$W$5-1,0,1,1))),"")</f>
        <v/>
      </c>
      <c r="AC105" s="33" t="str">
        <f ca="1">IF(AND(ISNUMBER($V105),ISNUMBER(AC$5)),IF(AC$7=1,(AC49)/(SUM(AC$10:OFFSET(AC$10,$W$5-1,0,1,1))),(1/AC49)/SUM(1/AC$10:OFFSET(AC$10,$W$5-1,0,1,1))),"")</f>
        <v/>
      </c>
    </row>
    <row r="106" spans="1:29" ht="14.25" hidden="1" customHeight="1">
      <c r="A106" s="14"/>
      <c r="B106" s="12"/>
      <c r="C106" s="13"/>
      <c r="D106" s="33" t="str">
        <f ca="1">IF(AND(ISNUMBER($B106),ISNUMBER(D$5)),IF(D$7=1,(D50)/(SUM(D$10:OFFSET(D$10,$C$5-1,0,1,1))),(1/D50)/SUM(1/D$10:OFFSET(D$10,$C$5-1,0,1,1))),"")</f>
        <v/>
      </c>
      <c r="E106" s="33" t="str">
        <f ca="1">IF(AND(ISNUMBER($B106),ISNUMBER(E$5)),IF(E$7=1,(E50)/(SUM(E$10:OFFSET(E$10,$C$5-1,0,1,1))),(1/E50)/SUM(1/E$10:OFFSET(E$10,$C$5-1,0,1,1))),"")</f>
        <v/>
      </c>
      <c r="F106" s="33" t="str">
        <f ca="1">IF(AND(ISNUMBER($B106),ISNUMBER(F$5)),IF(F$7=1,(F50)/(SUM(F$10:OFFSET(F$10,$C$5-1,0,1,1))),(1/F50)/SUM(1/F$10:OFFSET(F$10,$C$5-1,0,1,1))),"")</f>
        <v/>
      </c>
      <c r="G106" s="33" t="str">
        <f ca="1">IF(AND(ISNUMBER($B106),ISNUMBER(G$5)),IF(G$7=1,(G50)/(SUM(G$10:OFFSET(G$10,$C$5-1,0,1,1))),(1/G50)/SUM(1/G$10:OFFSET(G$10,$C$5-1,0,1,1))),"")</f>
        <v/>
      </c>
      <c r="H106" s="33" t="str">
        <f ca="1">IF(AND(ISNUMBER($B106),ISNUMBER(H$5)),IF(H$7=1,(H50)/(SUM(H$10:OFFSET(H$10,$C$5-1,0,1,1))),(1/H50)/SUM(1/H$10:OFFSET(H$10,$C$5-1,0,1,1))),"")</f>
        <v/>
      </c>
      <c r="I106" s="33" t="str">
        <f ca="1">IF(AND(ISNUMBER($B106),ISNUMBER(I$5)),IF(I$7=1,(I50)/(SUM(I$10:OFFSET(I$10,$C$5-1,0,1,1))),(1/I50)/SUM(1/I$10:OFFSET(I$10,$C$5-1,0,1,1))),"")</f>
        <v/>
      </c>
      <c r="K106" s="14"/>
      <c r="L106" s="12"/>
      <c r="M106" s="13"/>
      <c r="N106" s="33" t="str">
        <f ca="1">IF(AND(ISNUMBER($L106),ISNUMBER(N$5)),IF(N$7=1,(N50)/(SUM(N$10:OFFSET(N$10,$M$5-1,0,1,1))),(1/N50)/SUM(1/N$10:OFFSET(N$10,$M$5-1,0,1,1))),"")</f>
        <v/>
      </c>
      <c r="O106" s="33" t="str">
        <f ca="1">IF(AND(ISNUMBER($L106),ISNUMBER(O$5)),IF(O$7=1,(O50)/(SUM(O$10:OFFSET(O$10,$M$5-1,0,1,1))),(1/O50)/SUM(1/O$10:OFFSET(O$10,$M$5-1,0,1,1))),"")</f>
        <v/>
      </c>
      <c r="P106" s="33" t="str">
        <f ca="1">IF(AND(ISNUMBER($L106),ISNUMBER(P$5)),IF(P$7=1,(P50)/(SUM(P$10:OFFSET(P$10,$M$5-1,0,1,1))),(1/P50)/SUM(1/P$10:OFFSET(P$10,$M$5-1,0,1,1))),"")</f>
        <v/>
      </c>
      <c r="Q106" s="33" t="str">
        <f ca="1">IF(AND(ISNUMBER($L106),ISNUMBER(Q$5)),IF(Q$7=1,(Q50)/(SUM(Q$10:OFFSET(Q$10,$M$5-1,0,1,1))),(1/Q50)/SUM(1/Q$10:OFFSET(Q$10,$M$5-1,0,1,1))),"")</f>
        <v/>
      </c>
      <c r="R106" s="33" t="str">
        <f ca="1">IF(AND(ISNUMBER($L106),ISNUMBER(R$5)),IF(R$7=1,(R50)/(SUM(R$10:OFFSET(R$10,$M$5-1,0,1,1))),(1/R50)/SUM(1/R$10:OFFSET(R$10,$M$5-1,0,1,1))),"")</f>
        <v/>
      </c>
      <c r="S106" s="33" t="str">
        <f ca="1">IF(AND(ISNUMBER($L106),ISNUMBER(S$5)),IF(S$7=1,(S50)/(SUM(S$10:OFFSET(S$10,$M$5-1,0,1,1))),(1/S50)/SUM(1/S$10:OFFSET(S$10,$M$5-1,0,1,1))),"")</f>
        <v/>
      </c>
      <c r="U106" s="14"/>
      <c r="V106" s="12"/>
      <c r="W106" s="13"/>
      <c r="X106" s="33" t="str">
        <f ca="1">IF(AND(ISNUMBER($V106),ISNUMBER(X$5)),IF(X$7=1,(X50)/(SUM(X$10:OFFSET(X$10,$W$5-1,0,1,1))),(1/X50)/SUM(1/X$10:OFFSET(X$10,$W$5-1,0,1,1))),"")</f>
        <v/>
      </c>
      <c r="Y106" s="33" t="str">
        <f ca="1">IF(AND(ISNUMBER($V106),ISNUMBER(Y$5)),IF(Y$7=1,(Y50)/(SUM(Y$10:OFFSET(Y$10,$W$5-1,0,1,1))),(1/Y50)/SUM(1/Y$10:OFFSET(Y$10,$W$5-1,0,1,1))),"")</f>
        <v/>
      </c>
      <c r="Z106" s="33" t="str">
        <f ca="1">IF(AND(ISNUMBER($V106),ISNUMBER(Z$5)),IF(Z$7=1,(Z50)/(SUM(Z$10:OFFSET(Z$10,$W$5-1,0,1,1))),(1/Z50)/SUM(1/Z$10:OFFSET(Z$10,$W$5-1,0,1,1))),"")</f>
        <v/>
      </c>
      <c r="AA106" s="33" t="str">
        <f ca="1">IF(AND(ISNUMBER($V106),ISNUMBER(AA$5)),IF(AA$7=1,(AA50)/(SUM(AA$10:OFFSET(AA$10,$W$5-1,0,1,1))),(1/AA50)/SUM(1/AA$10:OFFSET(AA$10,$W$5-1,0,1,1))),"")</f>
        <v/>
      </c>
      <c r="AB106" s="33" t="str">
        <f ca="1">IF(AND(ISNUMBER($V106),ISNUMBER(AB$5)),IF(AB$7=1,(AB50)/(SUM(AB$10:OFFSET(AB$10,$W$5-1,0,1,1))),(1/AB50)/SUM(1/AB$10:OFFSET(AB$10,$W$5-1,0,1,1))),"")</f>
        <v/>
      </c>
      <c r="AC106" s="33" t="str">
        <f ca="1">IF(AND(ISNUMBER($V106),ISNUMBER(AC$5)),IF(AC$7=1,(AC50)/(SUM(AC$10:OFFSET(AC$10,$W$5-1,0,1,1))),(1/AC50)/SUM(1/AC$10:OFFSET(AC$10,$W$5-1,0,1,1))),"")</f>
        <v/>
      </c>
    </row>
    <row r="107" spans="1:29" ht="14.25" hidden="1" customHeight="1">
      <c r="A107" s="14"/>
      <c r="B107" s="12"/>
      <c r="C107" s="13"/>
      <c r="D107" s="33" t="str">
        <f ca="1">IF(AND(ISNUMBER($B107),ISNUMBER(D$5)),IF(D$7=1,(D51)/(SUM(D$10:OFFSET(D$10,$C$5-1,0,1,1))),(1/D51)/SUM(1/D$10:OFFSET(D$10,$C$5-1,0,1,1))),"")</f>
        <v/>
      </c>
      <c r="E107" s="33" t="str">
        <f ca="1">IF(AND(ISNUMBER($B107),ISNUMBER(E$5)),IF(E$7=1,(E51)/(SUM(E$10:OFFSET(E$10,$C$5-1,0,1,1))),(1/E51)/SUM(1/E$10:OFFSET(E$10,$C$5-1,0,1,1))),"")</f>
        <v/>
      </c>
      <c r="F107" s="33" t="str">
        <f ca="1">IF(AND(ISNUMBER($B107),ISNUMBER(F$5)),IF(F$7=1,(F51)/(SUM(F$10:OFFSET(F$10,$C$5-1,0,1,1))),(1/F51)/SUM(1/F$10:OFFSET(F$10,$C$5-1,0,1,1))),"")</f>
        <v/>
      </c>
      <c r="G107" s="33" t="str">
        <f ca="1">IF(AND(ISNUMBER($B107),ISNUMBER(G$5)),IF(G$7=1,(G51)/(SUM(G$10:OFFSET(G$10,$C$5-1,0,1,1))),(1/G51)/SUM(1/G$10:OFFSET(G$10,$C$5-1,0,1,1))),"")</f>
        <v/>
      </c>
      <c r="H107" s="33" t="str">
        <f ca="1">IF(AND(ISNUMBER($B107),ISNUMBER(H$5)),IF(H$7=1,(H51)/(SUM(H$10:OFFSET(H$10,$C$5-1,0,1,1))),(1/H51)/SUM(1/H$10:OFFSET(H$10,$C$5-1,0,1,1))),"")</f>
        <v/>
      </c>
      <c r="I107" s="33" t="str">
        <f ca="1">IF(AND(ISNUMBER($B107),ISNUMBER(I$5)),IF(I$7=1,(I51)/(SUM(I$10:OFFSET(I$10,$C$5-1,0,1,1))),(1/I51)/SUM(1/I$10:OFFSET(I$10,$C$5-1,0,1,1))),"")</f>
        <v/>
      </c>
      <c r="K107" s="14"/>
      <c r="L107" s="12"/>
      <c r="M107" s="13"/>
      <c r="N107" s="33" t="str">
        <f ca="1">IF(AND(ISNUMBER($L107),ISNUMBER(N$5)),IF(N$7=1,(N51)/(SUM(N$10:OFFSET(N$10,$M$5-1,0,1,1))),(1/N51)/SUM(1/N$10:OFFSET(N$10,$M$5-1,0,1,1))),"")</f>
        <v/>
      </c>
      <c r="O107" s="33" t="str">
        <f ca="1">IF(AND(ISNUMBER($L107),ISNUMBER(O$5)),IF(O$7=1,(O51)/(SUM(O$10:OFFSET(O$10,$M$5-1,0,1,1))),(1/O51)/SUM(1/O$10:OFFSET(O$10,$M$5-1,0,1,1))),"")</f>
        <v/>
      </c>
      <c r="P107" s="33" t="str">
        <f ca="1">IF(AND(ISNUMBER($L107),ISNUMBER(P$5)),IF(P$7=1,(P51)/(SUM(P$10:OFFSET(P$10,$M$5-1,0,1,1))),(1/P51)/SUM(1/P$10:OFFSET(P$10,$M$5-1,0,1,1))),"")</f>
        <v/>
      </c>
      <c r="Q107" s="33" t="str">
        <f ca="1">IF(AND(ISNUMBER($L107),ISNUMBER(Q$5)),IF(Q$7=1,(Q51)/(SUM(Q$10:OFFSET(Q$10,$M$5-1,0,1,1))),(1/Q51)/SUM(1/Q$10:OFFSET(Q$10,$M$5-1,0,1,1))),"")</f>
        <v/>
      </c>
      <c r="R107" s="33" t="str">
        <f ca="1">IF(AND(ISNUMBER($L107),ISNUMBER(R$5)),IF(R$7=1,(R51)/(SUM(R$10:OFFSET(R$10,$M$5-1,0,1,1))),(1/R51)/SUM(1/R$10:OFFSET(R$10,$M$5-1,0,1,1))),"")</f>
        <v/>
      </c>
      <c r="S107" s="33" t="str">
        <f ca="1">IF(AND(ISNUMBER($L107),ISNUMBER(S$5)),IF(S$7=1,(S51)/(SUM(S$10:OFFSET(S$10,$M$5-1,0,1,1))),(1/S51)/SUM(1/S$10:OFFSET(S$10,$M$5-1,0,1,1))),"")</f>
        <v/>
      </c>
      <c r="U107" s="14"/>
      <c r="V107" s="12"/>
      <c r="W107" s="13"/>
      <c r="X107" s="33" t="str">
        <f ca="1">IF(AND(ISNUMBER($V107),ISNUMBER(X$5)),IF(X$7=1,(X51)/(SUM(X$10:OFFSET(X$10,$W$5-1,0,1,1))),(1/X51)/SUM(1/X$10:OFFSET(X$10,$W$5-1,0,1,1))),"")</f>
        <v/>
      </c>
      <c r="Y107" s="33" t="str">
        <f ca="1">IF(AND(ISNUMBER($V107),ISNUMBER(Y$5)),IF(Y$7=1,(Y51)/(SUM(Y$10:OFFSET(Y$10,$W$5-1,0,1,1))),(1/Y51)/SUM(1/Y$10:OFFSET(Y$10,$W$5-1,0,1,1))),"")</f>
        <v/>
      </c>
      <c r="Z107" s="33" t="str">
        <f ca="1">IF(AND(ISNUMBER($V107),ISNUMBER(Z$5)),IF(Z$7=1,(Z51)/(SUM(Z$10:OFFSET(Z$10,$W$5-1,0,1,1))),(1/Z51)/SUM(1/Z$10:OFFSET(Z$10,$W$5-1,0,1,1))),"")</f>
        <v/>
      </c>
      <c r="AA107" s="33" t="str">
        <f ca="1">IF(AND(ISNUMBER($V107),ISNUMBER(AA$5)),IF(AA$7=1,(AA51)/(SUM(AA$10:OFFSET(AA$10,$W$5-1,0,1,1))),(1/AA51)/SUM(1/AA$10:OFFSET(AA$10,$W$5-1,0,1,1))),"")</f>
        <v/>
      </c>
      <c r="AB107" s="33" t="str">
        <f ca="1">IF(AND(ISNUMBER($V107),ISNUMBER(AB$5)),IF(AB$7=1,(AB51)/(SUM(AB$10:OFFSET(AB$10,$W$5-1,0,1,1))),(1/AB51)/SUM(1/AB$10:OFFSET(AB$10,$W$5-1,0,1,1))),"")</f>
        <v/>
      </c>
      <c r="AC107" s="33" t="str">
        <f ca="1">IF(AND(ISNUMBER($V107),ISNUMBER(AC$5)),IF(AC$7=1,(AC51)/(SUM(AC$10:OFFSET(AC$10,$W$5-1,0,1,1))),(1/AC51)/SUM(1/AC$10:OFFSET(AC$10,$W$5-1,0,1,1))),"")</f>
        <v/>
      </c>
    </row>
    <row r="108" spans="1:29" ht="14.25" hidden="1" customHeight="1">
      <c r="A108" s="14"/>
      <c r="B108" s="12"/>
      <c r="C108" s="13"/>
      <c r="D108" s="33" t="str">
        <f ca="1">IF(AND(ISNUMBER($B108),ISNUMBER(D$5)),IF(D$7=1,(D52)/(SUM(D$10:OFFSET(D$10,$C$5-1,0,1,1))),(1/D52)/SUM(1/D$10:OFFSET(D$10,$C$5-1,0,1,1))),"")</f>
        <v/>
      </c>
      <c r="E108" s="33" t="str">
        <f ca="1">IF(AND(ISNUMBER($B108),ISNUMBER(E$5)),IF(E$7=1,(E52)/(SUM(E$10:OFFSET(E$10,$C$5-1,0,1,1))),(1/E52)/SUM(1/E$10:OFFSET(E$10,$C$5-1,0,1,1))),"")</f>
        <v/>
      </c>
      <c r="F108" s="33" t="str">
        <f ca="1">IF(AND(ISNUMBER($B108),ISNUMBER(F$5)),IF(F$7=1,(F52)/(SUM(F$10:OFFSET(F$10,$C$5-1,0,1,1))),(1/F52)/SUM(1/F$10:OFFSET(F$10,$C$5-1,0,1,1))),"")</f>
        <v/>
      </c>
      <c r="G108" s="33" t="str">
        <f ca="1">IF(AND(ISNUMBER($B108),ISNUMBER(G$5)),IF(G$7=1,(G52)/(SUM(G$10:OFFSET(G$10,$C$5-1,0,1,1))),(1/G52)/SUM(1/G$10:OFFSET(G$10,$C$5-1,0,1,1))),"")</f>
        <v/>
      </c>
      <c r="H108" s="33" t="str">
        <f ca="1">IF(AND(ISNUMBER($B108),ISNUMBER(H$5)),IF(H$7=1,(H52)/(SUM(H$10:OFFSET(H$10,$C$5-1,0,1,1))),(1/H52)/SUM(1/H$10:OFFSET(H$10,$C$5-1,0,1,1))),"")</f>
        <v/>
      </c>
      <c r="I108" s="33" t="str">
        <f ca="1">IF(AND(ISNUMBER($B108),ISNUMBER(I$5)),IF(I$7=1,(I52)/(SUM(I$10:OFFSET(I$10,$C$5-1,0,1,1))),(1/I52)/SUM(1/I$10:OFFSET(I$10,$C$5-1,0,1,1))),"")</f>
        <v/>
      </c>
      <c r="K108" s="14"/>
      <c r="L108" s="12"/>
      <c r="M108" s="13"/>
      <c r="N108" s="33" t="str">
        <f ca="1">IF(AND(ISNUMBER($L108),ISNUMBER(N$5)),IF(N$7=1,(N52)/(SUM(N$10:OFFSET(N$10,$M$5-1,0,1,1))),(1/N52)/SUM(1/N$10:OFFSET(N$10,$M$5-1,0,1,1))),"")</f>
        <v/>
      </c>
      <c r="O108" s="33" t="str">
        <f ca="1">IF(AND(ISNUMBER($L108),ISNUMBER(O$5)),IF(O$7=1,(O52)/(SUM(O$10:OFFSET(O$10,$M$5-1,0,1,1))),(1/O52)/SUM(1/O$10:OFFSET(O$10,$M$5-1,0,1,1))),"")</f>
        <v/>
      </c>
      <c r="P108" s="33" t="str">
        <f ca="1">IF(AND(ISNUMBER($L108),ISNUMBER(P$5)),IF(P$7=1,(P52)/(SUM(P$10:OFFSET(P$10,$M$5-1,0,1,1))),(1/P52)/SUM(1/P$10:OFFSET(P$10,$M$5-1,0,1,1))),"")</f>
        <v/>
      </c>
      <c r="Q108" s="33" t="str">
        <f ca="1">IF(AND(ISNUMBER($L108),ISNUMBER(Q$5)),IF(Q$7=1,(Q52)/(SUM(Q$10:OFFSET(Q$10,$M$5-1,0,1,1))),(1/Q52)/SUM(1/Q$10:OFFSET(Q$10,$M$5-1,0,1,1))),"")</f>
        <v/>
      </c>
      <c r="R108" s="33" t="str">
        <f ca="1">IF(AND(ISNUMBER($L108),ISNUMBER(R$5)),IF(R$7=1,(R52)/(SUM(R$10:OFFSET(R$10,$M$5-1,0,1,1))),(1/R52)/SUM(1/R$10:OFFSET(R$10,$M$5-1,0,1,1))),"")</f>
        <v/>
      </c>
      <c r="S108" s="33" t="str">
        <f ca="1">IF(AND(ISNUMBER($L108),ISNUMBER(S$5)),IF(S$7=1,(S52)/(SUM(S$10:OFFSET(S$10,$M$5-1,0,1,1))),(1/S52)/SUM(1/S$10:OFFSET(S$10,$M$5-1,0,1,1))),"")</f>
        <v/>
      </c>
      <c r="U108" s="14"/>
      <c r="V108" s="12"/>
      <c r="W108" s="13"/>
      <c r="X108" s="33" t="str">
        <f ca="1">IF(AND(ISNUMBER($V108),ISNUMBER(X$5)),IF(X$7=1,(X52)/(SUM(X$10:OFFSET(X$10,$W$5-1,0,1,1))),(1/X52)/SUM(1/X$10:OFFSET(X$10,$W$5-1,0,1,1))),"")</f>
        <v/>
      </c>
      <c r="Y108" s="33" t="str">
        <f ca="1">IF(AND(ISNUMBER($V108),ISNUMBER(Y$5)),IF(Y$7=1,(Y52)/(SUM(Y$10:OFFSET(Y$10,$W$5-1,0,1,1))),(1/Y52)/SUM(1/Y$10:OFFSET(Y$10,$W$5-1,0,1,1))),"")</f>
        <v/>
      </c>
      <c r="Z108" s="33" t="str">
        <f ca="1">IF(AND(ISNUMBER($V108),ISNUMBER(Z$5)),IF(Z$7=1,(Z52)/(SUM(Z$10:OFFSET(Z$10,$W$5-1,0,1,1))),(1/Z52)/SUM(1/Z$10:OFFSET(Z$10,$W$5-1,0,1,1))),"")</f>
        <v/>
      </c>
      <c r="AA108" s="33" t="str">
        <f ca="1">IF(AND(ISNUMBER($V108),ISNUMBER(AA$5)),IF(AA$7=1,(AA52)/(SUM(AA$10:OFFSET(AA$10,$W$5-1,0,1,1))),(1/AA52)/SUM(1/AA$10:OFFSET(AA$10,$W$5-1,0,1,1))),"")</f>
        <v/>
      </c>
      <c r="AB108" s="33" t="str">
        <f ca="1">IF(AND(ISNUMBER($V108),ISNUMBER(AB$5)),IF(AB$7=1,(AB52)/(SUM(AB$10:OFFSET(AB$10,$W$5-1,0,1,1))),(1/AB52)/SUM(1/AB$10:OFFSET(AB$10,$W$5-1,0,1,1))),"")</f>
        <v/>
      </c>
      <c r="AC108" s="33" t="str">
        <f ca="1">IF(AND(ISNUMBER($V108),ISNUMBER(AC$5)),IF(AC$7=1,(AC52)/(SUM(AC$10:OFFSET(AC$10,$W$5-1,0,1,1))),(1/AC52)/SUM(1/AC$10:OFFSET(AC$10,$W$5-1,0,1,1))),"")</f>
        <v/>
      </c>
    </row>
    <row r="109" spans="1:29" ht="14.25" hidden="1" customHeight="1">
      <c r="A109" s="14"/>
      <c r="B109" s="12"/>
      <c r="C109" s="13"/>
      <c r="D109" s="33" t="str">
        <f ca="1">IF(AND(ISNUMBER($B109),ISNUMBER(D$5)),IF(D$7=1,(D53)/(SUM(D$10:OFFSET(D$10,$C$5-1,0,1,1))),(1/D53)/SUM(1/D$10:OFFSET(D$10,$C$5-1,0,1,1))),"")</f>
        <v/>
      </c>
      <c r="E109" s="33" t="str">
        <f ca="1">IF(AND(ISNUMBER($B109),ISNUMBER(E$5)),IF(E$7=1,(E53)/(SUM(E$10:OFFSET(E$10,$C$5-1,0,1,1))),(1/E53)/SUM(1/E$10:OFFSET(E$10,$C$5-1,0,1,1))),"")</f>
        <v/>
      </c>
      <c r="F109" s="33" t="str">
        <f ca="1">IF(AND(ISNUMBER($B109),ISNUMBER(F$5)),IF(F$7=1,(F53)/(SUM(F$10:OFFSET(F$10,$C$5-1,0,1,1))),(1/F53)/SUM(1/F$10:OFFSET(F$10,$C$5-1,0,1,1))),"")</f>
        <v/>
      </c>
      <c r="G109" s="33" t="str">
        <f ca="1">IF(AND(ISNUMBER($B109),ISNUMBER(G$5)),IF(G$7=1,(G53)/(SUM(G$10:OFFSET(G$10,$C$5-1,0,1,1))),(1/G53)/SUM(1/G$10:OFFSET(G$10,$C$5-1,0,1,1))),"")</f>
        <v/>
      </c>
      <c r="H109" s="33" t="str">
        <f ca="1">IF(AND(ISNUMBER($B109),ISNUMBER(H$5)),IF(H$7=1,(H53)/(SUM(H$10:OFFSET(H$10,$C$5-1,0,1,1))),(1/H53)/SUM(1/H$10:OFFSET(H$10,$C$5-1,0,1,1))),"")</f>
        <v/>
      </c>
      <c r="I109" s="33" t="str">
        <f ca="1">IF(AND(ISNUMBER($B109),ISNUMBER(I$5)),IF(I$7=1,(I53)/(SUM(I$10:OFFSET(I$10,$C$5-1,0,1,1))),(1/I53)/SUM(1/I$10:OFFSET(I$10,$C$5-1,0,1,1))),"")</f>
        <v/>
      </c>
      <c r="K109" s="14"/>
      <c r="L109" s="12"/>
      <c r="M109" s="13"/>
      <c r="N109" s="33" t="str">
        <f ca="1">IF(AND(ISNUMBER($L109),ISNUMBER(N$5)),IF(N$7=1,(N53)/(SUM(N$10:OFFSET(N$10,$M$5-1,0,1,1))),(1/N53)/SUM(1/N$10:OFFSET(N$10,$M$5-1,0,1,1))),"")</f>
        <v/>
      </c>
      <c r="O109" s="33" t="str">
        <f ca="1">IF(AND(ISNUMBER($L109),ISNUMBER(O$5)),IF(O$7=1,(O53)/(SUM(O$10:OFFSET(O$10,$M$5-1,0,1,1))),(1/O53)/SUM(1/O$10:OFFSET(O$10,$M$5-1,0,1,1))),"")</f>
        <v/>
      </c>
      <c r="P109" s="33" t="str">
        <f ca="1">IF(AND(ISNUMBER($L109),ISNUMBER(P$5)),IF(P$7=1,(P53)/(SUM(P$10:OFFSET(P$10,$M$5-1,0,1,1))),(1/P53)/SUM(1/P$10:OFFSET(P$10,$M$5-1,0,1,1))),"")</f>
        <v/>
      </c>
      <c r="Q109" s="33" t="str">
        <f ca="1">IF(AND(ISNUMBER($L109),ISNUMBER(Q$5)),IF(Q$7=1,(Q53)/(SUM(Q$10:OFFSET(Q$10,$M$5-1,0,1,1))),(1/Q53)/SUM(1/Q$10:OFFSET(Q$10,$M$5-1,0,1,1))),"")</f>
        <v/>
      </c>
      <c r="R109" s="33" t="str">
        <f ca="1">IF(AND(ISNUMBER($L109),ISNUMBER(R$5)),IF(R$7=1,(R53)/(SUM(R$10:OFFSET(R$10,$M$5-1,0,1,1))),(1/R53)/SUM(1/R$10:OFFSET(R$10,$M$5-1,0,1,1))),"")</f>
        <v/>
      </c>
      <c r="S109" s="33" t="str">
        <f ca="1">IF(AND(ISNUMBER($L109),ISNUMBER(S$5)),IF(S$7=1,(S53)/(SUM(S$10:OFFSET(S$10,$M$5-1,0,1,1))),(1/S53)/SUM(1/S$10:OFFSET(S$10,$M$5-1,0,1,1))),"")</f>
        <v/>
      </c>
      <c r="U109" s="14"/>
      <c r="V109" s="12"/>
      <c r="W109" s="13"/>
      <c r="X109" s="33" t="str">
        <f ca="1">IF(AND(ISNUMBER($V109),ISNUMBER(X$5)),IF(X$7=1,(X53)/(SUM(X$10:OFFSET(X$10,$W$5-1,0,1,1))),(1/X53)/SUM(1/X$10:OFFSET(X$10,$W$5-1,0,1,1))),"")</f>
        <v/>
      </c>
      <c r="Y109" s="33" t="str">
        <f ca="1">IF(AND(ISNUMBER($V109),ISNUMBER(Y$5)),IF(Y$7=1,(Y53)/(SUM(Y$10:OFFSET(Y$10,$W$5-1,0,1,1))),(1/Y53)/SUM(1/Y$10:OFFSET(Y$10,$W$5-1,0,1,1))),"")</f>
        <v/>
      </c>
      <c r="Z109" s="33" t="str">
        <f ca="1">IF(AND(ISNUMBER($V109),ISNUMBER(Z$5)),IF(Z$7=1,(Z53)/(SUM(Z$10:OFFSET(Z$10,$W$5-1,0,1,1))),(1/Z53)/SUM(1/Z$10:OFFSET(Z$10,$W$5-1,0,1,1))),"")</f>
        <v/>
      </c>
      <c r="AA109" s="33" t="str">
        <f ca="1">IF(AND(ISNUMBER($V109),ISNUMBER(AA$5)),IF(AA$7=1,(AA53)/(SUM(AA$10:OFFSET(AA$10,$W$5-1,0,1,1))),(1/AA53)/SUM(1/AA$10:OFFSET(AA$10,$W$5-1,0,1,1))),"")</f>
        <v/>
      </c>
      <c r="AB109" s="33" t="str">
        <f ca="1">IF(AND(ISNUMBER($V109),ISNUMBER(AB$5)),IF(AB$7=1,(AB53)/(SUM(AB$10:OFFSET(AB$10,$W$5-1,0,1,1))),(1/AB53)/SUM(1/AB$10:OFFSET(AB$10,$W$5-1,0,1,1))),"")</f>
        <v/>
      </c>
      <c r="AC109" s="33" t="str">
        <f ca="1">IF(AND(ISNUMBER($V109),ISNUMBER(AC$5)),IF(AC$7=1,(AC53)/(SUM(AC$10:OFFSET(AC$10,$W$5-1,0,1,1))),(1/AC53)/SUM(1/AC$10:OFFSET(AC$10,$W$5-1,0,1,1))),"")</f>
        <v/>
      </c>
    </row>
    <row r="110" spans="1:29" ht="14.25" hidden="1" customHeight="1">
      <c r="A110" s="14"/>
      <c r="B110" s="12"/>
      <c r="C110" s="13"/>
      <c r="D110" s="33" t="str">
        <f ca="1">IF(AND(ISNUMBER($B110),ISNUMBER(D$5)),IF(D$7=1,(D54)/(SUM(D$10:OFFSET(D$10,$C$5-1,0,1,1))),(1/D54)/SUM(1/D$10:OFFSET(D$10,$C$5-1,0,1,1))),"")</f>
        <v/>
      </c>
      <c r="E110" s="33" t="str">
        <f ca="1">IF(AND(ISNUMBER($B110),ISNUMBER(E$5)),IF(E$7=1,(E54)/(SUM(E$10:OFFSET(E$10,$C$5-1,0,1,1))),(1/E54)/SUM(1/E$10:OFFSET(E$10,$C$5-1,0,1,1))),"")</f>
        <v/>
      </c>
      <c r="F110" s="33" t="str">
        <f ca="1">IF(AND(ISNUMBER($B110),ISNUMBER(F$5)),IF(F$7=1,(F54)/(SUM(F$10:OFFSET(F$10,$C$5-1,0,1,1))),(1/F54)/SUM(1/F$10:OFFSET(F$10,$C$5-1,0,1,1))),"")</f>
        <v/>
      </c>
      <c r="G110" s="33" t="str">
        <f ca="1">IF(AND(ISNUMBER($B110),ISNUMBER(G$5)),IF(G$7=1,(G54)/(SUM(G$10:OFFSET(G$10,$C$5-1,0,1,1))),(1/G54)/SUM(1/G$10:OFFSET(G$10,$C$5-1,0,1,1))),"")</f>
        <v/>
      </c>
      <c r="H110" s="33" t="str">
        <f ca="1">IF(AND(ISNUMBER($B110),ISNUMBER(H$5)),IF(H$7=1,(H54)/(SUM(H$10:OFFSET(H$10,$C$5-1,0,1,1))),(1/H54)/SUM(1/H$10:OFFSET(H$10,$C$5-1,0,1,1))),"")</f>
        <v/>
      </c>
      <c r="I110" s="33" t="str">
        <f ca="1">IF(AND(ISNUMBER($B110),ISNUMBER(I$5)),IF(I$7=1,(I54)/(SUM(I$10:OFFSET(I$10,$C$5-1,0,1,1))),(1/I54)/SUM(1/I$10:OFFSET(I$10,$C$5-1,0,1,1))),"")</f>
        <v/>
      </c>
      <c r="K110" s="14"/>
      <c r="L110" s="12"/>
      <c r="M110" s="13"/>
      <c r="N110" s="33" t="str">
        <f ca="1">IF(AND(ISNUMBER($L110),ISNUMBER(N$5)),IF(N$7=1,(N54)/(SUM(N$10:OFFSET(N$10,$M$5-1,0,1,1))),(1/N54)/SUM(1/N$10:OFFSET(N$10,$M$5-1,0,1,1))),"")</f>
        <v/>
      </c>
      <c r="O110" s="33" t="str">
        <f ca="1">IF(AND(ISNUMBER($L110),ISNUMBER(O$5)),IF(O$7=1,(O54)/(SUM(O$10:OFFSET(O$10,$M$5-1,0,1,1))),(1/O54)/SUM(1/O$10:OFFSET(O$10,$M$5-1,0,1,1))),"")</f>
        <v/>
      </c>
      <c r="P110" s="33" t="str">
        <f ca="1">IF(AND(ISNUMBER($L110),ISNUMBER(P$5)),IF(P$7=1,(P54)/(SUM(P$10:OFFSET(P$10,$M$5-1,0,1,1))),(1/P54)/SUM(1/P$10:OFFSET(P$10,$M$5-1,0,1,1))),"")</f>
        <v/>
      </c>
      <c r="Q110" s="33" t="str">
        <f ca="1">IF(AND(ISNUMBER($L110),ISNUMBER(Q$5)),IF(Q$7=1,(Q54)/(SUM(Q$10:OFFSET(Q$10,$M$5-1,0,1,1))),(1/Q54)/SUM(1/Q$10:OFFSET(Q$10,$M$5-1,0,1,1))),"")</f>
        <v/>
      </c>
      <c r="R110" s="33" t="str">
        <f ca="1">IF(AND(ISNUMBER($L110),ISNUMBER(R$5)),IF(R$7=1,(R54)/(SUM(R$10:OFFSET(R$10,$M$5-1,0,1,1))),(1/R54)/SUM(1/R$10:OFFSET(R$10,$M$5-1,0,1,1))),"")</f>
        <v/>
      </c>
      <c r="S110" s="33" t="str">
        <f ca="1">IF(AND(ISNUMBER($L110),ISNUMBER(S$5)),IF(S$7=1,(S54)/(SUM(S$10:OFFSET(S$10,$M$5-1,0,1,1))),(1/S54)/SUM(1/S$10:OFFSET(S$10,$M$5-1,0,1,1))),"")</f>
        <v/>
      </c>
      <c r="U110" s="14"/>
      <c r="V110" s="12"/>
      <c r="W110" s="13"/>
      <c r="X110" s="33" t="str">
        <f ca="1">IF(AND(ISNUMBER($V110),ISNUMBER(X$5)),IF(X$7=1,(X54)/(SUM(X$10:OFFSET(X$10,$W$5-1,0,1,1))),(1/X54)/SUM(1/X$10:OFFSET(X$10,$W$5-1,0,1,1))),"")</f>
        <v/>
      </c>
      <c r="Y110" s="33" t="str">
        <f ca="1">IF(AND(ISNUMBER($V110),ISNUMBER(Y$5)),IF(Y$7=1,(Y54)/(SUM(Y$10:OFFSET(Y$10,$W$5-1,0,1,1))),(1/Y54)/SUM(1/Y$10:OFFSET(Y$10,$W$5-1,0,1,1))),"")</f>
        <v/>
      </c>
      <c r="Z110" s="33" t="str">
        <f ca="1">IF(AND(ISNUMBER($V110),ISNUMBER(Z$5)),IF(Z$7=1,(Z54)/(SUM(Z$10:OFFSET(Z$10,$W$5-1,0,1,1))),(1/Z54)/SUM(1/Z$10:OFFSET(Z$10,$W$5-1,0,1,1))),"")</f>
        <v/>
      </c>
      <c r="AA110" s="33" t="str">
        <f ca="1">IF(AND(ISNUMBER($V110),ISNUMBER(AA$5)),IF(AA$7=1,(AA54)/(SUM(AA$10:OFFSET(AA$10,$W$5-1,0,1,1))),(1/AA54)/SUM(1/AA$10:OFFSET(AA$10,$W$5-1,0,1,1))),"")</f>
        <v/>
      </c>
      <c r="AB110" s="33" t="str">
        <f ca="1">IF(AND(ISNUMBER($V110),ISNUMBER(AB$5)),IF(AB$7=1,(AB54)/(SUM(AB$10:OFFSET(AB$10,$W$5-1,0,1,1))),(1/AB54)/SUM(1/AB$10:OFFSET(AB$10,$W$5-1,0,1,1))),"")</f>
        <v/>
      </c>
      <c r="AC110" s="33" t="str">
        <f ca="1">IF(AND(ISNUMBER($V110),ISNUMBER(AC$5)),IF(AC$7=1,(AC54)/(SUM(AC$10:OFFSET(AC$10,$W$5-1,0,1,1))),(1/AC54)/SUM(1/AC$10:OFFSET(AC$10,$W$5-1,0,1,1))),"")</f>
        <v/>
      </c>
    </row>
    <row r="111" spans="1:29" ht="14.25" hidden="1" customHeight="1">
      <c r="A111" s="14"/>
      <c r="B111" s="12"/>
      <c r="C111" s="13"/>
      <c r="D111" s="33" t="str">
        <f ca="1">IF(AND(ISNUMBER($B111),ISNUMBER(D$5)),IF(D$7=1,(D55)/(SUM(D$10:OFFSET(D$10,$C$5-1,0,1,1))),(1/D55)/SUM(1/D$10:OFFSET(D$10,$C$5-1,0,1,1))),"")</f>
        <v/>
      </c>
      <c r="E111" s="33" t="str">
        <f ca="1">IF(AND(ISNUMBER($B111),ISNUMBER(E$5)),IF(E$7=1,(E55)/(SUM(E$10:OFFSET(E$10,$C$5-1,0,1,1))),(1/E55)/SUM(1/E$10:OFFSET(E$10,$C$5-1,0,1,1))),"")</f>
        <v/>
      </c>
      <c r="F111" s="33" t="str">
        <f ca="1">IF(AND(ISNUMBER($B111),ISNUMBER(F$5)),IF(F$7=1,(F55)/(SUM(F$10:OFFSET(F$10,$C$5-1,0,1,1))),(1/F55)/SUM(1/F$10:OFFSET(F$10,$C$5-1,0,1,1))),"")</f>
        <v/>
      </c>
      <c r="G111" s="33" t="str">
        <f ca="1">IF(AND(ISNUMBER($B111),ISNUMBER(G$5)),IF(G$7=1,(G55)/(SUM(G$10:OFFSET(G$10,$C$5-1,0,1,1))),(1/G55)/SUM(1/G$10:OFFSET(G$10,$C$5-1,0,1,1))),"")</f>
        <v/>
      </c>
      <c r="H111" s="33" t="str">
        <f ca="1">IF(AND(ISNUMBER($B111),ISNUMBER(H$5)),IF(H$7=1,(H55)/(SUM(H$10:OFFSET(H$10,$C$5-1,0,1,1))),(1/H55)/SUM(1/H$10:OFFSET(H$10,$C$5-1,0,1,1))),"")</f>
        <v/>
      </c>
      <c r="I111" s="33" t="str">
        <f ca="1">IF(AND(ISNUMBER($B111),ISNUMBER(I$5)),IF(I$7=1,(I55)/(SUM(I$10:OFFSET(I$10,$C$5-1,0,1,1))),(1/I55)/SUM(1/I$10:OFFSET(I$10,$C$5-1,0,1,1))),"")</f>
        <v/>
      </c>
      <c r="K111" s="14"/>
      <c r="L111" s="12"/>
      <c r="M111" s="13"/>
      <c r="N111" s="33" t="str">
        <f ca="1">IF(AND(ISNUMBER($L111),ISNUMBER(N$5)),IF(N$7=1,(N55)/(SUM(N$10:OFFSET(N$10,$M$5-1,0,1,1))),(1/N55)/SUM(1/N$10:OFFSET(N$10,$M$5-1,0,1,1))),"")</f>
        <v/>
      </c>
      <c r="O111" s="33" t="str">
        <f ca="1">IF(AND(ISNUMBER($L111),ISNUMBER(O$5)),IF(O$7=1,(O55)/(SUM(O$10:OFFSET(O$10,$M$5-1,0,1,1))),(1/O55)/SUM(1/O$10:OFFSET(O$10,$M$5-1,0,1,1))),"")</f>
        <v/>
      </c>
      <c r="P111" s="33" t="str">
        <f ca="1">IF(AND(ISNUMBER($L111),ISNUMBER(P$5)),IF(P$7=1,(P55)/(SUM(P$10:OFFSET(P$10,$M$5-1,0,1,1))),(1/P55)/SUM(1/P$10:OFFSET(P$10,$M$5-1,0,1,1))),"")</f>
        <v/>
      </c>
      <c r="Q111" s="33" t="str">
        <f ca="1">IF(AND(ISNUMBER($L111),ISNUMBER(Q$5)),IF(Q$7=1,(Q55)/(SUM(Q$10:OFFSET(Q$10,$M$5-1,0,1,1))),(1/Q55)/SUM(1/Q$10:OFFSET(Q$10,$M$5-1,0,1,1))),"")</f>
        <v/>
      </c>
      <c r="R111" s="33" t="str">
        <f ca="1">IF(AND(ISNUMBER($L111),ISNUMBER(R$5)),IF(R$7=1,(R55)/(SUM(R$10:OFFSET(R$10,$M$5-1,0,1,1))),(1/R55)/SUM(1/R$10:OFFSET(R$10,$M$5-1,0,1,1))),"")</f>
        <v/>
      </c>
      <c r="S111" s="33" t="str">
        <f ca="1">IF(AND(ISNUMBER($L111),ISNUMBER(S$5)),IF(S$7=1,(S55)/(SUM(S$10:OFFSET(S$10,$M$5-1,0,1,1))),(1/S55)/SUM(1/S$10:OFFSET(S$10,$M$5-1,0,1,1))),"")</f>
        <v/>
      </c>
      <c r="U111" s="14"/>
      <c r="V111" s="12"/>
      <c r="W111" s="13"/>
      <c r="X111" s="33" t="str">
        <f ca="1">IF(AND(ISNUMBER($V111),ISNUMBER(X$5)),IF(X$7=1,(X55)/(SUM(X$10:OFFSET(X$10,$W$5-1,0,1,1))),(1/X55)/SUM(1/X$10:OFFSET(X$10,$W$5-1,0,1,1))),"")</f>
        <v/>
      </c>
      <c r="Y111" s="33" t="str">
        <f ca="1">IF(AND(ISNUMBER($V111),ISNUMBER(Y$5)),IF(Y$7=1,(Y55)/(SUM(Y$10:OFFSET(Y$10,$W$5-1,0,1,1))),(1/Y55)/SUM(1/Y$10:OFFSET(Y$10,$W$5-1,0,1,1))),"")</f>
        <v/>
      </c>
      <c r="Z111" s="33" t="str">
        <f ca="1">IF(AND(ISNUMBER($V111),ISNUMBER(Z$5)),IF(Z$7=1,(Z55)/(SUM(Z$10:OFFSET(Z$10,$W$5-1,0,1,1))),(1/Z55)/SUM(1/Z$10:OFFSET(Z$10,$W$5-1,0,1,1))),"")</f>
        <v/>
      </c>
      <c r="AA111" s="33" t="str">
        <f ca="1">IF(AND(ISNUMBER($V111),ISNUMBER(AA$5)),IF(AA$7=1,(AA55)/(SUM(AA$10:OFFSET(AA$10,$W$5-1,0,1,1))),(1/AA55)/SUM(1/AA$10:OFFSET(AA$10,$W$5-1,0,1,1))),"")</f>
        <v/>
      </c>
      <c r="AB111" s="33" t="str">
        <f ca="1">IF(AND(ISNUMBER($V111),ISNUMBER(AB$5)),IF(AB$7=1,(AB55)/(SUM(AB$10:OFFSET(AB$10,$W$5-1,0,1,1))),(1/AB55)/SUM(1/AB$10:OFFSET(AB$10,$W$5-1,0,1,1))),"")</f>
        <v/>
      </c>
      <c r="AC111" s="33" t="str">
        <f ca="1">IF(AND(ISNUMBER($V111),ISNUMBER(AC$5)),IF(AC$7=1,(AC55)/(SUM(AC$10:OFFSET(AC$10,$W$5-1,0,1,1))),(1/AC55)/SUM(1/AC$10:OFFSET(AC$10,$W$5-1,0,1,1))),"")</f>
        <v/>
      </c>
    </row>
    <row r="112" spans="1:29" ht="14.25" hidden="1" customHeight="1">
      <c r="A112" s="14"/>
      <c r="B112" s="12"/>
      <c r="C112" s="13"/>
      <c r="D112" s="33" t="str">
        <f ca="1">IF(AND(ISNUMBER($B112),ISNUMBER(D$5)),IF(D$7=1,(D56)/(SUM(D$10:OFFSET(D$10,$C$5-1,0,1,1))),(1/D56)/SUM(1/D$10:OFFSET(D$10,$C$5-1,0,1,1))),"")</f>
        <v/>
      </c>
      <c r="E112" s="33" t="str">
        <f ca="1">IF(AND(ISNUMBER($B112),ISNUMBER(E$5)),IF(E$7=1,(E56)/(SUM(E$10:OFFSET(E$10,$C$5-1,0,1,1))),(1/E56)/SUM(1/E$10:OFFSET(E$10,$C$5-1,0,1,1))),"")</f>
        <v/>
      </c>
      <c r="F112" s="33" t="str">
        <f ca="1">IF(AND(ISNUMBER($B112),ISNUMBER(F$5)),IF(F$7=1,(F56)/(SUM(F$10:OFFSET(F$10,$C$5-1,0,1,1))),(1/F56)/SUM(1/F$10:OFFSET(F$10,$C$5-1,0,1,1))),"")</f>
        <v/>
      </c>
      <c r="G112" s="33" t="str">
        <f ca="1">IF(AND(ISNUMBER($B112),ISNUMBER(G$5)),IF(G$7=1,(G56)/(SUM(G$10:OFFSET(G$10,$C$5-1,0,1,1))),(1/G56)/SUM(1/G$10:OFFSET(G$10,$C$5-1,0,1,1))),"")</f>
        <v/>
      </c>
      <c r="H112" s="33" t="str">
        <f ca="1">IF(AND(ISNUMBER($B112),ISNUMBER(H$5)),IF(H$7=1,(H56)/(SUM(H$10:OFFSET(H$10,$C$5-1,0,1,1))),(1/H56)/SUM(1/H$10:OFFSET(H$10,$C$5-1,0,1,1))),"")</f>
        <v/>
      </c>
      <c r="I112" s="33" t="str">
        <f ca="1">IF(AND(ISNUMBER($B112),ISNUMBER(I$5)),IF(I$7=1,(I56)/(SUM(I$10:OFFSET(I$10,$C$5-1,0,1,1))),(1/I56)/SUM(1/I$10:OFFSET(I$10,$C$5-1,0,1,1))),"")</f>
        <v/>
      </c>
      <c r="K112" s="14"/>
      <c r="L112" s="12"/>
      <c r="M112" s="13"/>
      <c r="N112" s="33" t="str">
        <f ca="1">IF(AND(ISNUMBER($L112),ISNUMBER(N$5)),IF(N$7=1,(N56)/(SUM(N$10:OFFSET(N$10,$M$5-1,0,1,1))),(1/N56)/SUM(1/N$10:OFFSET(N$10,$M$5-1,0,1,1))),"")</f>
        <v/>
      </c>
      <c r="O112" s="33" t="str">
        <f ca="1">IF(AND(ISNUMBER($L112),ISNUMBER(O$5)),IF(O$7=1,(O56)/(SUM(O$10:OFFSET(O$10,$M$5-1,0,1,1))),(1/O56)/SUM(1/O$10:OFFSET(O$10,$M$5-1,0,1,1))),"")</f>
        <v/>
      </c>
      <c r="P112" s="33" t="str">
        <f ca="1">IF(AND(ISNUMBER($L112),ISNUMBER(P$5)),IF(P$7=1,(P56)/(SUM(P$10:OFFSET(P$10,$M$5-1,0,1,1))),(1/P56)/SUM(1/P$10:OFFSET(P$10,$M$5-1,0,1,1))),"")</f>
        <v/>
      </c>
      <c r="Q112" s="33" t="str">
        <f ca="1">IF(AND(ISNUMBER($L112),ISNUMBER(Q$5)),IF(Q$7=1,(Q56)/(SUM(Q$10:OFFSET(Q$10,$M$5-1,0,1,1))),(1/Q56)/SUM(1/Q$10:OFFSET(Q$10,$M$5-1,0,1,1))),"")</f>
        <v/>
      </c>
      <c r="R112" s="33" t="str">
        <f ca="1">IF(AND(ISNUMBER($L112),ISNUMBER(R$5)),IF(R$7=1,(R56)/(SUM(R$10:OFFSET(R$10,$M$5-1,0,1,1))),(1/R56)/SUM(1/R$10:OFFSET(R$10,$M$5-1,0,1,1))),"")</f>
        <v/>
      </c>
      <c r="S112" s="33" t="str">
        <f ca="1">IF(AND(ISNUMBER($L112),ISNUMBER(S$5)),IF(S$7=1,(S56)/(SUM(S$10:OFFSET(S$10,$M$5-1,0,1,1))),(1/S56)/SUM(1/S$10:OFFSET(S$10,$M$5-1,0,1,1))),"")</f>
        <v/>
      </c>
      <c r="U112" s="14"/>
      <c r="V112" s="12"/>
      <c r="W112" s="13"/>
      <c r="X112" s="33" t="str">
        <f ca="1">IF(AND(ISNUMBER($V112),ISNUMBER(X$5)),IF(X$7=1,(X56)/(SUM(X$10:OFFSET(X$10,$W$5-1,0,1,1))),(1/X56)/SUM(1/X$10:OFFSET(X$10,$W$5-1,0,1,1))),"")</f>
        <v/>
      </c>
      <c r="Y112" s="33" t="str">
        <f ca="1">IF(AND(ISNUMBER($V112),ISNUMBER(Y$5)),IF(Y$7=1,(Y56)/(SUM(Y$10:OFFSET(Y$10,$W$5-1,0,1,1))),(1/Y56)/SUM(1/Y$10:OFFSET(Y$10,$W$5-1,0,1,1))),"")</f>
        <v/>
      </c>
      <c r="Z112" s="33" t="str">
        <f ca="1">IF(AND(ISNUMBER($V112),ISNUMBER(Z$5)),IF(Z$7=1,(Z56)/(SUM(Z$10:OFFSET(Z$10,$W$5-1,0,1,1))),(1/Z56)/SUM(1/Z$10:OFFSET(Z$10,$W$5-1,0,1,1))),"")</f>
        <v/>
      </c>
      <c r="AA112" s="33" t="str">
        <f ca="1">IF(AND(ISNUMBER($V112),ISNUMBER(AA$5)),IF(AA$7=1,(AA56)/(SUM(AA$10:OFFSET(AA$10,$W$5-1,0,1,1))),(1/AA56)/SUM(1/AA$10:OFFSET(AA$10,$W$5-1,0,1,1))),"")</f>
        <v/>
      </c>
      <c r="AB112" s="33" t="str">
        <f ca="1">IF(AND(ISNUMBER($V112),ISNUMBER(AB$5)),IF(AB$7=1,(AB56)/(SUM(AB$10:OFFSET(AB$10,$W$5-1,0,1,1))),(1/AB56)/SUM(1/AB$10:OFFSET(AB$10,$W$5-1,0,1,1))),"")</f>
        <v/>
      </c>
      <c r="AC112" s="33" t="str">
        <f ca="1">IF(AND(ISNUMBER($V112),ISNUMBER(AC$5)),IF(AC$7=1,(AC56)/(SUM(AC$10:OFFSET(AC$10,$W$5-1,0,1,1))),(1/AC56)/SUM(1/AC$10:OFFSET(AC$10,$W$5-1,0,1,1))),"")</f>
        <v/>
      </c>
    </row>
    <row r="113" spans="1:29" ht="14.25" hidden="1" customHeight="1">
      <c r="A113" s="14"/>
      <c r="B113" s="12"/>
      <c r="C113" s="13"/>
      <c r="D113" s="33" t="str">
        <f ca="1">IF(AND(ISNUMBER($B113),ISNUMBER(D$5)),IF(D$7=1,(D57)/(SUM(D$10:OFFSET(D$10,$C$5-1,0,1,1))),(1/D57)/SUM(1/D$10:OFFSET(D$10,$C$5-1,0,1,1))),"")</f>
        <v/>
      </c>
      <c r="E113" s="33" t="str">
        <f ca="1">IF(AND(ISNUMBER($B113),ISNUMBER(E$5)),IF(E$7=1,(E57)/(SUM(E$10:OFFSET(E$10,$C$5-1,0,1,1))),(1/E57)/SUM(1/E$10:OFFSET(E$10,$C$5-1,0,1,1))),"")</f>
        <v/>
      </c>
      <c r="F113" s="33" t="str">
        <f ca="1">IF(AND(ISNUMBER($B113),ISNUMBER(F$5)),IF(F$7=1,(F57)/(SUM(F$10:OFFSET(F$10,$C$5-1,0,1,1))),(1/F57)/SUM(1/F$10:OFFSET(F$10,$C$5-1,0,1,1))),"")</f>
        <v/>
      </c>
      <c r="G113" s="33" t="str">
        <f ca="1">IF(AND(ISNUMBER($B113),ISNUMBER(G$5)),IF(G$7=1,(G57)/(SUM(G$10:OFFSET(G$10,$C$5-1,0,1,1))),(1/G57)/SUM(1/G$10:OFFSET(G$10,$C$5-1,0,1,1))),"")</f>
        <v/>
      </c>
      <c r="H113" s="33" t="str">
        <f ca="1">IF(AND(ISNUMBER($B113),ISNUMBER(H$5)),IF(H$7=1,(H57)/(SUM(H$10:OFFSET(H$10,$C$5-1,0,1,1))),(1/H57)/SUM(1/H$10:OFFSET(H$10,$C$5-1,0,1,1))),"")</f>
        <v/>
      </c>
      <c r="I113" s="33" t="str">
        <f ca="1">IF(AND(ISNUMBER($B113),ISNUMBER(I$5)),IF(I$7=1,(I57)/(SUM(I$10:OFFSET(I$10,$C$5-1,0,1,1))),(1/I57)/SUM(1/I$10:OFFSET(I$10,$C$5-1,0,1,1))),"")</f>
        <v/>
      </c>
      <c r="K113" s="14"/>
      <c r="L113" s="12"/>
      <c r="M113" s="13"/>
      <c r="N113" s="33" t="str">
        <f ca="1">IF(AND(ISNUMBER($L113),ISNUMBER(N$5)),IF(N$7=1,(N57)/(SUM(N$10:OFFSET(N$10,$M$5-1,0,1,1))),(1/N57)/SUM(1/N$10:OFFSET(N$10,$M$5-1,0,1,1))),"")</f>
        <v/>
      </c>
      <c r="O113" s="33" t="str">
        <f ca="1">IF(AND(ISNUMBER($L113),ISNUMBER(O$5)),IF(O$7=1,(O57)/(SUM(O$10:OFFSET(O$10,$M$5-1,0,1,1))),(1/O57)/SUM(1/O$10:OFFSET(O$10,$M$5-1,0,1,1))),"")</f>
        <v/>
      </c>
      <c r="P113" s="33" t="str">
        <f ca="1">IF(AND(ISNUMBER($L113),ISNUMBER(P$5)),IF(P$7=1,(P57)/(SUM(P$10:OFFSET(P$10,$M$5-1,0,1,1))),(1/P57)/SUM(1/P$10:OFFSET(P$10,$M$5-1,0,1,1))),"")</f>
        <v/>
      </c>
      <c r="Q113" s="33" t="str">
        <f ca="1">IF(AND(ISNUMBER($L113),ISNUMBER(Q$5)),IF(Q$7=1,(Q57)/(SUM(Q$10:OFFSET(Q$10,$M$5-1,0,1,1))),(1/Q57)/SUM(1/Q$10:OFFSET(Q$10,$M$5-1,0,1,1))),"")</f>
        <v/>
      </c>
      <c r="R113" s="33" t="str">
        <f ca="1">IF(AND(ISNUMBER($L113),ISNUMBER(R$5)),IF(R$7=1,(R57)/(SUM(R$10:OFFSET(R$10,$M$5-1,0,1,1))),(1/R57)/SUM(1/R$10:OFFSET(R$10,$M$5-1,0,1,1))),"")</f>
        <v/>
      </c>
      <c r="S113" s="33" t="str">
        <f ca="1">IF(AND(ISNUMBER($L113),ISNUMBER(S$5)),IF(S$7=1,(S57)/(SUM(S$10:OFFSET(S$10,$M$5-1,0,1,1))),(1/S57)/SUM(1/S$10:OFFSET(S$10,$M$5-1,0,1,1))),"")</f>
        <v/>
      </c>
      <c r="U113" s="14"/>
      <c r="V113" s="12"/>
      <c r="W113" s="13"/>
      <c r="X113" s="33" t="str">
        <f ca="1">IF(AND(ISNUMBER($V113),ISNUMBER(X$5)),IF(X$7=1,(X57)/(SUM(X$10:OFFSET(X$10,$W$5-1,0,1,1))),(1/X57)/SUM(1/X$10:OFFSET(X$10,$W$5-1,0,1,1))),"")</f>
        <v/>
      </c>
      <c r="Y113" s="33" t="str">
        <f ca="1">IF(AND(ISNUMBER($V113),ISNUMBER(Y$5)),IF(Y$7=1,(Y57)/(SUM(Y$10:OFFSET(Y$10,$W$5-1,0,1,1))),(1/Y57)/SUM(1/Y$10:OFFSET(Y$10,$W$5-1,0,1,1))),"")</f>
        <v/>
      </c>
      <c r="Z113" s="33" t="str">
        <f ca="1">IF(AND(ISNUMBER($V113),ISNUMBER(Z$5)),IF(Z$7=1,(Z57)/(SUM(Z$10:OFFSET(Z$10,$W$5-1,0,1,1))),(1/Z57)/SUM(1/Z$10:OFFSET(Z$10,$W$5-1,0,1,1))),"")</f>
        <v/>
      </c>
      <c r="AA113" s="33" t="str">
        <f ca="1">IF(AND(ISNUMBER($V113),ISNUMBER(AA$5)),IF(AA$7=1,(AA57)/(SUM(AA$10:OFFSET(AA$10,$W$5-1,0,1,1))),(1/AA57)/SUM(1/AA$10:OFFSET(AA$10,$W$5-1,0,1,1))),"")</f>
        <v/>
      </c>
      <c r="AB113" s="33" t="str">
        <f ca="1">IF(AND(ISNUMBER($V113),ISNUMBER(AB$5)),IF(AB$7=1,(AB57)/(SUM(AB$10:OFFSET(AB$10,$W$5-1,0,1,1))),(1/AB57)/SUM(1/AB$10:OFFSET(AB$10,$W$5-1,0,1,1))),"")</f>
        <v/>
      </c>
      <c r="AC113" s="33" t="str">
        <f ca="1">IF(AND(ISNUMBER($V113),ISNUMBER(AC$5)),IF(AC$7=1,(AC57)/(SUM(AC$10:OFFSET(AC$10,$W$5-1,0,1,1))),(1/AC57)/SUM(1/AC$10:OFFSET(AC$10,$W$5-1,0,1,1))),"")</f>
        <v/>
      </c>
    </row>
    <row r="114" spans="1:29" ht="14.25" hidden="1" customHeight="1">
      <c r="A114" s="14"/>
      <c r="B114" s="12"/>
      <c r="C114" s="13"/>
      <c r="D114" s="33" t="str">
        <f ca="1">IF(AND(ISNUMBER($B114),ISNUMBER(D$5)),IF(D$7=1,(D58)/(SUM(D$10:OFFSET(D$10,$C$5-1,0,1,1))),(1/D58)/SUM(1/D$10:OFFSET(D$10,$C$5-1,0,1,1))),"")</f>
        <v/>
      </c>
      <c r="E114" s="33" t="str">
        <f ca="1">IF(AND(ISNUMBER($B114),ISNUMBER(E$5)),IF(E$7=1,(E58)/(SUM(E$10:OFFSET(E$10,$C$5-1,0,1,1))),(1/E58)/SUM(1/E$10:OFFSET(E$10,$C$5-1,0,1,1))),"")</f>
        <v/>
      </c>
      <c r="F114" s="33" t="str">
        <f ca="1">IF(AND(ISNUMBER($B114),ISNUMBER(F$5)),IF(F$7=1,(F58)/(SUM(F$10:OFFSET(F$10,$C$5-1,0,1,1))),(1/F58)/SUM(1/F$10:OFFSET(F$10,$C$5-1,0,1,1))),"")</f>
        <v/>
      </c>
      <c r="G114" s="33" t="str">
        <f ca="1">IF(AND(ISNUMBER($B114),ISNUMBER(G$5)),IF(G$7=1,(G58)/(SUM(G$10:OFFSET(G$10,$C$5-1,0,1,1))),(1/G58)/SUM(1/G$10:OFFSET(G$10,$C$5-1,0,1,1))),"")</f>
        <v/>
      </c>
      <c r="H114" s="33" t="str">
        <f ca="1">IF(AND(ISNUMBER($B114),ISNUMBER(H$5)),IF(H$7=1,(H58)/(SUM(H$10:OFFSET(H$10,$C$5-1,0,1,1))),(1/H58)/SUM(1/H$10:OFFSET(H$10,$C$5-1,0,1,1))),"")</f>
        <v/>
      </c>
      <c r="I114" s="33" t="str">
        <f ca="1">IF(AND(ISNUMBER($B114),ISNUMBER(I$5)),IF(I$7=1,(I58)/(SUM(I$10:OFFSET(I$10,$C$5-1,0,1,1))),(1/I58)/SUM(1/I$10:OFFSET(I$10,$C$5-1,0,1,1))),"")</f>
        <v/>
      </c>
      <c r="K114" s="14"/>
      <c r="L114" s="12"/>
      <c r="M114" s="13"/>
      <c r="N114" s="33" t="str">
        <f ca="1">IF(AND(ISNUMBER($L114),ISNUMBER(N$5)),IF(N$7=1,(N58)/(SUM(N$10:OFFSET(N$10,$M$5-1,0,1,1))),(1/N58)/SUM(1/N$10:OFFSET(N$10,$M$5-1,0,1,1))),"")</f>
        <v/>
      </c>
      <c r="O114" s="33" t="str">
        <f ca="1">IF(AND(ISNUMBER($L114),ISNUMBER(O$5)),IF(O$7=1,(O58)/(SUM(O$10:OFFSET(O$10,$M$5-1,0,1,1))),(1/O58)/SUM(1/O$10:OFFSET(O$10,$M$5-1,0,1,1))),"")</f>
        <v/>
      </c>
      <c r="P114" s="33" t="str">
        <f ca="1">IF(AND(ISNUMBER($L114),ISNUMBER(P$5)),IF(P$7=1,(P58)/(SUM(P$10:OFFSET(P$10,$M$5-1,0,1,1))),(1/P58)/SUM(1/P$10:OFFSET(P$10,$M$5-1,0,1,1))),"")</f>
        <v/>
      </c>
      <c r="Q114" s="33" t="str">
        <f ca="1">IF(AND(ISNUMBER($L114),ISNUMBER(Q$5)),IF(Q$7=1,(Q58)/(SUM(Q$10:OFFSET(Q$10,$M$5-1,0,1,1))),(1/Q58)/SUM(1/Q$10:OFFSET(Q$10,$M$5-1,0,1,1))),"")</f>
        <v/>
      </c>
      <c r="R114" s="33" t="str">
        <f ca="1">IF(AND(ISNUMBER($L114),ISNUMBER(R$5)),IF(R$7=1,(R58)/(SUM(R$10:OFFSET(R$10,$M$5-1,0,1,1))),(1/R58)/SUM(1/R$10:OFFSET(R$10,$M$5-1,0,1,1))),"")</f>
        <v/>
      </c>
      <c r="S114" s="33" t="str">
        <f ca="1">IF(AND(ISNUMBER($L114),ISNUMBER(S$5)),IF(S$7=1,(S58)/(SUM(S$10:OFFSET(S$10,$M$5-1,0,1,1))),(1/S58)/SUM(1/S$10:OFFSET(S$10,$M$5-1,0,1,1))),"")</f>
        <v/>
      </c>
      <c r="U114" s="14"/>
      <c r="V114" s="12"/>
      <c r="W114" s="13"/>
      <c r="X114" s="33" t="str">
        <f ca="1">IF(AND(ISNUMBER($V114),ISNUMBER(X$5)),IF(X$7=1,(X58)/(SUM(X$10:OFFSET(X$10,$W$5-1,0,1,1))),(1/X58)/SUM(1/X$10:OFFSET(X$10,$W$5-1,0,1,1))),"")</f>
        <v/>
      </c>
      <c r="Y114" s="33" t="str">
        <f ca="1">IF(AND(ISNUMBER($V114),ISNUMBER(Y$5)),IF(Y$7=1,(Y58)/(SUM(Y$10:OFFSET(Y$10,$W$5-1,0,1,1))),(1/Y58)/SUM(1/Y$10:OFFSET(Y$10,$W$5-1,0,1,1))),"")</f>
        <v/>
      </c>
      <c r="Z114" s="33" t="str">
        <f ca="1">IF(AND(ISNUMBER($V114),ISNUMBER(Z$5)),IF(Z$7=1,(Z58)/(SUM(Z$10:OFFSET(Z$10,$W$5-1,0,1,1))),(1/Z58)/SUM(1/Z$10:OFFSET(Z$10,$W$5-1,0,1,1))),"")</f>
        <v/>
      </c>
      <c r="AA114" s="33" t="str">
        <f ca="1">IF(AND(ISNUMBER($V114),ISNUMBER(AA$5)),IF(AA$7=1,(AA58)/(SUM(AA$10:OFFSET(AA$10,$W$5-1,0,1,1))),(1/AA58)/SUM(1/AA$10:OFFSET(AA$10,$W$5-1,0,1,1))),"")</f>
        <v/>
      </c>
      <c r="AB114" s="33" t="str">
        <f ca="1">IF(AND(ISNUMBER($V114),ISNUMBER(AB$5)),IF(AB$7=1,(AB58)/(SUM(AB$10:OFFSET(AB$10,$W$5-1,0,1,1))),(1/AB58)/SUM(1/AB$10:OFFSET(AB$10,$W$5-1,0,1,1))),"")</f>
        <v/>
      </c>
      <c r="AC114" s="33" t="str">
        <f ca="1">IF(AND(ISNUMBER($V114),ISNUMBER(AC$5)),IF(AC$7=1,(AC58)/(SUM(AC$10:OFFSET(AC$10,$W$5-1,0,1,1))),(1/AC58)/SUM(1/AC$10:OFFSET(AC$10,$W$5-1,0,1,1))),"")</f>
        <v/>
      </c>
    </row>
    <row r="115" spans="1:29" ht="14.25" hidden="1" customHeight="1">
      <c r="A115" s="14"/>
      <c r="B115" s="12"/>
      <c r="C115" s="13"/>
      <c r="D115" s="33" t="str">
        <f ca="1">IF(AND(ISNUMBER($B115),ISNUMBER(D$5)),IF(D$7=1,(D59)/(SUM(D$10:OFFSET(D$10,$C$5-1,0,1,1))),(1/D59)/SUM(1/D$10:OFFSET(D$10,$C$5-1,0,1,1))),"")</f>
        <v/>
      </c>
      <c r="E115" s="33" t="str">
        <f ca="1">IF(AND(ISNUMBER($B115),ISNUMBER(E$5)),IF(E$7=1,(E59)/(SUM(E$10:OFFSET(E$10,$C$5-1,0,1,1))),(1/E59)/SUM(1/E$10:OFFSET(E$10,$C$5-1,0,1,1))),"")</f>
        <v/>
      </c>
      <c r="F115" s="33" t="str">
        <f ca="1">IF(AND(ISNUMBER($B115),ISNUMBER(F$5)),IF(F$7=1,(F59)/(SUM(F$10:OFFSET(F$10,$C$5-1,0,1,1))),(1/F59)/SUM(1/F$10:OFFSET(F$10,$C$5-1,0,1,1))),"")</f>
        <v/>
      </c>
      <c r="G115" s="33" t="str">
        <f ca="1">IF(AND(ISNUMBER($B115),ISNUMBER(G$5)),IF(G$7=1,(G59)/(SUM(G$10:OFFSET(G$10,$C$5-1,0,1,1))),(1/G59)/SUM(1/G$10:OFFSET(G$10,$C$5-1,0,1,1))),"")</f>
        <v/>
      </c>
      <c r="H115" s="33" t="str">
        <f ca="1">IF(AND(ISNUMBER($B115),ISNUMBER(H$5)),IF(H$7=1,(H59)/(SUM(H$10:OFFSET(H$10,$C$5-1,0,1,1))),(1/H59)/SUM(1/H$10:OFFSET(H$10,$C$5-1,0,1,1))),"")</f>
        <v/>
      </c>
      <c r="I115" s="33" t="str">
        <f ca="1">IF(AND(ISNUMBER($B115),ISNUMBER(I$5)),IF(I$7=1,(I59)/(SUM(I$10:OFFSET(I$10,$C$5-1,0,1,1))),(1/I59)/SUM(1/I$10:OFFSET(I$10,$C$5-1,0,1,1))),"")</f>
        <v/>
      </c>
      <c r="K115" s="14"/>
      <c r="L115" s="12"/>
      <c r="M115" s="13"/>
      <c r="N115" s="33" t="str">
        <f ca="1">IF(AND(ISNUMBER($L115),ISNUMBER(N$5)),IF(N$7=1,(N59)/(SUM(N$10:OFFSET(N$10,$M$5-1,0,1,1))),(1/N59)/SUM(1/N$10:OFFSET(N$10,$M$5-1,0,1,1))),"")</f>
        <v/>
      </c>
      <c r="O115" s="33" t="str">
        <f ca="1">IF(AND(ISNUMBER($L115),ISNUMBER(O$5)),IF(O$7=1,(O59)/(SUM(O$10:OFFSET(O$10,$M$5-1,0,1,1))),(1/O59)/SUM(1/O$10:OFFSET(O$10,$M$5-1,0,1,1))),"")</f>
        <v/>
      </c>
      <c r="P115" s="33" t="str">
        <f ca="1">IF(AND(ISNUMBER($L115),ISNUMBER(P$5)),IF(P$7=1,(P59)/(SUM(P$10:OFFSET(P$10,$M$5-1,0,1,1))),(1/P59)/SUM(1/P$10:OFFSET(P$10,$M$5-1,0,1,1))),"")</f>
        <v/>
      </c>
      <c r="Q115" s="33" t="str">
        <f ca="1">IF(AND(ISNUMBER($L115),ISNUMBER(Q$5)),IF(Q$7=1,(Q59)/(SUM(Q$10:OFFSET(Q$10,$M$5-1,0,1,1))),(1/Q59)/SUM(1/Q$10:OFFSET(Q$10,$M$5-1,0,1,1))),"")</f>
        <v/>
      </c>
      <c r="R115" s="33" t="str">
        <f ca="1">IF(AND(ISNUMBER($L115),ISNUMBER(R$5)),IF(R$7=1,(R59)/(SUM(R$10:OFFSET(R$10,$M$5-1,0,1,1))),(1/R59)/SUM(1/R$10:OFFSET(R$10,$M$5-1,0,1,1))),"")</f>
        <v/>
      </c>
      <c r="S115" s="33" t="str">
        <f ca="1">IF(AND(ISNUMBER($L115),ISNUMBER(S$5)),IF(S$7=1,(S59)/(SUM(S$10:OFFSET(S$10,$M$5-1,0,1,1))),(1/S59)/SUM(1/S$10:OFFSET(S$10,$M$5-1,0,1,1))),"")</f>
        <v/>
      </c>
      <c r="U115" s="14"/>
      <c r="V115" s="12"/>
      <c r="W115" s="13"/>
      <c r="X115" s="33" t="str">
        <f ca="1">IF(AND(ISNUMBER($V115),ISNUMBER(X$5)),IF(X$7=1,(X59)/(SUM(X$10:OFFSET(X$10,$W$5-1,0,1,1))),(1/X59)/SUM(1/X$10:OFFSET(X$10,$W$5-1,0,1,1))),"")</f>
        <v/>
      </c>
      <c r="Y115" s="33" t="str">
        <f ca="1">IF(AND(ISNUMBER($V115),ISNUMBER(Y$5)),IF(Y$7=1,(Y59)/(SUM(Y$10:OFFSET(Y$10,$W$5-1,0,1,1))),(1/Y59)/SUM(1/Y$10:OFFSET(Y$10,$W$5-1,0,1,1))),"")</f>
        <v/>
      </c>
      <c r="Z115" s="33" t="str">
        <f ca="1">IF(AND(ISNUMBER($V115),ISNUMBER(Z$5)),IF(Z$7=1,(Z59)/(SUM(Z$10:OFFSET(Z$10,$W$5-1,0,1,1))),(1/Z59)/SUM(1/Z$10:OFFSET(Z$10,$W$5-1,0,1,1))),"")</f>
        <v/>
      </c>
      <c r="AA115" s="33" t="str">
        <f ca="1">IF(AND(ISNUMBER($V115),ISNUMBER(AA$5)),IF(AA$7=1,(AA59)/(SUM(AA$10:OFFSET(AA$10,$W$5-1,0,1,1))),(1/AA59)/SUM(1/AA$10:OFFSET(AA$10,$W$5-1,0,1,1))),"")</f>
        <v/>
      </c>
      <c r="AB115" s="33" t="str">
        <f ca="1">IF(AND(ISNUMBER($V115),ISNUMBER(AB$5)),IF(AB$7=1,(AB59)/(SUM(AB$10:OFFSET(AB$10,$W$5-1,0,1,1))),(1/AB59)/SUM(1/AB$10:OFFSET(AB$10,$W$5-1,0,1,1))),"")</f>
        <v/>
      </c>
      <c r="AC115" s="33" t="str">
        <f ca="1">IF(AND(ISNUMBER($V115),ISNUMBER(AC$5)),IF(AC$7=1,(AC59)/(SUM(AC$10:OFFSET(AC$10,$W$5-1,0,1,1))),(1/AC59)/SUM(1/AC$10:OFFSET(AC$10,$W$5-1,0,1,1))),"")</f>
        <v/>
      </c>
    </row>
    <row r="116" spans="1:29" ht="14.25" hidden="1" customHeight="1">
      <c r="A116" s="14"/>
      <c r="B116" s="12"/>
      <c r="C116" s="13"/>
      <c r="D116" s="33" t="str">
        <f ca="1">IF(AND(ISNUMBER($B116),ISNUMBER(D$5)),IF(D$7=1,(D60)/(SUM(D$10:OFFSET(D$10,$C$5-1,0,1,1))),(1/D60)/SUM(1/D$10:OFFSET(D$10,$C$5-1,0,1,1))),"")</f>
        <v/>
      </c>
      <c r="E116" s="33" t="str">
        <f ca="1">IF(AND(ISNUMBER($B116),ISNUMBER(E$5)),IF(E$7=1,(E60)/(SUM(E$10:OFFSET(E$10,$C$5-1,0,1,1))),(1/E60)/SUM(1/E$10:OFFSET(E$10,$C$5-1,0,1,1))),"")</f>
        <v/>
      </c>
      <c r="F116" s="33" t="str">
        <f ca="1">IF(AND(ISNUMBER($B116),ISNUMBER(F$5)),IF(F$7=1,(F60)/(SUM(F$10:OFFSET(F$10,$C$5-1,0,1,1))),(1/F60)/SUM(1/F$10:OFFSET(F$10,$C$5-1,0,1,1))),"")</f>
        <v/>
      </c>
      <c r="G116" s="33" t="str">
        <f ca="1">IF(AND(ISNUMBER($B116),ISNUMBER(G$5)),IF(G$7=1,(G60)/(SUM(G$10:OFFSET(G$10,$C$5-1,0,1,1))),(1/G60)/SUM(1/G$10:OFFSET(G$10,$C$5-1,0,1,1))),"")</f>
        <v/>
      </c>
      <c r="H116" s="33" t="str">
        <f ca="1">IF(AND(ISNUMBER($B116),ISNUMBER(H$5)),IF(H$7=1,(H60)/(SUM(H$10:OFFSET(H$10,$C$5-1,0,1,1))),(1/H60)/SUM(1/H$10:OFFSET(H$10,$C$5-1,0,1,1))),"")</f>
        <v/>
      </c>
      <c r="I116" s="33" t="str">
        <f ca="1">IF(AND(ISNUMBER($B116),ISNUMBER(I$5)),IF(I$7=1,(I60)/(SUM(I$10:OFFSET(I$10,$C$5-1,0,1,1))),(1/I60)/SUM(1/I$10:OFFSET(I$10,$C$5-1,0,1,1))),"")</f>
        <v/>
      </c>
      <c r="K116" s="14"/>
      <c r="L116" s="12"/>
      <c r="M116" s="13"/>
      <c r="N116" s="33" t="str">
        <f ca="1">IF(AND(ISNUMBER($L116),ISNUMBER(N$5)),IF(N$7=1,(N60)/(SUM(N$10:OFFSET(N$10,$M$5-1,0,1,1))),(1/N60)/SUM(1/N$10:OFFSET(N$10,$M$5-1,0,1,1))),"")</f>
        <v/>
      </c>
      <c r="O116" s="33" t="str">
        <f ca="1">IF(AND(ISNUMBER($L116),ISNUMBER(O$5)),IF(O$7=1,(O60)/(SUM(O$10:OFFSET(O$10,$M$5-1,0,1,1))),(1/O60)/SUM(1/O$10:OFFSET(O$10,$M$5-1,0,1,1))),"")</f>
        <v/>
      </c>
      <c r="P116" s="33" t="str">
        <f ca="1">IF(AND(ISNUMBER($L116),ISNUMBER(P$5)),IF(P$7=1,(P60)/(SUM(P$10:OFFSET(P$10,$M$5-1,0,1,1))),(1/P60)/SUM(1/P$10:OFFSET(P$10,$M$5-1,0,1,1))),"")</f>
        <v/>
      </c>
      <c r="Q116" s="33" t="str">
        <f ca="1">IF(AND(ISNUMBER($L116),ISNUMBER(Q$5)),IF(Q$7=1,(Q60)/(SUM(Q$10:OFFSET(Q$10,$M$5-1,0,1,1))),(1/Q60)/SUM(1/Q$10:OFFSET(Q$10,$M$5-1,0,1,1))),"")</f>
        <v/>
      </c>
      <c r="R116" s="33" t="str">
        <f ca="1">IF(AND(ISNUMBER($L116),ISNUMBER(R$5)),IF(R$7=1,(R60)/(SUM(R$10:OFFSET(R$10,$M$5-1,0,1,1))),(1/R60)/SUM(1/R$10:OFFSET(R$10,$M$5-1,0,1,1))),"")</f>
        <v/>
      </c>
      <c r="S116" s="33" t="str">
        <f ca="1">IF(AND(ISNUMBER($L116),ISNUMBER(S$5)),IF(S$7=1,(S60)/(SUM(S$10:OFFSET(S$10,$M$5-1,0,1,1))),(1/S60)/SUM(1/S$10:OFFSET(S$10,$M$5-1,0,1,1))),"")</f>
        <v/>
      </c>
      <c r="U116" s="14"/>
      <c r="V116" s="12"/>
      <c r="W116" s="13"/>
      <c r="X116" s="33" t="str">
        <f ca="1">IF(AND(ISNUMBER($V116),ISNUMBER(X$5)),IF(X$7=1,(X60)/(SUM(X$10:OFFSET(X$10,$W$5-1,0,1,1))),(1/X60)/SUM(1/X$10:OFFSET(X$10,$W$5-1,0,1,1))),"")</f>
        <v/>
      </c>
      <c r="Y116" s="33" t="str">
        <f ca="1">IF(AND(ISNUMBER($V116),ISNUMBER(Y$5)),IF(Y$7=1,(Y60)/(SUM(Y$10:OFFSET(Y$10,$W$5-1,0,1,1))),(1/Y60)/SUM(1/Y$10:OFFSET(Y$10,$W$5-1,0,1,1))),"")</f>
        <v/>
      </c>
      <c r="Z116" s="33" t="str">
        <f ca="1">IF(AND(ISNUMBER($V116),ISNUMBER(Z$5)),IF(Z$7=1,(Z60)/(SUM(Z$10:OFFSET(Z$10,$W$5-1,0,1,1))),(1/Z60)/SUM(1/Z$10:OFFSET(Z$10,$W$5-1,0,1,1))),"")</f>
        <v/>
      </c>
      <c r="AA116" s="33" t="str">
        <f ca="1">IF(AND(ISNUMBER($V116),ISNUMBER(AA$5)),IF(AA$7=1,(AA60)/(SUM(AA$10:OFFSET(AA$10,$W$5-1,0,1,1))),(1/AA60)/SUM(1/AA$10:OFFSET(AA$10,$W$5-1,0,1,1))),"")</f>
        <v/>
      </c>
      <c r="AB116" s="33" t="str">
        <f ca="1">IF(AND(ISNUMBER($V116),ISNUMBER(AB$5)),IF(AB$7=1,(AB60)/(SUM(AB$10:OFFSET(AB$10,$W$5-1,0,1,1))),(1/AB60)/SUM(1/AB$10:OFFSET(AB$10,$W$5-1,0,1,1))),"")</f>
        <v/>
      </c>
      <c r="AC116" s="33" t="str">
        <f ca="1">IF(AND(ISNUMBER($V116),ISNUMBER(AC$5)),IF(AC$7=1,(AC60)/(SUM(AC$10:OFFSET(AC$10,$W$5-1,0,1,1))),(1/AC60)/SUM(1/AC$10:OFFSET(AC$10,$W$5-1,0,1,1))),"")</f>
        <v/>
      </c>
    </row>
    <row r="117" spans="1:29" ht="14.25" hidden="1" customHeight="1">
      <c r="A117" s="14"/>
      <c r="B117" s="12"/>
      <c r="C117" s="13"/>
      <c r="D117" s="33" t="str">
        <f ca="1">IF(AND(ISNUMBER($B117),ISNUMBER(D$5)),IF(D$7=1,(D61)/(SUM(D$10:OFFSET(D$10,$C$5-1,0,1,1))),(1/D61)/SUM(1/D$10:OFFSET(D$10,$C$5-1,0,1,1))),"")</f>
        <v/>
      </c>
      <c r="E117" s="33" t="str">
        <f ca="1">IF(AND(ISNUMBER($B117),ISNUMBER(E$5)),IF(E$7=1,(E61)/(SUM(E$10:OFFSET(E$10,$C$5-1,0,1,1))),(1/E61)/SUM(1/E$10:OFFSET(E$10,$C$5-1,0,1,1))),"")</f>
        <v/>
      </c>
      <c r="F117" s="33" t="str">
        <f ca="1">IF(AND(ISNUMBER($B117),ISNUMBER(F$5)),IF(F$7=1,(F61)/(SUM(F$10:OFFSET(F$10,$C$5-1,0,1,1))),(1/F61)/SUM(1/F$10:OFFSET(F$10,$C$5-1,0,1,1))),"")</f>
        <v/>
      </c>
      <c r="G117" s="33" t="str">
        <f ca="1">IF(AND(ISNUMBER($B117),ISNUMBER(G$5)),IF(G$7=1,(G61)/(SUM(G$10:OFFSET(G$10,$C$5-1,0,1,1))),(1/G61)/SUM(1/G$10:OFFSET(G$10,$C$5-1,0,1,1))),"")</f>
        <v/>
      </c>
      <c r="H117" s="33" t="str">
        <f ca="1">IF(AND(ISNUMBER($B117),ISNUMBER(H$5)),IF(H$7=1,(H61)/(SUM(H$10:OFFSET(H$10,$C$5-1,0,1,1))),(1/H61)/SUM(1/H$10:OFFSET(H$10,$C$5-1,0,1,1))),"")</f>
        <v/>
      </c>
      <c r="I117" s="33" t="str">
        <f ca="1">IF(AND(ISNUMBER($B117),ISNUMBER(I$5)),IF(I$7=1,(I61)/(SUM(I$10:OFFSET(I$10,$C$5-1,0,1,1))),(1/I61)/SUM(1/I$10:OFFSET(I$10,$C$5-1,0,1,1))),"")</f>
        <v/>
      </c>
      <c r="K117" s="14"/>
      <c r="L117" s="12"/>
      <c r="M117" s="13"/>
      <c r="N117" s="33" t="str">
        <f ca="1">IF(AND(ISNUMBER($L117),ISNUMBER(N$5)),IF(N$7=1,(N61)/(SUM(N$10:OFFSET(N$10,$M$5-1,0,1,1))),(1/N61)/SUM(1/N$10:OFFSET(N$10,$M$5-1,0,1,1))),"")</f>
        <v/>
      </c>
      <c r="O117" s="33" t="str">
        <f ca="1">IF(AND(ISNUMBER($L117),ISNUMBER(O$5)),IF(O$7=1,(O61)/(SUM(O$10:OFFSET(O$10,$M$5-1,0,1,1))),(1/O61)/SUM(1/O$10:OFFSET(O$10,$M$5-1,0,1,1))),"")</f>
        <v/>
      </c>
      <c r="P117" s="33" t="str">
        <f ca="1">IF(AND(ISNUMBER($L117),ISNUMBER(P$5)),IF(P$7=1,(P61)/(SUM(P$10:OFFSET(P$10,$M$5-1,0,1,1))),(1/P61)/SUM(1/P$10:OFFSET(P$10,$M$5-1,0,1,1))),"")</f>
        <v/>
      </c>
      <c r="Q117" s="33" t="str">
        <f ca="1">IF(AND(ISNUMBER($L117),ISNUMBER(Q$5)),IF(Q$7=1,(Q61)/(SUM(Q$10:OFFSET(Q$10,$M$5-1,0,1,1))),(1/Q61)/SUM(1/Q$10:OFFSET(Q$10,$M$5-1,0,1,1))),"")</f>
        <v/>
      </c>
      <c r="R117" s="33" t="str">
        <f ca="1">IF(AND(ISNUMBER($L117),ISNUMBER(R$5)),IF(R$7=1,(R61)/(SUM(R$10:OFFSET(R$10,$M$5-1,0,1,1))),(1/R61)/SUM(1/R$10:OFFSET(R$10,$M$5-1,0,1,1))),"")</f>
        <v/>
      </c>
      <c r="S117" s="33" t="str">
        <f ca="1">IF(AND(ISNUMBER($L117),ISNUMBER(S$5)),IF(S$7=1,(S61)/(SUM(S$10:OFFSET(S$10,$M$5-1,0,1,1))),(1/S61)/SUM(1/S$10:OFFSET(S$10,$M$5-1,0,1,1))),"")</f>
        <v/>
      </c>
      <c r="U117" s="14"/>
      <c r="V117" s="12"/>
      <c r="W117" s="13"/>
      <c r="X117" s="33" t="str">
        <f ca="1">IF(AND(ISNUMBER($V117),ISNUMBER(X$5)),IF(X$7=1,(X61)/(SUM(X$10:OFFSET(X$10,$W$5-1,0,1,1))),(1/X61)/SUM(1/X$10:OFFSET(X$10,$W$5-1,0,1,1))),"")</f>
        <v/>
      </c>
      <c r="Y117" s="33" t="str">
        <f ca="1">IF(AND(ISNUMBER($V117),ISNUMBER(Y$5)),IF(Y$7=1,(Y61)/(SUM(Y$10:OFFSET(Y$10,$W$5-1,0,1,1))),(1/Y61)/SUM(1/Y$10:OFFSET(Y$10,$W$5-1,0,1,1))),"")</f>
        <v/>
      </c>
      <c r="Z117" s="33" t="str">
        <f ca="1">IF(AND(ISNUMBER($V117),ISNUMBER(Z$5)),IF(Z$7=1,(Z61)/(SUM(Z$10:OFFSET(Z$10,$W$5-1,0,1,1))),(1/Z61)/SUM(1/Z$10:OFFSET(Z$10,$W$5-1,0,1,1))),"")</f>
        <v/>
      </c>
      <c r="AA117" s="33" t="str">
        <f ca="1">IF(AND(ISNUMBER($V117),ISNUMBER(AA$5)),IF(AA$7=1,(AA61)/(SUM(AA$10:OFFSET(AA$10,$W$5-1,0,1,1))),(1/AA61)/SUM(1/AA$10:OFFSET(AA$10,$W$5-1,0,1,1))),"")</f>
        <v/>
      </c>
      <c r="AB117" s="33" t="str">
        <f ca="1">IF(AND(ISNUMBER($V117),ISNUMBER(AB$5)),IF(AB$7=1,(AB61)/(SUM(AB$10:OFFSET(AB$10,$W$5-1,0,1,1))),(1/AB61)/SUM(1/AB$10:OFFSET(AB$10,$W$5-1,0,1,1))),"")</f>
        <v/>
      </c>
      <c r="AC117" s="33" t="str">
        <f ca="1">IF(AND(ISNUMBER($V117),ISNUMBER(AC$5)),IF(AC$7=1,(AC61)/(SUM(AC$10:OFFSET(AC$10,$W$5-1,0,1,1))),(1/AC61)/SUM(1/AC$10:OFFSET(AC$10,$W$5-1,0,1,1))),"")</f>
        <v/>
      </c>
    </row>
    <row r="118" spans="1:29" ht="14.25" hidden="1" customHeight="1">
      <c r="A118" s="14"/>
      <c r="B118" s="12"/>
      <c r="C118" s="13"/>
      <c r="D118" s="33" t="str">
        <f ca="1">IF(AND(ISNUMBER($B118),ISNUMBER(D$5)),IF(D$7=1,(D62)/(SUM(D$10:OFFSET(D$10,$C$5-1,0,1,1))),(1/D62)/SUM(1/D$10:OFFSET(D$10,$C$5-1,0,1,1))),"")</f>
        <v/>
      </c>
      <c r="E118" s="33" t="str">
        <f ca="1">IF(AND(ISNUMBER($B118),ISNUMBER(E$5)),IF(E$7=1,(E62)/(SUM(E$10:OFFSET(E$10,$C$5-1,0,1,1))),(1/E62)/SUM(1/E$10:OFFSET(E$10,$C$5-1,0,1,1))),"")</f>
        <v/>
      </c>
      <c r="F118" s="33" t="str">
        <f ca="1">IF(AND(ISNUMBER($B118),ISNUMBER(F$5)),IF(F$7=1,(F62)/(SUM(F$10:OFFSET(F$10,$C$5-1,0,1,1))),(1/F62)/SUM(1/F$10:OFFSET(F$10,$C$5-1,0,1,1))),"")</f>
        <v/>
      </c>
      <c r="G118" s="33" t="str">
        <f ca="1">IF(AND(ISNUMBER($B118),ISNUMBER(G$5)),IF(G$7=1,(G62)/(SUM(G$10:OFFSET(G$10,$C$5-1,0,1,1))),(1/G62)/SUM(1/G$10:OFFSET(G$10,$C$5-1,0,1,1))),"")</f>
        <v/>
      </c>
      <c r="H118" s="33" t="str">
        <f ca="1">IF(AND(ISNUMBER($B118),ISNUMBER(H$5)),IF(H$7=1,(H62)/(SUM(H$10:OFFSET(H$10,$C$5-1,0,1,1))),(1/H62)/SUM(1/H$10:OFFSET(H$10,$C$5-1,0,1,1))),"")</f>
        <v/>
      </c>
      <c r="I118" s="33" t="str">
        <f ca="1">IF(AND(ISNUMBER($B118),ISNUMBER(I$5)),IF(I$7=1,(I62)/(SUM(I$10:OFFSET(I$10,$C$5-1,0,1,1))),(1/I62)/SUM(1/I$10:OFFSET(I$10,$C$5-1,0,1,1))),"")</f>
        <v/>
      </c>
      <c r="K118" s="14"/>
      <c r="L118" s="12"/>
      <c r="M118" s="13"/>
      <c r="N118" s="33" t="str">
        <f ca="1">IF(AND(ISNUMBER($L118),ISNUMBER(N$5)),IF(N$7=1,(N62)/(SUM(N$10:OFFSET(N$10,$M$5-1,0,1,1))),(1/N62)/SUM(1/N$10:OFFSET(N$10,$M$5-1,0,1,1))),"")</f>
        <v/>
      </c>
      <c r="O118" s="33" t="str">
        <f ca="1">IF(AND(ISNUMBER($L118),ISNUMBER(O$5)),IF(O$7=1,(O62)/(SUM(O$10:OFFSET(O$10,$M$5-1,0,1,1))),(1/O62)/SUM(1/O$10:OFFSET(O$10,$M$5-1,0,1,1))),"")</f>
        <v/>
      </c>
      <c r="P118" s="33" t="str">
        <f ca="1">IF(AND(ISNUMBER($L118),ISNUMBER(P$5)),IF(P$7=1,(P62)/(SUM(P$10:OFFSET(P$10,$M$5-1,0,1,1))),(1/P62)/SUM(1/P$10:OFFSET(P$10,$M$5-1,0,1,1))),"")</f>
        <v/>
      </c>
      <c r="Q118" s="33" t="str">
        <f ca="1">IF(AND(ISNUMBER($L118),ISNUMBER(Q$5)),IF(Q$7=1,(Q62)/(SUM(Q$10:OFFSET(Q$10,$M$5-1,0,1,1))),(1/Q62)/SUM(1/Q$10:OFFSET(Q$10,$M$5-1,0,1,1))),"")</f>
        <v/>
      </c>
      <c r="R118" s="33" t="str">
        <f ca="1">IF(AND(ISNUMBER($L118),ISNUMBER(R$5)),IF(R$7=1,(R62)/(SUM(R$10:OFFSET(R$10,$M$5-1,0,1,1))),(1/R62)/SUM(1/R$10:OFFSET(R$10,$M$5-1,0,1,1))),"")</f>
        <v/>
      </c>
      <c r="S118" s="33" t="str">
        <f ca="1">IF(AND(ISNUMBER($L118),ISNUMBER(S$5)),IF(S$7=1,(S62)/(SUM(S$10:OFFSET(S$10,$M$5-1,0,1,1))),(1/S62)/SUM(1/S$10:OFFSET(S$10,$M$5-1,0,1,1))),"")</f>
        <v/>
      </c>
      <c r="U118" s="14"/>
      <c r="V118" s="12"/>
      <c r="W118" s="13"/>
      <c r="X118" s="33" t="str">
        <f ca="1">IF(AND(ISNUMBER($V118),ISNUMBER(X$5)),IF(X$7=1,(X62)/(SUM(X$10:OFFSET(X$10,$W$5-1,0,1,1))),(1/X62)/SUM(1/X$10:OFFSET(X$10,$W$5-1,0,1,1))),"")</f>
        <v/>
      </c>
      <c r="Y118" s="33" t="str">
        <f ca="1">IF(AND(ISNUMBER($V118),ISNUMBER(Y$5)),IF(Y$7=1,(Y62)/(SUM(Y$10:OFFSET(Y$10,$W$5-1,0,1,1))),(1/Y62)/SUM(1/Y$10:OFFSET(Y$10,$W$5-1,0,1,1))),"")</f>
        <v/>
      </c>
      <c r="Z118" s="33" t="str">
        <f ca="1">IF(AND(ISNUMBER($V118),ISNUMBER(Z$5)),IF(Z$7=1,(Z62)/(SUM(Z$10:OFFSET(Z$10,$W$5-1,0,1,1))),(1/Z62)/SUM(1/Z$10:OFFSET(Z$10,$W$5-1,0,1,1))),"")</f>
        <v/>
      </c>
      <c r="AA118" s="33" t="str">
        <f ca="1">IF(AND(ISNUMBER($V118),ISNUMBER(AA$5)),IF(AA$7=1,(AA62)/(SUM(AA$10:OFFSET(AA$10,$W$5-1,0,1,1))),(1/AA62)/SUM(1/AA$10:OFFSET(AA$10,$W$5-1,0,1,1))),"")</f>
        <v/>
      </c>
      <c r="AB118" s="33" t="str">
        <f ca="1">IF(AND(ISNUMBER($V118),ISNUMBER(AB$5)),IF(AB$7=1,(AB62)/(SUM(AB$10:OFFSET(AB$10,$W$5-1,0,1,1))),(1/AB62)/SUM(1/AB$10:OFFSET(AB$10,$W$5-1,0,1,1))),"")</f>
        <v/>
      </c>
      <c r="AC118" s="33" t="str">
        <f ca="1">IF(AND(ISNUMBER($V118),ISNUMBER(AC$5)),IF(AC$7=1,(AC62)/(SUM(AC$10:OFFSET(AC$10,$W$5-1,0,1,1))),(1/AC62)/SUM(1/AC$10:OFFSET(AC$10,$W$5-1,0,1,1))),"")</f>
        <v/>
      </c>
    </row>
    <row r="119" spans="1:29" ht="14.25" hidden="1" customHeight="1" thickBot="1">
      <c r="A119" s="14"/>
      <c r="B119" s="12"/>
      <c r="C119" s="13"/>
      <c r="D119" s="33" t="str">
        <f ca="1">IF(AND(ISNUMBER($B119),ISNUMBER(D$5)),IF(D$7=1,(D63)/(SUM(D$10:OFFSET(D$10,$C$5-1,0,1,1))),(1/D63)/SUM(1/D$10:OFFSET(D$10,$C$5-1,0,1,1))),"")</f>
        <v/>
      </c>
      <c r="E119" s="33" t="str">
        <f ca="1">IF(AND(ISNUMBER($B119),ISNUMBER(E$5)),IF(E$7=1,(E63)/(SUM(E$10:OFFSET(E$10,$C$5-1,0,1,1))),(1/E63)/SUM(1/E$10:OFFSET(E$10,$C$5-1,0,1,1))),"")</f>
        <v/>
      </c>
      <c r="F119" s="33" t="str">
        <f ca="1">IF(AND(ISNUMBER($B119),ISNUMBER(F$5)),IF(F$7=1,(F63)/(SUM(F$10:OFFSET(F$10,$C$5-1,0,1,1))),(1/F63)/SUM(1/F$10:OFFSET(F$10,$C$5-1,0,1,1))),"")</f>
        <v/>
      </c>
      <c r="G119" s="33" t="str">
        <f ca="1">IF(AND(ISNUMBER($B119),ISNUMBER(G$5)),IF(G$7=1,(G63)/(SUM(G$10:OFFSET(G$10,$C$5-1,0,1,1))),(1/G63)/SUM(1/G$10:OFFSET(G$10,$C$5-1,0,1,1))),"")</f>
        <v/>
      </c>
      <c r="H119" s="33" t="str">
        <f ca="1">IF(AND(ISNUMBER($B119),ISNUMBER(H$5)),IF(H$7=1,(H63)/(SUM(H$10:OFFSET(H$10,$C$5-1,0,1,1))),(1/H63)/SUM(1/H$10:OFFSET(H$10,$C$5-1,0,1,1))),"")</f>
        <v/>
      </c>
      <c r="I119" s="33" t="str">
        <f ca="1">IF(AND(ISNUMBER($B119),ISNUMBER(I$5)),IF(I$7=1,(I63)/(SUM(I$10:OFFSET(I$10,$C$5-1,0,1,1))),(1/I63)/SUM(1/I$10:OFFSET(I$10,$C$5-1,0,1,1))),"")</f>
        <v/>
      </c>
      <c r="K119" s="14"/>
      <c r="L119" s="12"/>
      <c r="M119" s="13"/>
      <c r="N119" s="33" t="str">
        <f ca="1">IF(AND(ISNUMBER($L119),ISNUMBER(N$5)),IF(N$7=1,(N63)/(SUM(N$10:OFFSET(N$10,$M$5-1,0,1,1))),(1/N63)/SUM(1/N$10:OFFSET(N$10,$M$5-1,0,1,1))),"")</f>
        <v/>
      </c>
      <c r="O119" s="33" t="str">
        <f ca="1">IF(AND(ISNUMBER($L119),ISNUMBER(O$5)),IF(O$7=1,(O63)/(SUM(O$10:OFFSET(O$10,$M$5-1,0,1,1))),(1/O63)/SUM(1/O$10:OFFSET(O$10,$M$5-1,0,1,1))),"")</f>
        <v/>
      </c>
      <c r="P119" s="33" t="str">
        <f ca="1">IF(AND(ISNUMBER($L119),ISNUMBER(P$5)),IF(P$7=1,(P63)/(SUM(P$10:OFFSET(P$10,$M$5-1,0,1,1))),(1/P63)/SUM(1/P$10:OFFSET(P$10,$M$5-1,0,1,1))),"")</f>
        <v/>
      </c>
      <c r="Q119" s="33" t="str">
        <f ca="1">IF(AND(ISNUMBER($L119),ISNUMBER(Q$5)),IF(Q$7=1,(Q63)/(SUM(Q$10:OFFSET(Q$10,$M$5-1,0,1,1))),(1/Q63)/SUM(1/Q$10:OFFSET(Q$10,$M$5-1,0,1,1))),"")</f>
        <v/>
      </c>
      <c r="R119" s="33" t="str">
        <f ca="1">IF(AND(ISNUMBER($L119),ISNUMBER(R$5)),IF(R$7=1,(R63)/(SUM(R$10:OFFSET(R$10,$M$5-1,0,1,1))),(1/R63)/SUM(1/R$10:OFFSET(R$10,$M$5-1,0,1,1))),"")</f>
        <v/>
      </c>
      <c r="S119" s="33" t="str">
        <f ca="1">IF(AND(ISNUMBER($L119),ISNUMBER(S$5)),IF(S$7=1,(S63)/(SUM(S$10:OFFSET(S$10,$M$5-1,0,1,1))),(1/S63)/SUM(1/S$10:OFFSET(S$10,$M$5-1,0,1,1))),"")</f>
        <v/>
      </c>
      <c r="U119" s="14"/>
      <c r="V119" s="12"/>
      <c r="W119" s="13"/>
      <c r="X119" s="33" t="str">
        <f ca="1">IF(AND(ISNUMBER($V119),ISNUMBER(X$5)),IF(X$7=1,(X63)/(SUM(X$10:OFFSET(X$10,$W$5-1,0,1,1))),(1/X63)/SUM(1/X$10:OFFSET(X$10,$W$5-1,0,1,1))),"")</f>
        <v/>
      </c>
      <c r="Y119" s="33" t="str">
        <f ca="1">IF(AND(ISNUMBER($V119),ISNUMBER(Y$5)),IF(Y$7=1,(Y63)/(SUM(Y$10:OFFSET(Y$10,$W$5-1,0,1,1))),(1/Y63)/SUM(1/Y$10:OFFSET(Y$10,$W$5-1,0,1,1))),"")</f>
        <v/>
      </c>
      <c r="Z119" s="33" t="str">
        <f ca="1">IF(AND(ISNUMBER($V119),ISNUMBER(Z$5)),IF(Z$7=1,(Z63)/(SUM(Z$10:OFFSET(Z$10,$W$5-1,0,1,1))),(1/Z63)/SUM(1/Z$10:OFFSET(Z$10,$W$5-1,0,1,1))),"")</f>
        <v/>
      </c>
      <c r="AA119" s="33" t="str">
        <f ca="1">IF(AND(ISNUMBER($V119),ISNUMBER(AA$5)),IF(AA$7=1,(AA63)/(SUM(AA$10:OFFSET(AA$10,$W$5-1,0,1,1))),(1/AA63)/SUM(1/AA$10:OFFSET(AA$10,$W$5-1,0,1,1))),"")</f>
        <v/>
      </c>
      <c r="AB119" s="33" t="str">
        <f ca="1">IF(AND(ISNUMBER($V119),ISNUMBER(AB$5)),IF(AB$7=1,(AB63)/(SUM(AB$10:OFFSET(AB$10,$W$5-1,0,1,1))),(1/AB63)/SUM(1/AB$10:OFFSET(AB$10,$W$5-1,0,1,1))),"")</f>
        <v/>
      </c>
      <c r="AC119" s="33" t="str">
        <f ca="1">IF(AND(ISNUMBER($V119),ISNUMBER(AC$5)),IF(AC$7=1,(AC63)/(SUM(AC$10:OFFSET(AC$10,$W$5-1,0,1,1))),(1/AC63)/SUM(1/AC$10:OFFSET(AC$10,$W$5-1,0,1,1))),"")</f>
        <v/>
      </c>
    </row>
    <row r="120" spans="1:29" ht="14.25" customHeight="1" thickBot="1">
      <c r="A120" s="19"/>
      <c r="B120" s="323" t="s">
        <v>145</v>
      </c>
      <c r="C120" s="323"/>
      <c r="D120" s="33">
        <f ca="1">SUM(D66:D92)</f>
        <v>1</v>
      </c>
      <c r="E120" s="33">
        <f t="shared" ref="E120:I120" ca="1" si="0">SUM(E66:E92)</f>
        <v>1</v>
      </c>
      <c r="F120" s="33">
        <f t="shared" ca="1" si="0"/>
        <v>0.99999999999999989</v>
      </c>
      <c r="G120" s="33">
        <f t="shared" ca="1" si="0"/>
        <v>0.99999999999999989</v>
      </c>
      <c r="H120" s="33">
        <f t="shared" ca="1" si="0"/>
        <v>0.99999999999999978</v>
      </c>
      <c r="I120" s="33">
        <f t="shared" ca="1" si="0"/>
        <v>1.0000000000000002</v>
      </c>
      <c r="K120" s="19"/>
      <c r="L120" s="323" t="s">
        <v>145</v>
      </c>
      <c r="M120" s="323"/>
      <c r="N120" s="33">
        <f t="shared" ref="N120:S120" ca="1" si="1">SUM(N66:N92)</f>
        <v>1.0000000000000002</v>
      </c>
      <c r="O120" s="33">
        <f t="shared" ca="1" si="1"/>
        <v>0.99999999999999989</v>
      </c>
      <c r="P120" s="33">
        <f t="shared" ca="1" si="1"/>
        <v>1.0000000000000002</v>
      </c>
      <c r="Q120" s="33">
        <f t="shared" ca="1" si="1"/>
        <v>0.99999999999999989</v>
      </c>
      <c r="R120" s="33">
        <f t="shared" ca="1" si="1"/>
        <v>0.99999999999999989</v>
      </c>
      <c r="S120" s="33">
        <f t="shared" ca="1" si="1"/>
        <v>1</v>
      </c>
      <c r="U120" s="19"/>
      <c r="V120" s="323" t="s">
        <v>145</v>
      </c>
      <c r="W120" s="323"/>
      <c r="X120" s="33">
        <f t="shared" ref="X120:AC120" ca="1" si="2">SUM(X66:X92)</f>
        <v>0.99999999999999989</v>
      </c>
      <c r="Y120" s="33">
        <f t="shared" ca="1" si="2"/>
        <v>1.0000000000000002</v>
      </c>
      <c r="Z120" s="33">
        <f t="shared" ca="1" si="2"/>
        <v>1.0000000000000002</v>
      </c>
      <c r="AA120" s="33">
        <f t="shared" ca="1" si="2"/>
        <v>1</v>
      </c>
      <c r="AB120" s="33">
        <f t="shared" ca="1" si="2"/>
        <v>1</v>
      </c>
      <c r="AC120" s="33">
        <f t="shared" ca="1" si="2"/>
        <v>0.99999999999999967</v>
      </c>
    </row>
    <row r="121" spans="1:29" ht="14.25" customHeight="1" thickBot="1">
      <c r="A121" s="19"/>
      <c r="B121" s="321" t="s">
        <v>146</v>
      </c>
      <c r="C121" s="321"/>
      <c r="D121" s="321"/>
      <c r="E121" s="321"/>
      <c r="F121" s="321"/>
      <c r="G121" s="321"/>
      <c r="H121" s="321"/>
      <c r="I121" s="321"/>
      <c r="K121" s="19"/>
      <c r="L121" s="321" t="s">
        <v>146</v>
      </c>
      <c r="M121" s="321"/>
      <c r="N121" s="321"/>
      <c r="O121" s="321"/>
      <c r="P121" s="321"/>
      <c r="Q121" s="321"/>
      <c r="R121" s="321"/>
      <c r="S121" s="321"/>
      <c r="U121" s="19"/>
      <c r="V121" s="321" t="s">
        <v>146</v>
      </c>
      <c r="W121" s="321"/>
      <c r="X121" s="321"/>
      <c r="Y121" s="321"/>
      <c r="Z121" s="321"/>
      <c r="AA121" s="321"/>
      <c r="AB121" s="321"/>
      <c r="AC121" s="321"/>
    </row>
    <row r="122" spans="1:29" ht="14.25" customHeight="1">
      <c r="A122" s="309" t="s">
        <v>147</v>
      </c>
      <c r="B122" s="15"/>
      <c r="C122" s="20" t="s">
        <v>25</v>
      </c>
      <c r="D122" s="20" t="s">
        <v>135</v>
      </c>
      <c r="E122" s="20" t="s">
        <v>136</v>
      </c>
      <c r="F122" s="20" t="s">
        <v>137</v>
      </c>
      <c r="G122" s="20" t="s">
        <v>138</v>
      </c>
      <c r="H122" s="20" t="s">
        <v>139</v>
      </c>
      <c r="I122" s="20" t="s">
        <v>140</v>
      </c>
      <c r="K122" s="309" t="s">
        <v>147</v>
      </c>
      <c r="L122" s="15"/>
      <c r="M122" s="20" t="s">
        <v>25</v>
      </c>
      <c r="N122" s="20" t="s">
        <v>135</v>
      </c>
      <c r="O122" s="20" t="s">
        <v>136</v>
      </c>
      <c r="P122" s="20" t="s">
        <v>137</v>
      </c>
      <c r="Q122" s="20" t="s">
        <v>138</v>
      </c>
      <c r="R122" s="20" t="s">
        <v>139</v>
      </c>
      <c r="S122" s="20" t="s">
        <v>140</v>
      </c>
      <c r="U122" s="309" t="s">
        <v>147</v>
      </c>
      <c r="V122" s="15"/>
      <c r="W122" s="20" t="s">
        <v>25</v>
      </c>
      <c r="X122" s="20" t="s">
        <v>135</v>
      </c>
      <c r="Y122" s="20" t="s">
        <v>136</v>
      </c>
      <c r="Z122" s="20" t="s">
        <v>137</v>
      </c>
      <c r="AA122" s="20" t="s">
        <v>138</v>
      </c>
      <c r="AB122" s="20" t="s">
        <v>139</v>
      </c>
      <c r="AC122" s="20" t="s">
        <v>140</v>
      </c>
    </row>
    <row r="123" spans="1:29" ht="14.25" customHeight="1">
      <c r="A123" s="310"/>
      <c r="B123" s="21">
        <v>1</v>
      </c>
      <c r="C123" s="13" t="s">
        <v>107</v>
      </c>
      <c r="D123" s="33">
        <f t="shared" ref="D123:I123" ca="1" si="3">IF(AND(ISNUMBER($B123),ISNUMBER(D$5)),IF(D66=0,0,((D66/D$120)*(LN(D66/D$120)))),"")</f>
        <v>-0.17528765009349534</v>
      </c>
      <c r="E123" s="33">
        <f t="shared" ca="1" si="3"/>
        <v>-0.18246295955311254</v>
      </c>
      <c r="F123" s="33">
        <f t="shared" ca="1" si="3"/>
        <v>-0.16016067283625163</v>
      </c>
      <c r="G123" s="33">
        <f t="shared" ca="1" si="3"/>
        <v>-0.20149524890766266</v>
      </c>
      <c r="H123" s="33">
        <f t="shared" ca="1" si="3"/>
        <v>-0.12415663452883233</v>
      </c>
      <c r="I123" s="33">
        <f t="shared" ca="1" si="3"/>
        <v>-0.15647530455513337</v>
      </c>
      <c r="K123" s="310"/>
      <c r="L123" s="21">
        <v>1</v>
      </c>
      <c r="M123" s="13" t="s">
        <v>107</v>
      </c>
      <c r="N123" s="33">
        <f t="shared" ref="N123:S132" ca="1" si="4">IF(AND(ISNUMBER($L123),ISNUMBER(N$5)),IF(N66=0,0,((N66/N$120)*(LN(N66/N$120)))),"")</f>
        <v>-0.170809318661168</v>
      </c>
      <c r="O123" s="33">
        <f t="shared" ca="1" si="4"/>
        <v>-0.18803333534679181</v>
      </c>
      <c r="P123" s="33">
        <f t="shared" ca="1" si="4"/>
        <v>-0.14818276612944581</v>
      </c>
      <c r="Q123" s="33">
        <f t="shared" ca="1" si="4"/>
        <v>-0.2003909987039155</v>
      </c>
      <c r="R123" s="33">
        <f t="shared" ca="1" si="4"/>
        <v>-0.1005176433392804</v>
      </c>
      <c r="S123" s="33">
        <f t="shared" ca="1" si="4"/>
        <v>-0.15989246685592243</v>
      </c>
      <c r="U123" s="310"/>
      <c r="V123" s="21">
        <v>1</v>
      </c>
      <c r="W123" s="13" t="s">
        <v>107</v>
      </c>
      <c r="X123" s="33">
        <f t="shared" ref="X123:AC132" ca="1" si="5">IF(AND(ISNUMBER($V123),ISNUMBER(X$5)),IF(X66=0,0,((X66/X$120)*(LN(X66/X$120)))),"")</f>
        <v>-0.17313815453000811</v>
      </c>
      <c r="Y123" s="33">
        <f t="shared" ca="1" si="5"/>
        <v>-0.18534709380179401</v>
      </c>
      <c r="Z123" s="33">
        <f t="shared" ca="1" si="5"/>
        <v>-0.15477812947501046</v>
      </c>
      <c r="AA123" s="33">
        <f t="shared" ca="1" si="5"/>
        <v>-0.20092558229423899</v>
      </c>
      <c r="AB123" s="33">
        <f t="shared" ca="1" si="5"/>
        <v>-0.11263724196271123</v>
      </c>
      <c r="AC123" s="33">
        <f t="shared" ca="1" si="5"/>
        <v>-0.15816622957524704</v>
      </c>
    </row>
    <row r="124" spans="1:29" ht="14.25" customHeight="1">
      <c r="A124" s="310"/>
      <c r="B124" s="21">
        <v>2</v>
      </c>
      <c r="C124" s="13" t="s">
        <v>108</v>
      </c>
      <c r="D124" s="33">
        <f t="shared" ref="D124:I124" ca="1" si="6">IF(AND(ISNUMBER($B124),ISNUMBER(D$5)),IF(D67=0,0,((D67/D$120)*(LN(D67/D$120)))),"")</f>
        <v>-0.18484966446217346</v>
      </c>
      <c r="E124" s="33">
        <f t="shared" ca="1" si="6"/>
        <v>-0.12020051834201459</v>
      </c>
      <c r="F124" s="33">
        <f t="shared" ca="1" si="6"/>
        <v>-0.17718874290712097</v>
      </c>
      <c r="G124" s="33">
        <f t="shared" ca="1" si="6"/>
        <v>-0.21244217873281437</v>
      </c>
      <c r="H124" s="33">
        <f t="shared" ca="1" si="6"/>
        <v>-0.12824681054017639</v>
      </c>
      <c r="I124" s="33">
        <f t="shared" ca="1" si="6"/>
        <v>-0.17057870492120736</v>
      </c>
      <c r="K124" s="310"/>
      <c r="L124" s="21">
        <v>2</v>
      </c>
      <c r="M124" s="13" t="s">
        <v>108</v>
      </c>
      <c r="N124" s="33">
        <f t="shared" ca="1" si="4"/>
        <v>-0.16536503413492926</v>
      </c>
      <c r="O124" s="33">
        <f t="shared" ca="1" si="4"/>
        <v>-0.11551951148865564</v>
      </c>
      <c r="P124" s="33">
        <f t="shared" ca="1" si="4"/>
        <v>-0.16732365771260424</v>
      </c>
      <c r="Q124" s="33">
        <f t="shared" ca="1" si="4"/>
        <v>-0.20418519486814932</v>
      </c>
      <c r="R124" s="33">
        <f t="shared" ca="1" si="4"/>
        <v>-0.12322342607799484</v>
      </c>
      <c r="S124" s="33">
        <f t="shared" ca="1" si="4"/>
        <v>-0.17574167064801011</v>
      </c>
      <c r="U124" s="310"/>
      <c r="V124" s="21">
        <v>2</v>
      </c>
      <c r="W124" s="13" t="s">
        <v>108</v>
      </c>
      <c r="X124" s="33">
        <f t="shared" ca="1" si="5"/>
        <v>-0.17568373204778287</v>
      </c>
      <c r="Y124" s="33">
        <f t="shared" ca="1" si="5"/>
        <v>-0.11780785564855478</v>
      </c>
      <c r="Z124" s="33">
        <f t="shared" ca="1" si="5"/>
        <v>-0.17274344544692619</v>
      </c>
      <c r="AA124" s="33">
        <f t="shared" ca="1" si="5"/>
        <v>-0.20822293695946648</v>
      </c>
      <c r="AB124" s="33">
        <f t="shared" ca="1" si="5"/>
        <v>-0.12573755722065544</v>
      </c>
      <c r="AC124" s="33">
        <f t="shared" ca="1" si="5"/>
        <v>-0.1731393806737048</v>
      </c>
    </row>
    <row r="125" spans="1:29" ht="14.25" customHeight="1" thickBot="1">
      <c r="A125" s="311"/>
      <c r="B125" s="21">
        <v>3</v>
      </c>
      <c r="C125" s="13" t="s">
        <v>109</v>
      </c>
      <c r="D125" s="33">
        <f t="shared" ref="D125:I125" ca="1" si="7">IF(AND(ISNUMBER($B125),ISNUMBER(D$5)),IF(D68=0,0,((D68/D$120)*(LN(D68/D$120)))),"")</f>
        <v>-0.18716826013603113</v>
      </c>
      <c r="E125" s="33">
        <f t="shared" ca="1" si="7"/>
        <v>-0.18246295955311254</v>
      </c>
      <c r="F125" s="33">
        <f t="shared" ca="1" si="7"/>
        <v>-0.16271794815874704</v>
      </c>
      <c r="G125" s="33">
        <f t="shared" ca="1" si="7"/>
        <v>-0.15690930929529909</v>
      </c>
      <c r="H125" s="33">
        <f t="shared" ca="1" si="7"/>
        <v>-0.15269633757926604</v>
      </c>
      <c r="I125" s="33">
        <f t="shared" ca="1" si="7"/>
        <v>-0.17386687414158625</v>
      </c>
      <c r="K125" s="311"/>
      <c r="L125" s="21">
        <v>3</v>
      </c>
      <c r="M125" s="13" t="s">
        <v>109</v>
      </c>
      <c r="N125" s="33">
        <f t="shared" ca="1" si="4"/>
        <v>-0.19528670778320148</v>
      </c>
      <c r="O125" s="33">
        <f t="shared" ca="1" si="4"/>
        <v>-0.17604283970006246</v>
      </c>
      <c r="P125" s="33">
        <f t="shared" ca="1" si="4"/>
        <v>-0.14279193869863452</v>
      </c>
      <c r="Q125" s="33">
        <f t="shared" ca="1" si="4"/>
        <v>-0.15910235450314883</v>
      </c>
      <c r="R125" s="33">
        <f t="shared" ca="1" si="4"/>
        <v>-0.15637336560957477</v>
      </c>
      <c r="S125" s="33">
        <f t="shared" ca="1" si="4"/>
        <v>-0.17626607585541129</v>
      </c>
      <c r="U125" s="311"/>
      <c r="V125" s="21">
        <v>3</v>
      </c>
      <c r="W125" s="13" t="s">
        <v>109</v>
      </c>
      <c r="X125" s="33">
        <f t="shared" ca="1" si="5"/>
        <v>-0.19113115999645236</v>
      </c>
      <c r="Y125" s="33">
        <f t="shared" ca="1" si="5"/>
        <v>-0.17918842186436459</v>
      </c>
      <c r="Z125" s="33">
        <f t="shared" ca="1" si="5"/>
        <v>-0.15386195243749526</v>
      </c>
      <c r="AA125" s="33">
        <f t="shared" ca="1" si="5"/>
        <v>-0.15804530930133617</v>
      </c>
      <c r="AB125" s="33">
        <f t="shared" ca="1" si="5"/>
        <v>-0.15455332482300183</v>
      </c>
      <c r="AC125" s="33">
        <f t="shared" ca="1" si="5"/>
        <v>-0.17505259450386351</v>
      </c>
    </row>
    <row r="126" spans="1:29" ht="14.25" customHeight="1">
      <c r="A126" s="18"/>
      <c r="B126" s="21">
        <v>4</v>
      </c>
      <c r="C126" s="13" t="s">
        <v>110</v>
      </c>
      <c r="D126" s="33">
        <f t="shared" ref="D126:I126" ca="1" si="8">IF(AND(ISNUMBER($B126),ISNUMBER(D$5)),IF(D69=0,0,((D69/D$120)*(LN(D69/D$120)))),"")</f>
        <v>-0.17598642146755428</v>
      </c>
      <c r="E126" s="33">
        <f t="shared" ca="1" si="8"/>
        <v>-0.18246295955311254</v>
      </c>
      <c r="F126" s="33">
        <f t="shared" ca="1" si="8"/>
        <v>-0.18101430205378949</v>
      </c>
      <c r="G126" s="33">
        <f t="shared" ca="1" si="8"/>
        <v>-0.20490972506603081</v>
      </c>
      <c r="H126" s="33">
        <f t="shared" ca="1" si="8"/>
        <v>-0.16315284660071197</v>
      </c>
      <c r="I126" s="33">
        <f t="shared" ca="1" si="8"/>
        <v>-0.17777493393941735</v>
      </c>
      <c r="K126" s="18"/>
      <c r="L126" s="21">
        <v>4</v>
      </c>
      <c r="M126" s="13" t="s">
        <v>110</v>
      </c>
      <c r="N126" s="33">
        <f t="shared" ca="1" si="4"/>
        <v>-0.19863662943249624</v>
      </c>
      <c r="O126" s="33">
        <f t="shared" ca="1" si="4"/>
        <v>-0.19573178509081535</v>
      </c>
      <c r="P126" s="33">
        <f t="shared" ca="1" si="4"/>
        <v>-0.20368244669725966</v>
      </c>
      <c r="Q126" s="33">
        <f t="shared" ca="1" si="4"/>
        <v>-0.20389606779309022</v>
      </c>
      <c r="R126" s="33">
        <f t="shared" ca="1" si="4"/>
        <v>-0.16887923566994772</v>
      </c>
      <c r="S126" s="33">
        <f t="shared" ca="1" si="4"/>
        <v>-0.18893674286693674</v>
      </c>
      <c r="U126" s="18"/>
      <c r="V126" s="21">
        <v>4</v>
      </c>
      <c r="W126" s="13" t="s">
        <v>110</v>
      </c>
      <c r="X126" s="33">
        <f t="shared" ca="1" si="5"/>
        <v>-0.18725597700586116</v>
      </c>
      <c r="Y126" s="33">
        <f t="shared" ca="1" si="5"/>
        <v>-0.18939992387015805</v>
      </c>
      <c r="Z126" s="33">
        <f t="shared" ca="1" si="5"/>
        <v>-0.19170550079198176</v>
      </c>
      <c r="AA126" s="33">
        <f t="shared" ca="1" si="5"/>
        <v>-0.20438673877859914</v>
      </c>
      <c r="AB126" s="33">
        <f t="shared" ca="1" si="5"/>
        <v>-0.16605230790872544</v>
      </c>
      <c r="AC126" s="33">
        <f t="shared" ca="1" si="5"/>
        <v>-0.18335461377967774</v>
      </c>
    </row>
    <row r="127" spans="1:29" ht="14.25" customHeight="1">
      <c r="A127" s="18"/>
      <c r="B127" s="21">
        <v>5</v>
      </c>
      <c r="C127" s="13" t="s">
        <v>111</v>
      </c>
      <c r="D127" s="33">
        <f t="shared" ref="D127:I127" ca="1" si="9">IF(AND(ISNUMBER($B127),ISNUMBER(D$5)),IF(D70=0,0,((D70/D$120)*(LN(D70/D$120)))),"")</f>
        <v>-0.18046852330177385</v>
      </c>
      <c r="E127" s="33">
        <f t="shared" ca="1" si="9"/>
        <v>-0.23180681242901824</v>
      </c>
      <c r="F127" s="33">
        <f t="shared" ca="1" si="9"/>
        <v>-0.14710636684762221</v>
      </c>
      <c r="G127" s="33">
        <f t="shared" ca="1" si="9"/>
        <v>-0.19992227074010974</v>
      </c>
      <c r="H127" s="33">
        <f t="shared" ca="1" si="9"/>
        <v>-0.17606052070053135</v>
      </c>
      <c r="I127" s="33">
        <f t="shared" ca="1" si="9"/>
        <v>-0.16509315951897943</v>
      </c>
      <c r="K127" s="18"/>
      <c r="L127" s="21">
        <v>5</v>
      </c>
      <c r="M127" s="13" t="s">
        <v>111</v>
      </c>
      <c r="N127" s="33">
        <f t="shared" ca="1" si="4"/>
        <v>-0.18840400432527504</v>
      </c>
      <c r="O127" s="33">
        <f t="shared" ca="1" si="4"/>
        <v>-0.22978454338468388</v>
      </c>
      <c r="P127" s="33">
        <f t="shared" ca="1" si="4"/>
        <v>-0.14580484689227907</v>
      </c>
      <c r="Q127" s="33">
        <f t="shared" ca="1" si="4"/>
        <v>-0.19891090529074096</v>
      </c>
      <c r="R127" s="33">
        <f t="shared" ca="1" si="4"/>
        <v>-0.17529903475350556</v>
      </c>
      <c r="S127" s="33">
        <f t="shared" ca="1" si="4"/>
        <v>-0.17095783898530989</v>
      </c>
      <c r="U127" s="18"/>
      <c r="V127" s="21">
        <v>5</v>
      </c>
      <c r="W127" s="13" t="s">
        <v>111</v>
      </c>
      <c r="X127" s="33">
        <f t="shared" ca="1" si="5"/>
        <v>-0.18434064604132699</v>
      </c>
      <c r="Y127" s="33">
        <f t="shared" ca="1" si="5"/>
        <v>-0.23077006135362599</v>
      </c>
      <c r="Z127" s="33">
        <f t="shared" ca="1" si="5"/>
        <v>-0.14651285329919</v>
      </c>
      <c r="AA127" s="33">
        <f t="shared" ca="1" si="5"/>
        <v>-0.19940045664997053</v>
      </c>
      <c r="AB127" s="33">
        <f t="shared" ca="1" si="5"/>
        <v>-0.17567808077209571</v>
      </c>
      <c r="AC127" s="33">
        <f t="shared" ca="1" si="5"/>
        <v>-0.16800436794968387</v>
      </c>
    </row>
    <row r="128" spans="1:29" ht="14.25" customHeight="1">
      <c r="A128" s="14"/>
      <c r="B128" s="21">
        <v>6</v>
      </c>
      <c r="C128" s="13" t="s">
        <v>112</v>
      </c>
      <c r="D128" s="33">
        <f t="shared" ref="D128:I128" ca="1" si="10">IF(AND(ISNUMBER($B128),ISNUMBER(D$5)),IF(D71=0,0,((D71/D$120)*(LN(D71/D$120)))),"")</f>
        <v>-0.19866762427179863</v>
      </c>
      <c r="E128" s="33">
        <f t="shared" ca="1" si="10"/>
        <v>-0.15137571139611525</v>
      </c>
      <c r="F128" s="33">
        <f t="shared" ca="1" si="10"/>
        <v>-0.15374053444326685</v>
      </c>
      <c r="G128" s="33">
        <f t="shared" ca="1" si="10"/>
        <v>-0.1173462911696197</v>
      </c>
      <c r="H128" s="33">
        <f t="shared" ca="1" si="10"/>
        <v>-0.16218037072497227</v>
      </c>
      <c r="I128" s="33">
        <f t="shared" ca="1" si="10"/>
        <v>-0.18904902088630579</v>
      </c>
      <c r="K128" s="14"/>
      <c r="L128" s="21">
        <v>6</v>
      </c>
      <c r="M128" s="13" t="s">
        <v>112</v>
      </c>
      <c r="N128" s="33">
        <f t="shared" ca="1" si="4"/>
        <v>-0.20707555414899997</v>
      </c>
      <c r="O128" s="33">
        <f t="shared" ca="1" si="4"/>
        <v>-0.13577462529948003</v>
      </c>
      <c r="P128" s="33">
        <f t="shared" ca="1" si="4"/>
        <v>-0.15966411291191193</v>
      </c>
      <c r="Q128" s="33">
        <f t="shared" ca="1" si="4"/>
        <v>-0.12278331959301418</v>
      </c>
      <c r="R128" s="33">
        <f t="shared" ca="1" si="4"/>
        <v>-0.16224346742352644</v>
      </c>
      <c r="S128" s="33">
        <f t="shared" ca="1" si="4"/>
        <v>-0.19378044803892039</v>
      </c>
      <c r="U128" s="14"/>
      <c r="V128" s="21">
        <v>6</v>
      </c>
      <c r="W128" s="13" t="s">
        <v>112</v>
      </c>
      <c r="X128" s="33">
        <f t="shared" ca="1" si="5"/>
        <v>-0.20277467875281099</v>
      </c>
      <c r="Y128" s="33">
        <f t="shared" ca="1" si="5"/>
        <v>-0.14350716186033274</v>
      </c>
      <c r="Z128" s="33">
        <f t="shared" ca="1" si="5"/>
        <v>-0.1564684900995075</v>
      </c>
      <c r="AA128" s="33">
        <f t="shared" ca="1" si="5"/>
        <v>-0.12017414985126446</v>
      </c>
      <c r="AB128" s="33">
        <f t="shared" ca="1" si="5"/>
        <v>-0.16221209286440549</v>
      </c>
      <c r="AC128" s="33">
        <f t="shared" ca="1" si="5"/>
        <v>-0.19139478519622763</v>
      </c>
    </row>
    <row r="129" spans="1:29" ht="14.25" customHeight="1">
      <c r="A129" s="14"/>
      <c r="B129" s="21">
        <v>7</v>
      </c>
      <c r="C129" s="13" t="s">
        <v>113</v>
      </c>
      <c r="D129" s="33">
        <f t="shared" ref="D129:I129" ca="1" si="11">IF(AND(ISNUMBER($B129),ISNUMBER(D$5)),IF(D72=0,0,((D72/D$120)*(LN(D72/D$120)))),"")</f>
        <v>-0.10699320388726924</v>
      </c>
      <c r="E129" s="33">
        <f t="shared" ca="1" si="11"/>
        <v>-0.12981200778375687</v>
      </c>
      <c r="F129" s="33">
        <f t="shared" ca="1" si="11"/>
        <v>-0.11370908851846408</v>
      </c>
      <c r="G129" s="33">
        <f t="shared" ca="1" si="11"/>
        <v>-0.13351196919377364</v>
      </c>
      <c r="H129" s="33">
        <f t="shared" ca="1" si="11"/>
        <v>-0.18688433901415988</v>
      </c>
      <c r="I129" s="33">
        <f t="shared" ca="1" si="11"/>
        <v>-0.10399047318671187</v>
      </c>
      <c r="K129" s="14"/>
      <c r="L129" s="21">
        <v>7</v>
      </c>
      <c r="M129" s="13" t="s">
        <v>113</v>
      </c>
      <c r="N129" s="33">
        <f t="shared" ca="1" si="4"/>
        <v>-9.3937478105888345E-2</v>
      </c>
      <c r="O129" s="33">
        <f t="shared" ca="1" si="4"/>
        <v>-0.12740952917806489</v>
      </c>
      <c r="P129" s="33">
        <f t="shared" ca="1" si="4"/>
        <v>-0.11963017653985442</v>
      </c>
      <c r="Q129" s="33">
        <f t="shared" ca="1" si="4"/>
        <v>-0.1375491156161831</v>
      </c>
      <c r="R129" s="33">
        <f t="shared" ca="1" si="4"/>
        <v>-0.19944289977198887</v>
      </c>
      <c r="S129" s="33">
        <f t="shared" ca="1" si="4"/>
        <v>-0.10915754589252223</v>
      </c>
      <c r="U129" s="14"/>
      <c r="V129" s="21">
        <v>7</v>
      </c>
      <c r="W129" s="13" t="s">
        <v>113</v>
      </c>
      <c r="X129" s="33">
        <f t="shared" ca="1" si="5"/>
        <v>-0.10080393423920801</v>
      </c>
      <c r="Y129" s="33">
        <f t="shared" ca="1" si="5"/>
        <v>-0.12858041275840651</v>
      </c>
      <c r="Z129" s="33">
        <f t="shared" ca="1" si="5"/>
        <v>-0.11643650749180773</v>
      </c>
      <c r="AA129" s="33">
        <f t="shared" ca="1" si="5"/>
        <v>-0.13560792215824555</v>
      </c>
      <c r="AB129" s="33">
        <f t="shared" ca="1" si="5"/>
        <v>-0.19330140454536213</v>
      </c>
      <c r="AC129" s="33">
        <f t="shared" ca="1" si="5"/>
        <v>-0.1065538501064117</v>
      </c>
    </row>
    <row r="130" spans="1:29" ht="14.25" customHeight="1">
      <c r="A130" s="14"/>
      <c r="B130" s="21">
        <v>8</v>
      </c>
      <c r="C130" s="13" t="s">
        <v>114</v>
      </c>
      <c r="D130" s="33">
        <f t="shared" ref="D130:I130" ca="1" si="12">IF(AND(ISNUMBER($B130),ISNUMBER(D$5)),IF(D73=0,0,((D73/D$120)*(LN(D73/D$120)))),"")</f>
        <v>-9.3118202037148184E-2</v>
      </c>
      <c r="E130" s="33">
        <f t="shared" ca="1" si="12"/>
        <v>-7.8934483563198918E-2</v>
      </c>
      <c r="F130" s="33">
        <f t="shared" ca="1" si="12"/>
        <v>-0.1131160288053279</v>
      </c>
      <c r="G130" s="33">
        <f t="shared" ca="1" si="12"/>
        <v>-0.1018054247413431</v>
      </c>
      <c r="H130" s="33">
        <f t="shared" ca="1" si="12"/>
        <v>-0.13562468026766178</v>
      </c>
      <c r="I130" s="33">
        <f t="shared" ca="1" si="12"/>
        <v>-0.14007690963875369</v>
      </c>
      <c r="K130" s="14"/>
      <c r="L130" s="21">
        <v>8</v>
      </c>
      <c r="M130" s="13" t="s">
        <v>114</v>
      </c>
      <c r="N130" s="33">
        <f t="shared" ca="1" si="4"/>
        <v>-0.11592168650689827</v>
      </c>
      <c r="O130" s="33">
        <f t="shared" ca="1" si="4"/>
        <v>-9.7929442584688386E-2</v>
      </c>
      <c r="P130" s="33">
        <f t="shared" ca="1" si="4"/>
        <v>-0.13473771302520768</v>
      </c>
      <c r="Q130" s="33">
        <f t="shared" ca="1" si="4"/>
        <v>-9.7037397723075028E-2</v>
      </c>
      <c r="R130" s="33">
        <f t="shared" ca="1" si="4"/>
        <v>-0.13462346222747953</v>
      </c>
      <c r="S130" s="33">
        <f t="shared" ca="1" si="4"/>
        <v>-0.13953972131741504</v>
      </c>
      <c r="U130" s="14"/>
      <c r="V130" s="21">
        <v>8</v>
      </c>
      <c r="W130" s="13" t="s">
        <v>114</v>
      </c>
      <c r="X130" s="33">
        <f t="shared" ca="1" si="5"/>
        <v>-0.10447387258998439</v>
      </c>
      <c r="Y130" s="33">
        <f t="shared" ca="1" si="5"/>
        <v>-8.895367380711823E-2</v>
      </c>
      <c r="Z130" s="33">
        <f t="shared" ca="1" si="5"/>
        <v>-0.12329074300801521</v>
      </c>
      <c r="AA130" s="33">
        <f t="shared" ca="1" si="5"/>
        <v>-9.935747032961896E-2</v>
      </c>
      <c r="AB130" s="33">
        <f t="shared" ca="1" si="5"/>
        <v>-0.13512198586451976</v>
      </c>
      <c r="AC130" s="33">
        <f t="shared" ca="1" si="5"/>
        <v>-0.13981242686150608</v>
      </c>
    </row>
    <row r="131" spans="1:29" ht="14.25" customHeight="1">
      <c r="A131" s="14"/>
      <c r="B131" s="21">
        <v>9</v>
      </c>
      <c r="C131" s="13" t="s">
        <v>115</v>
      </c>
      <c r="D131" s="33">
        <f t="shared" ref="D131:I131" ca="1" si="13">IF(AND(ISNUMBER($B131),ISNUMBER(D$5)),IF(D74=0,0,((D74/D$120)*(LN(D74/D$120)))),"")</f>
        <v>-0.12449543792946798</v>
      </c>
      <c r="E131" s="33">
        <f t="shared" ca="1" si="13"/>
        <v>-0.1220680320742344</v>
      </c>
      <c r="F131" s="33">
        <f t="shared" ca="1" si="13"/>
        <v>-0.12961919801704644</v>
      </c>
      <c r="G131" s="33">
        <f t="shared" ca="1" si="13"/>
        <v>-0.11443532240431729</v>
      </c>
      <c r="H131" s="33">
        <f t="shared" ca="1" si="13"/>
        <v>-0.13839066654761831</v>
      </c>
      <c r="I131" s="33">
        <f t="shared" ca="1" si="13"/>
        <v>-0.16741212607279327</v>
      </c>
      <c r="K131" s="14"/>
      <c r="L131" s="21">
        <v>9</v>
      </c>
      <c r="M131" s="13" t="s">
        <v>115</v>
      </c>
      <c r="N131" s="33">
        <f t="shared" ca="1" si="4"/>
        <v>-0.11388563902125026</v>
      </c>
      <c r="O131" s="33">
        <f t="shared" ca="1" si="4"/>
        <v>-0.12000825249862007</v>
      </c>
      <c r="P131" s="33">
        <f t="shared" ca="1" si="4"/>
        <v>-0.10692998316130041</v>
      </c>
      <c r="Q131" s="33">
        <f t="shared" ca="1" si="4"/>
        <v>-0.11969209478436188</v>
      </c>
      <c r="R131" s="33">
        <f t="shared" ca="1" si="4"/>
        <v>-0.13490019339635351</v>
      </c>
      <c r="S131" s="33">
        <f t="shared" ca="1" si="4"/>
        <v>-0.16933701346468816</v>
      </c>
      <c r="U131" s="14"/>
      <c r="V131" s="21">
        <v>9</v>
      </c>
      <c r="W131" s="13" t="s">
        <v>115</v>
      </c>
      <c r="X131" s="33">
        <f t="shared" ca="1" si="5"/>
        <v>-0.11944505907375534</v>
      </c>
      <c r="Y131" s="33">
        <f t="shared" ca="1" si="5"/>
        <v>-0.12101169637504806</v>
      </c>
      <c r="Z131" s="33">
        <f t="shared" ca="1" si="5"/>
        <v>-0.11958204394110526</v>
      </c>
      <c r="AA131" s="33">
        <f t="shared" ca="1" si="5"/>
        <v>-0.11716891299309821</v>
      </c>
      <c r="AB131" s="33">
        <f t="shared" ca="1" si="5"/>
        <v>-0.13664363402300078</v>
      </c>
      <c r="AC131" s="33">
        <f t="shared" ca="1" si="5"/>
        <v>-0.16836283400491228</v>
      </c>
    </row>
    <row r="132" spans="1:29" ht="14.25" customHeight="1">
      <c r="A132" s="14"/>
      <c r="B132" s="21">
        <v>10</v>
      </c>
      <c r="C132" s="13" t="s">
        <v>116</v>
      </c>
      <c r="D132" s="33">
        <f t="shared" ref="D132:I132" ca="1" si="14">IF(AND(ISNUMBER($B132),ISNUMBER(D$5)),IF(D75=0,0,((D75/D$120)*(LN(D75/D$120)))),"")</f>
        <v>-0.21037797992936838</v>
      </c>
      <c r="E132" s="33">
        <f t="shared" ca="1" si="14"/>
        <v>-0.14976641702242258</v>
      </c>
      <c r="F132" s="33">
        <f t="shared" ca="1" si="14"/>
        <v>-0.17459609590436295</v>
      </c>
      <c r="G132" s="33">
        <f t="shared" ca="1" si="14"/>
        <v>-0.20305507065312303</v>
      </c>
      <c r="H132" s="33">
        <f t="shared" ca="1" si="14"/>
        <v>-0.11785637355331664</v>
      </c>
      <c r="I132" s="33">
        <f t="shared" ca="1" si="14"/>
        <v>-0.15057960473601306</v>
      </c>
      <c r="K132" s="14"/>
      <c r="L132" s="21">
        <v>10</v>
      </c>
      <c r="M132" s="13" t="s">
        <v>116</v>
      </c>
      <c r="N132" s="33">
        <f t="shared" ca="1" si="4"/>
        <v>-0.21904634308183688</v>
      </c>
      <c r="O132" s="33">
        <f t="shared" ca="1" si="4"/>
        <v>-0.1600331915693014</v>
      </c>
      <c r="P132" s="33">
        <f t="shared" ca="1" si="4"/>
        <v>-0.15657221188662448</v>
      </c>
      <c r="Q132" s="33">
        <f t="shared" ca="1" si="4"/>
        <v>-0.19500723418892391</v>
      </c>
      <c r="R132" s="33">
        <f t="shared" ca="1" si="4"/>
        <v>-0.11696188904982691</v>
      </c>
      <c r="S132" s="33">
        <f t="shared" ca="1" si="4"/>
        <v>-0.1382751142103455</v>
      </c>
      <c r="U132" s="14"/>
      <c r="V132" s="21">
        <v>10</v>
      </c>
      <c r="W132" s="13" t="s">
        <v>116</v>
      </c>
      <c r="X132" s="33">
        <f t="shared" ca="1" si="5"/>
        <v>-0.21461552904095593</v>
      </c>
      <c r="Y132" s="33">
        <f t="shared" ca="1" si="5"/>
        <v>-0.15511130224118844</v>
      </c>
      <c r="Z132" s="33">
        <f t="shared" ca="1" si="5"/>
        <v>-0.16656553248533934</v>
      </c>
      <c r="AA132" s="33">
        <f t="shared" ca="1" si="5"/>
        <v>-0.19894048672503978</v>
      </c>
      <c r="AB132" s="33">
        <f t="shared" ca="1" si="5"/>
        <v>-0.11740721944217675</v>
      </c>
      <c r="AC132" s="33">
        <f t="shared" ca="1" si="5"/>
        <v>-0.14461241301394456</v>
      </c>
    </row>
    <row r="133" spans="1:29" ht="14.25" customHeight="1">
      <c r="A133" s="14"/>
      <c r="B133" s="21">
        <v>11</v>
      </c>
      <c r="C133" s="13" t="s">
        <v>117</v>
      </c>
      <c r="D133" s="33">
        <f t="shared" ref="D133:I133" ca="1" si="15">IF(AND(ISNUMBER($B133),ISNUMBER(D$5)),IF(D76=0,0,((D76/D$120)*(LN(D76/D$120)))),"")</f>
        <v>-0.11617877369608426</v>
      </c>
      <c r="E133" s="33">
        <f t="shared" ca="1" si="15"/>
        <v>-0.1100892575914527</v>
      </c>
      <c r="F133" s="33">
        <f t="shared" ca="1" si="15"/>
        <v>-0.11252113237955884</v>
      </c>
      <c r="G133" s="33">
        <f t="shared" ca="1" si="15"/>
        <v>-0.10695872887555662</v>
      </c>
      <c r="H133" s="33">
        <f t="shared" ca="1" si="15"/>
        <v>-0.12504030601206967</v>
      </c>
      <c r="I133" s="33">
        <f t="shared" ca="1" si="15"/>
        <v>-0.11585982286708084</v>
      </c>
      <c r="K133" s="14"/>
      <c r="L133" s="21">
        <v>11</v>
      </c>
      <c r="M133" s="13" t="s">
        <v>117</v>
      </c>
      <c r="N133" s="33">
        <f t="shared" ref="N133:S142" ca="1" si="16">IF(AND(ISNUMBER($L133),ISNUMBER(N$5)),IF(N76=0,0,((N76/N$120)*(LN(N76/N$120)))),"")</f>
        <v>-0.11234434211980805</v>
      </c>
      <c r="O133" s="33">
        <f t="shared" ca="1" si="16"/>
        <v>-0.14222128535926748</v>
      </c>
      <c r="P133" s="33">
        <f t="shared" ca="1" si="16"/>
        <v>-0.10838344615828525</v>
      </c>
      <c r="Q133" s="33">
        <f t="shared" ca="1" si="16"/>
        <v>-0.12582640495573419</v>
      </c>
      <c r="R133" s="33">
        <f t="shared" ca="1" si="16"/>
        <v>-0.13351265328834508</v>
      </c>
      <c r="S133" s="33">
        <f t="shared" ca="1" si="16"/>
        <v>-0.10543969210784118</v>
      </c>
      <c r="U133" s="14"/>
      <c r="V133" s="21">
        <v>11</v>
      </c>
      <c r="W133" s="13" t="s">
        <v>117</v>
      </c>
      <c r="X133" s="33">
        <f t="shared" ref="X133:AC142" ca="1" si="17">IF(AND(ISNUMBER($V133),ISNUMBER(X$5)),IF(X76=0,0,((X76/X$120)*(LN(X76/X$120)))),"")</f>
        <v>-0.11433695453788105</v>
      </c>
      <c r="Y133" s="33">
        <f t="shared" ca="1" si="17"/>
        <v>-0.12726579909280722</v>
      </c>
      <c r="Z133" s="33">
        <f t="shared" ca="1" si="17"/>
        <v>-0.11064204180214106</v>
      </c>
      <c r="AA133" s="33">
        <f t="shared" ca="1" si="17"/>
        <v>-0.11693580055504874</v>
      </c>
      <c r="AB133" s="33">
        <f t="shared" ca="1" si="17"/>
        <v>-0.12934500745981142</v>
      </c>
      <c r="AC133" s="33">
        <f t="shared" ca="1" si="17"/>
        <v>-0.11079698713970507</v>
      </c>
    </row>
    <row r="134" spans="1:29" ht="14.25" customHeight="1">
      <c r="A134" s="14"/>
      <c r="B134" s="21">
        <v>12</v>
      </c>
      <c r="C134" s="13" t="s">
        <v>118</v>
      </c>
      <c r="D134" s="33">
        <f t="shared" ref="D134:I134" ca="1" si="18">IF(AND(ISNUMBER($B134),ISNUMBER(D$5)),IF(D77=0,0,((D77/D$120)*(LN(D77/D$120)))),"")</f>
        <v>-0.16960607910662331</v>
      </c>
      <c r="E134" s="33">
        <f t="shared" ca="1" si="18"/>
        <v>-0.15961742543888538</v>
      </c>
      <c r="F134" s="33">
        <f t="shared" ca="1" si="18"/>
        <v>-0.16109440855807153</v>
      </c>
      <c r="G134" s="33">
        <f t="shared" ca="1" si="18"/>
        <v>-0.20490972506603081</v>
      </c>
      <c r="H134" s="33">
        <f t="shared" ca="1" si="18"/>
        <v>-0.17331559125972401</v>
      </c>
      <c r="I134" s="33">
        <f t="shared" ca="1" si="18"/>
        <v>-0.15926653485576808</v>
      </c>
      <c r="K134" s="14"/>
      <c r="L134" s="21">
        <v>12</v>
      </c>
      <c r="M134" s="13" t="s">
        <v>118</v>
      </c>
      <c r="N134" s="33">
        <f t="shared" ca="1" si="16"/>
        <v>-0.17722396084848374</v>
      </c>
      <c r="O134" s="33">
        <f t="shared" ca="1" si="16"/>
        <v>-0.17267140932376704</v>
      </c>
      <c r="P134" s="33">
        <f t="shared" ca="1" si="16"/>
        <v>-0.17130812002005166</v>
      </c>
      <c r="Q134" s="33">
        <f t="shared" ca="1" si="16"/>
        <v>-0.21701418725428792</v>
      </c>
      <c r="R134" s="33">
        <f t="shared" ca="1" si="16"/>
        <v>-0.1721153335892745</v>
      </c>
      <c r="S134" s="33">
        <f t="shared" ca="1" si="16"/>
        <v>-0.16346387469553134</v>
      </c>
      <c r="U134" s="14"/>
      <c r="V134" s="21">
        <v>12</v>
      </c>
      <c r="W134" s="13" t="s">
        <v>118</v>
      </c>
      <c r="X134" s="33">
        <f t="shared" ca="1" si="17"/>
        <v>-0.17332108084850056</v>
      </c>
      <c r="Y134" s="33">
        <f t="shared" ca="1" si="17"/>
        <v>-0.16643681261190285</v>
      </c>
      <c r="Z134" s="33">
        <f t="shared" ca="1" si="17"/>
        <v>-0.16582584040142781</v>
      </c>
      <c r="AA134" s="33">
        <f t="shared" ca="1" si="17"/>
        <v>-0.21126383459711404</v>
      </c>
      <c r="AB134" s="33">
        <f t="shared" ca="1" si="17"/>
        <v>-0.17271312059722913</v>
      </c>
      <c r="AC134" s="33">
        <f t="shared" ca="1" si="17"/>
        <v>-0.16134559499094039</v>
      </c>
    </row>
    <row r="135" spans="1:29" ht="14.25" customHeight="1">
      <c r="A135" s="14"/>
      <c r="B135" s="21">
        <v>13</v>
      </c>
      <c r="C135" s="13" t="s">
        <v>119</v>
      </c>
      <c r="D135" s="33">
        <f t="shared" ref="D135:I135" ca="1" si="19">IF(AND(ISNUMBER($B135),ISNUMBER(D$5)),IF(D78=0,0,((D78/D$120)*(LN(D78/D$120)))),"")</f>
        <v>-0.11475733784884323</v>
      </c>
      <c r="E135" s="33">
        <f t="shared" ca="1" si="19"/>
        <v>-0.20654887720105902</v>
      </c>
      <c r="F135" s="33">
        <f t="shared" ca="1" si="19"/>
        <v>-0.18681926228980128</v>
      </c>
      <c r="G135" s="33">
        <f t="shared" ca="1" si="19"/>
        <v>-0.12720458647906396</v>
      </c>
      <c r="H135" s="33">
        <f t="shared" ca="1" si="19"/>
        <v>-0.15269633757926604</v>
      </c>
      <c r="I135" s="33">
        <f t="shared" ca="1" si="19"/>
        <v>-0.14068643790084964</v>
      </c>
      <c r="K135" s="14"/>
      <c r="L135" s="21">
        <v>13</v>
      </c>
      <c r="M135" s="13" t="s">
        <v>119</v>
      </c>
      <c r="N135" s="33">
        <f t="shared" ca="1" si="16"/>
        <v>-7.3443744437735867E-2</v>
      </c>
      <c r="O135" s="33">
        <f t="shared" ca="1" si="16"/>
        <v>-0.19330197749696065</v>
      </c>
      <c r="P135" s="33">
        <f t="shared" ca="1" si="16"/>
        <v>-0.19643549737581092</v>
      </c>
      <c r="Q135" s="33">
        <f t="shared" ca="1" si="16"/>
        <v>-0.13177472100304533</v>
      </c>
      <c r="R135" s="33">
        <f t="shared" ca="1" si="16"/>
        <v>-0.15286736025341455</v>
      </c>
      <c r="S135" s="33">
        <f t="shared" ca="1" si="16"/>
        <v>-0.1265148000062595</v>
      </c>
      <c r="U135" s="14"/>
      <c r="V135" s="21">
        <v>13</v>
      </c>
      <c r="W135" s="13" t="s">
        <v>119</v>
      </c>
      <c r="X135" s="33">
        <f t="shared" ca="1" si="17"/>
        <v>-9.5976410127240244E-2</v>
      </c>
      <c r="Y135" s="33">
        <f t="shared" ca="1" si="17"/>
        <v>-0.1998550047274128</v>
      </c>
      <c r="Z135" s="33">
        <f t="shared" ca="1" si="17"/>
        <v>-0.19127244170875479</v>
      </c>
      <c r="AA135" s="33">
        <f t="shared" ca="1" si="17"/>
        <v>-0.12957885452905782</v>
      </c>
      <c r="AB135" s="33">
        <f t="shared" ca="1" si="17"/>
        <v>-0.15278233153474532</v>
      </c>
      <c r="AC135" s="33">
        <f t="shared" ca="1" si="17"/>
        <v>-0.13383109047061295</v>
      </c>
    </row>
    <row r="136" spans="1:29" ht="14.25" customHeight="1">
      <c r="A136" s="14"/>
      <c r="B136" s="21">
        <v>14</v>
      </c>
      <c r="C136" s="13" t="s">
        <v>120</v>
      </c>
      <c r="D136" s="33">
        <f t="shared" ref="D136:I136" ca="1" si="20">IF(AND(ISNUMBER($B136),ISNUMBER(D$5)),IF(D79=0,0,((D79/D$120)*(LN(D79/D$120)))),"")</f>
        <v>-0.10748783733360459</v>
      </c>
      <c r="E136" s="33">
        <f t="shared" ca="1" si="20"/>
        <v>-0.1389764076360023</v>
      </c>
      <c r="F136" s="33">
        <f t="shared" ca="1" si="20"/>
        <v>-9.6359286453916823E-2</v>
      </c>
      <c r="G136" s="33">
        <f t="shared" ca="1" si="20"/>
        <v>-9.7042634310567213E-2</v>
      </c>
      <c r="H136" s="33">
        <f t="shared" ca="1" si="20"/>
        <v>-0.12415663452883233</v>
      </c>
      <c r="I136" s="33">
        <f t="shared" ca="1" si="20"/>
        <v>-0.12286732703753606</v>
      </c>
      <c r="K136" s="14"/>
      <c r="L136" s="21">
        <v>14</v>
      </c>
      <c r="M136" s="13" t="s">
        <v>120</v>
      </c>
      <c r="N136" s="33">
        <f t="shared" ca="1" si="16"/>
        <v>-8.8741255090497573E-2</v>
      </c>
      <c r="O136" s="33">
        <f t="shared" ca="1" si="16"/>
        <v>-0.15784615558275097</v>
      </c>
      <c r="P136" s="33">
        <f t="shared" ca="1" si="16"/>
        <v>-0.14096204640291687</v>
      </c>
      <c r="Q136" s="33">
        <f t="shared" ca="1" si="16"/>
        <v>-9.1951402371987373E-2</v>
      </c>
      <c r="R136" s="33">
        <f t="shared" ca="1" si="16"/>
        <v>-0.12929062284224013</v>
      </c>
      <c r="S136" s="33">
        <f t="shared" ca="1" si="16"/>
        <v>-0.12128425321911351</v>
      </c>
      <c r="U136" s="14"/>
      <c r="V136" s="21">
        <v>14</v>
      </c>
      <c r="W136" s="13" t="s">
        <v>120</v>
      </c>
      <c r="X136" s="33">
        <f t="shared" ca="1" si="17"/>
        <v>-9.8673923817094999E-2</v>
      </c>
      <c r="Y136" s="33">
        <f t="shared" ca="1" si="17"/>
        <v>-0.14890158263220291</v>
      </c>
      <c r="Z136" s="33">
        <f t="shared" ca="1" si="17"/>
        <v>-0.11801565362730404</v>
      </c>
      <c r="AA136" s="33">
        <f t="shared" ca="1" si="17"/>
        <v>-9.4430145517129513E-2</v>
      </c>
      <c r="AB136" s="33">
        <f t="shared" ca="1" si="17"/>
        <v>-0.12675433360881924</v>
      </c>
      <c r="AC136" s="33">
        <f t="shared" ca="1" si="17"/>
        <v>-0.12208897557735662</v>
      </c>
    </row>
    <row r="137" spans="1:29" ht="14.25" customHeight="1">
      <c r="A137" s="14"/>
      <c r="B137" s="21">
        <v>15</v>
      </c>
      <c r="C137" s="13" t="s">
        <v>121</v>
      </c>
      <c r="D137" s="33">
        <f t="shared" ref="D137:I137" ca="1" si="21">IF(AND(ISNUMBER($B137),ISNUMBER(D$5)),IF(D80=0,0,((D80/D$120)*(LN(D80/D$120)))),"")</f>
        <v>-0.16633667557907394</v>
      </c>
      <c r="E137" s="33">
        <f t="shared" ca="1" si="21"/>
        <v>-0.16229043414891789</v>
      </c>
      <c r="F137" s="33">
        <f t="shared" ca="1" si="21"/>
        <v>-0.13868568717677449</v>
      </c>
      <c r="G137" s="33">
        <f t="shared" ca="1" si="21"/>
        <v>-0.17462031440367523</v>
      </c>
      <c r="H137" s="33">
        <f t="shared" ca="1" si="21"/>
        <v>-0.13394637078687857</v>
      </c>
      <c r="I137" s="33">
        <f t="shared" ca="1" si="21"/>
        <v>-0.16018829998768397</v>
      </c>
      <c r="K137" s="14"/>
      <c r="L137" s="21">
        <v>15</v>
      </c>
      <c r="M137" s="13" t="s">
        <v>121</v>
      </c>
      <c r="N137" s="33">
        <f t="shared" ca="1" si="16"/>
        <v>-0.1734760830147703</v>
      </c>
      <c r="O137" s="33">
        <f t="shared" ca="1" si="16"/>
        <v>-0.15637464737240916</v>
      </c>
      <c r="P137" s="33">
        <f t="shared" ca="1" si="16"/>
        <v>-0.13122911790980185</v>
      </c>
      <c r="Q137" s="33">
        <f t="shared" ca="1" si="16"/>
        <v>-0.16696918037437064</v>
      </c>
      <c r="R137" s="33">
        <f t="shared" ca="1" si="16"/>
        <v>-0.13462346222747953</v>
      </c>
      <c r="S137" s="33">
        <f t="shared" ca="1" si="16"/>
        <v>-0.15470424005620123</v>
      </c>
      <c r="U137" s="14"/>
      <c r="V137" s="21">
        <v>15</v>
      </c>
      <c r="W137" s="13" t="s">
        <v>121</v>
      </c>
      <c r="X137" s="33">
        <f t="shared" ca="1" si="17"/>
        <v>-0.16981604386135027</v>
      </c>
      <c r="Y137" s="33">
        <f t="shared" ca="1" si="17"/>
        <v>-0.1592707864185843</v>
      </c>
      <c r="Z137" s="33">
        <f t="shared" ca="1" si="17"/>
        <v>-0.13531411298435103</v>
      </c>
      <c r="AA137" s="33">
        <f t="shared" ca="1" si="17"/>
        <v>-0.17070469045329206</v>
      </c>
      <c r="AB137" s="33">
        <f t="shared" ca="1" si="17"/>
        <v>-0.13428704397815314</v>
      </c>
      <c r="AC137" s="33">
        <f t="shared" ca="1" si="17"/>
        <v>-0.15750529091226034</v>
      </c>
    </row>
    <row r="138" spans="1:29" ht="14.25" customHeight="1">
      <c r="A138" s="14"/>
      <c r="B138" s="21">
        <v>16</v>
      </c>
      <c r="C138" s="13" t="s">
        <v>122</v>
      </c>
      <c r="D138" s="33">
        <f t="shared" ref="D138:I138" ca="1" si="22">IF(AND(ISNUMBER($B138),ISNUMBER(D$5)),IF(D81=0,0,((D81/D$120)*(LN(D81/D$120)))),"")</f>
        <v>-0.11475733784884323</v>
      </c>
      <c r="E138" s="33">
        <f t="shared" ca="1" si="22"/>
        <v>-0.15097460539281035</v>
      </c>
      <c r="F138" s="33">
        <f t="shared" ca="1" si="22"/>
        <v>-0.11838903056389681</v>
      </c>
      <c r="G138" s="33">
        <f t="shared" ca="1" si="22"/>
        <v>-0.14845440308447921</v>
      </c>
      <c r="H138" s="33">
        <f t="shared" ca="1" si="22"/>
        <v>-0.171696474266511</v>
      </c>
      <c r="I138" s="33">
        <f t="shared" ca="1" si="22"/>
        <v>-0.13823702335388718</v>
      </c>
      <c r="K138" s="14"/>
      <c r="L138" s="21">
        <v>16</v>
      </c>
      <c r="M138" s="13" t="s">
        <v>122</v>
      </c>
      <c r="N138" s="33">
        <f t="shared" ca="1" si="16"/>
        <v>-0.1209200131072531</v>
      </c>
      <c r="O138" s="33">
        <f t="shared" ca="1" si="16"/>
        <v>-0.16111774475436907</v>
      </c>
      <c r="P138" s="33">
        <f t="shared" ca="1" si="16"/>
        <v>-9.9109562863675615E-2</v>
      </c>
      <c r="Q138" s="33">
        <f t="shared" ca="1" si="16"/>
        <v>-0.15242569311953999</v>
      </c>
      <c r="R138" s="33">
        <f t="shared" ca="1" si="16"/>
        <v>-0.16677049131081131</v>
      </c>
      <c r="S138" s="33">
        <f t="shared" ca="1" si="16"/>
        <v>-0.13911907972038454</v>
      </c>
      <c r="U138" s="14"/>
      <c r="V138" s="21">
        <v>16</v>
      </c>
      <c r="W138" s="13" t="s">
        <v>122</v>
      </c>
      <c r="X138" s="33">
        <f t="shared" ca="1" si="17"/>
        <v>-0.1177572868078304</v>
      </c>
      <c r="Y138" s="33">
        <f t="shared" ca="1" si="17"/>
        <v>-0.15625436246615573</v>
      </c>
      <c r="Z138" s="33">
        <f t="shared" ca="1" si="17"/>
        <v>-0.10982322515845869</v>
      </c>
      <c r="AA138" s="33">
        <f t="shared" ca="1" si="17"/>
        <v>-0.15051595228323547</v>
      </c>
      <c r="AB138" s="33">
        <f t="shared" ca="1" si="17"/>
        <v>-0.16923549015014058</v>
      </c>
      <c r="AC138" s="33">
        <f t="shared" ca="1" si="17"/>
        <v>-0.13867208842429291</v>
      </c>
    </row>
    <row r="139" spans="1:29" ht="14.25" customHeight="1">
      <c r="A139" s="14"/>
      <c r="B139" s="21">
        <v>17</v>
      </c>
      <c r="C139" s="13" t="s">
        <v>123</v>
      </c>
      <c r="D139" s="33">
        <f t="shared" ref="D139:I139" ca="1" si="23">IF(AND(ISNUMBER($B139),ISNUMBER(D$5)),IF(D82=0,0,((D82/D$120)*(LN(D82/D$120)))),"")</f>
        <v>-8.6042173558960086E-2</v>
      </c>
      <c r="E139" s="33">
        <f t="shared" ca="1" si="23"/>
        <v>-0.1100892575914527</v>
      </c>
      <c r="F139" s="33">
        <f t="shared" ca="1" si="23"/>
        <v>-0.11896614689808319</v>
      </c>
      <c r="G139" s="33">
        <f t="shared" ca="1" si="23"/>
        <v>-1.5778234941903686E-2</v>
      </c>
      <c r="H139" s="33">
        <f t="shared" ca="1" si="23"/>
        <v>-0.11447280447064535</v>
      </c>
      <c r="I139" s="33">
        <f t="shared" ca="1" si="23"/>
        <v>-8.8141937810910329E-2</v>
      </c>
      <c r="K139" s="14"/>
      <c r="L139" s="21">
        <v>17</v>
      </c>
      <c r="M139" s="13" t="s">
        <v>123</v>
      </c>
      <c r="N139" s="33">
        <f t="shared" ca="1" si="16"/>
        <v>-9.0490056243367603E-2</v>
      </c>
      <c r="O139" s="33">
        <f t="shared" ca="1" si="16"/>
        <v>-8.5021373824569493E-2</v>
      </c>
      <c r="P139" s="33">
        <f t="shared" ca="1" si="16"/>
        <v>-0.12401888204212486</v>
      </c>
      <c r="Q139" s="33">
        <f t="shared" ca="1" si="16"/>
        <v>-1.4928449221861175E-2</v>
      </c>
      <c r="R139" s="33">
        <f t="shared" ca="1" si="16"/>
        <v>-0.1005176433392804</v>
      </c>
      <c r="S139" s="33">
        <f t="shared" ca="1" si="16"/>
        <v>-8.8411120949946395E-2</v>
      </c>
      <c r="U139" s="14"/>
      <c r="V139" s="21">
        <v>17</v>
      </c>
      <c r="W139" s="13" t="s">
        <v>123</v>
      </c>
      <c r="X139" s="33">
        <f t="shared" ca="1" si="17"/>
        <v>-8.8203601219715475E-2</v>
      </c>
      <c r="Y139" s="33">
        <f t="shared" ca="1" si="17"/>
        <v>-9.7627065646844577E-2</v>
      </c>
      <c r="Z139" s="33">
        <f t="shared" ca="1" si="17"/>
        <v>-0.12129062411395734</v>
      </c>
      <c r="AA139" s="33">
        <f t="shared" ca="1" si="17"/>
        <v>-1.5340638159864403E-2</v>
      </c>
      <c r="AB139" s="33">
        <f t="shared" ca="1" si="17"/>
        <v>-0.10758573494798052</v>
      </c>
      <c r="AC139" s="33">
        <f t="shared" ca="1" si="17"/>
        <v>-8.8274611033811859E-2</v>
      </c>
    </row>
    <row r="140" spans="1:29" ht="14.25" customHeight="1">
      <c r="A140" s="14"/>
      <c r="B140" s="21">
        <v>18</v>
      </c>
      <c r="C140" s="13" t="s">
        <v>124</v>
      </c>
      <c r="D140" s="33">
        <f t="shared" ref="D140:I140" ca="1" si="24">IF(AND(ISNUMBER($B140),ISNUMBER(D$5)),IF(D83=0,0,((D83/D$120)*(LN(D83/D$120)))),"")</f>
        <v>-0.13972303787472873</v>
      </c>
      <c r="E140" s="33">
        <f t="shared" ca="1" si="24"/>
        <v>-0.1100892575914527</v>
      </c>
      <c r="F140" s="33">
        <f t="shared" ca="1" si="24"/>
        <v>-0.17328679513998632</v>
      </c>
      <c r="G140" s="33">
        <f t="shared" ca="1" si="24"/>
        <v>-9.5427322512043E-2</v>
      </c>
      <c r="H140" s="33">
        <f t="shared" ca="1" si="24"/>
        <v>-0.15799334705629114</v>
      </c>
      <c r="I140" s="33">
        <f t="shared" ca="1" si="24"/>
        <v>-0.11905582750212401</v>
      </c>
      <c r="K140" s="14"/>
      <c r="L140" s="21">
        <v>18</v>
      </c>
      <c r="M140" s="13" t="s">
        <v>124</v>
      </c>
      <c r="N140" s="33">
        <f t="shared" ca="1" si="16"/>
        <v>-0.14591120128400345</v>
      </c>
      <c r="O140" s="33">
        <f t="shared" ca="1" si="16"/>
        <v>-0.10573763388477031</v>
      </c>
      <c r="P140" s="33">
        <f t="shared" ca="1" si="16"/>
        <v>-0.17417964690733931</v>
      </c>
      <c r="Q140" s="33">
        <f t="shared" ca="1" si="16"/>
        <v>-9.0916871881792705E-2</v>
      </c>
      <c r="R140" s="33">
        <f t="shared" ca="1" si="16"/>
        <v>-0.15686921806972789</v>
      </c>
      <c r="S140" s="33">
        <f t="shared" ca="1" si="16"/>
        <v>-0.11519730430810046</v>
      </c>
      <c r="U140" s="14"/>
      <c r="V140" s="21">
        <v>18</v>
      </c>
      <c r="W140" s="13" t="s">
        <v>124</v>
      </c>
      <c r="X140" s="33">
        <f t="shared" ca="1" si="17"/>
        <v>-0.14273486574439886</v>
      </c>
      <c r="Y140" s="33">
        <f t="shared" ca="1" si="17"/>
        <v>-0.10786429371130768</v>
      </c>
      <c r="Z140" s="33">
        <f t="shared" ca="1" si="17"/>
        <v>-0.1736951775129123</v>
      </c>
      <c r="AA140" s="33">
        <f t="shared" ca="1" si="17"/>
        <v>-9.3111124895241107E-2</v>
      </c>
      <c r="AB140" s="33">
        <f t="shared" ca="1" si="17"/>
        <v>-0.15742902546463483</v>
      </c>
      <c r="AC140" s="33">
        <f t="shared" ca="1" si="17"/>
        <v>-0.11716440246939526</v>
      </c>
    </row>
    <row r="141" spans="1:29" ht="14.25" customHeight="1">
      <c r="A141" s="14"/>
      <c r="B141" s="21">
        <v>19</v>
      </c>
      <c r="C141" s="13" t="s">
        <v>125</v>
      </c>
      <c r="D141" s="33">
        <f t="shared" ref="D141:I141" ca="1" si="25">IF(AND(ISNUMBER($B141),ISNUMBER(D$5)),IF(D84=0,0,((D84/D$120)*(LN(D84/D$120)))),"")</f>
        <v>-7.6336055727055985E-2</v>
      </c>
      <c r="E141" s="33">
        <f t="shared" ca="1" si="25"/>
        <v>-6.8645626415114278E-2</v>
      </c>
      <c r="F141" s="33">
        <f t="shared" ca="1" si="25"/>
        <v>-0.10616023820112915</v>
      </c>
      <c r="G141" s="33">
        <f t="shared" ca="1" si="25"/>
        <v>-9.8643880951173019E-2</v>
      </c>
      <c r="H141" s="33">
        <f t="shared" ca="1" si="25"/>
        <v>-0.10816398731386272</v>
      </c>
      <c r="I141" s="33">
        <f t="shared" ca="1" si="25"/>
        <v>-0.10786976841522047</v>
      </c>
      <c r="K141" s="14"/>
      <c r="L141" s="21">
        <v>19</v>
      </c>
      <c r="M141" s="13" t="s">
        <v>125</v>
      </c>
      <c r="N141" s="33">
        <f t="shared" ca="1" si="16"/>
        <v>-9.8989334830545408E-2</v>
      </c>
      <c r="O141" s="33">
        <f t="shared" ca="1" si="16"/>
        <v>-3.8749443501243083E-2</v>
      </c>
      <c r="P141" s="33">
        <f t="shared" ca="1" si="16"/>
        <v>-9.6041689679350284E-2</v>
      </c>
      <c r="Q141" s="33">
        <f t="shared" ca="1" si="16"/>
        <v>-9.400287187963835E-2</v>
      </c>
      <c r="R141" s="33">
        <f t="shared" ca="1" si="16"/>
        <v>-0.10891747165362388</v>
      </c>
      <c r="S141" s="33">
        <f t="shared" ca="1" si="16"/>
        <v>-9.8556500290094412E-2</v>
      </c>
      <c r="U141" s="14"/>
      <c r="V141" s="21">
        <v>19</v>
      </c>
      <c r="W141" s="13" t="s">
        <v>125</v>
      </c>
      <c r="X141" s="33">
        <f t="shared" ca="1" si="17"/>
        <v>-8.7635312254182682E-2</v>
      </c>
      <c r="Y141" s="33">
        <f t="shared" ca="1" si="17"/>
        <v>-5.4066909436336082E-2</v>
      </c>
      <c r="Z141" s="33">
        <f t="shared" ca="1" si="17"/>
        <v>-0.10160586334069327</v>
      </c>
      <c r="AA141" s="33">
        <f t="shared" ca="1" si="17"/>
        <v>-9.6260890385057113E-2</v>
      </c>
      <c r="AB141" s="33">
        <f t="shared" ca="1" si="17"/>
        <v>-0.10854314816936801</v>
      </c>
      <c r="AC141" s="33">
        <f t="shared" ca="1" si="17"/>
        <v>-0.10333907406876464</v>
      </c>
    </row>
    <row r="142" spans="1:29" ht="14.25" customHeight="1">
      <c r="A142" s="14"/>
      <c r="B142" s="21">
        <v>20</v>
      </c>
      <c r="C142" s="13" t="s">
        <v>126</v>
      </c>
      <c r="D142" s="33">
        <f t="shared" ref="D142:I142" ca="1" si="26">IF(AND(ISNUMBER($B142),ISNUMBER(D$5)),IF(D85=0,0,((D85/D$120)*(LN(D85/D$120)))),"")</f>
        <v>-0.15071998466379491</v>
      </c>
      <c r="E142" s="33">
        <f t="shared" ca="1" si="26"/>
        <v>-0.13159065312696069</v>
      </c>
      <c r="F142" s="33">
        <f t="shared" ca="1" si="26"/>
        <v>-0.16952903398018915</v>
      </c>
      <c r="G142" s="33">
        <f t="shared" ca="1" si="26"/>
        <v>-9.7042634310567213E-2</v>
      </c>
      <c r="H142" s="33">
        <f t="shared" ca="1" si="26"/>
        <v>-0.12415663452883233</v>
      </c>
      <c r="I142" s="33">
        <f t="shared" ca="1" si="26"/>
        <v>-0.15834047293174006</v>
      </c>
      <c r="K142" s="14"/>
      <c r="L142" s="21">
        <v>20</v>
      </c>
      <c r="M142" s="13" t="s">
        <v>126</v>
      </c>
      <c r="N142" s="33">
        <f t="shared" ca="1" si="16"/>
        <v>-0.14328503917560831</v>
      </c>
      <c r="O142" s="33">
        <f t="shared" ca="1" si="16"/>
        <v>-0.12655316301972816</v>
      </c>
      <c r="P142" s="33">
        <f t="shared" ca="1" si="16"/>
        <v>-0.17157090807901121</v>
      </c>
      <c r="Q142" s="33">
        <f t="shared" ca="1" si="16"/>
        <v>-9.1951402371987373E-2</v>
      </c>
      <c r="R142" s="33">
        <f t="shared" ca="1" si="16"/>
        <v>-0.13600326869766555</v>
      </c>
      <c r="S142" s="33">
        <f t="shared" ca="1" si="16"/>
        <v>-0.16457845255177248</v>
      </c>
      <c r="U142" s="14"/>
      <c r="V142" s="21">
        <v>20</v>
      </c>
      <c r="W142" s="13" t="s">
        <v>126</v>
      </c>
      <c r="X142" s="33">
        <f t="shared" ca="1" si="17"/>
        <v>-0.14716487020779212</v>
      </c>
      <c r="Y142" s="33">
        <f t="shared" ca="1" si="17"/>
        <v>-0.12901667338962486</v>
      </c>
      <c r="Z142" s="33">
        <f t="shared" ca="1" si="17"/>
        <v>-0.17046444319220916</v>
      </c>
      <c r="AA142" s="33">
        <f t="shared" ca="1" si="17"/>
        <v>-9.4430145517129513E-2</v>
      </c>
      <c r="AB142" s="33">
        <f t="shared" ca="1" si="17"/>
        <v>-0.13020104701812096</v>
      </c>
      <c r="AC142" s="33">
        <f t="shared" ca="1" si="17"/>
        <v>-0.16143833937695443</v>
      </c>
    </row>
    <row r="143" spans="1:29" ht="14.25" customHeight="1">
      <c r="A143" s="14"/>
      <c r="B143" s="21">
        <v>21</v>
      </c>
      <c r="C143" s="13" t="s">
        <v>127</v>
      </c>
      <c r="D143" s="33">
        <f t="shared" ref="D143:I143" ca="1" si="27">IF(AND(ISNUMBER($B143),ISNUMBER(D$5)),IF(D86=0,0,((D86/D$120)*(LN(D86/D$120)))),"")</f>
        <v>-7.3372454438406259E-2</v>
      </c>
      <c r="E143" s="33">
        <f t="shared" ca="1" si="27"/>
        <v>-6.8645626415114278E-2</v>
      </c>
      <c r="F143" s="33">
        <f t="shared" ca="1" si="27"/>
        <v>-0.10646801538539026</v>
      </c>
      <c r="G143" s="33">
        <f t="shared" ca="1" si="27"/>
        <v>-9.1048503296495498E-2</v>
      </c>
      <c r="H143" s="33">
        <f t="shared" ca="1" si="27"/>
        <v>-0.14725451930116795</v>
      </c>
      <c r="I143" s="33">
        <f t="shared" ca="1" si="27"/>
        <v>-9.7510129637064957E-2</v>
      </c>
      <c r="K143" s="14"/>
      <c r="L143" s="21">
        <v>21</v>
      </c>
      <c r="M143" s="13" t="s">
        <v>127</v>
      </c>
      <c r="N143" s="33">
        <f t="shared" ref="N143:S143" ca="1" si="28">IF(AND(ISNUMBER($L143),ISNUMBER(N$5)),IF(N86=0,0,((N86/N$120)*(LN(N86/N$120)))),"")</f>
        <v>-1.0891644183302317E-2</v>
      </c>
      <c r="O143" s="33">
        <f t="shared" ca="1" si="28"/>
        <v>-3.8749443501243083E-2</v>
      </c>
      <c r="P143" s="33">
        <f t="shared" ca="1" si="28"/>
        <v>-9.4097892498590713E-2</v>
      </c>
      <c r="Q143" s="33">
        <f t="shared" ca="1" si="28"/>
        <v>-8.6717927384681232E-2</v>
      </c>
      <c r="R143" s="33">
        <f t="shared" ca="1" si="28"/>
        <v>-0.1461877324864336</v>
      </c>
      <c r="S143" s="33">
        <f t="shared" ca="1" si="28"/>
        <v>-9.1946193396404391E-2</v>
      </c>
      <c r="U143" s="14"/>
      <c r="V143" s="21">
        <v>21</v>
      </c>
      <c r="W143" s="13" t="s">
        <v>127</v>
      </c>
      <c r="X143" s="33">
        <f t="shared" ref="X143:AC143" ca="1" si="29">IF(AND(ISNUMBER($V143),ISNUMBER(X$5)),IF(X86=0,0,((X86/X$120)*(LN(X86/X$120)))),"")</f>
        <v>-4.7188580093928782E-2</v>
      </c>
      <c r="Y143" s="33">
        <f t="shared" ca="1" si="29"/>
        <v>-5.4066909436336082E-2</v>
      </c>
      <c r="Z143" s="33">
        <f t="shared" ca="1" si="29"/>
        <v>-0.10091892009769469</v>
      </c>
      <c r="AA143" s="33">
        <f t="shared" ca="1" si="29"/>
        <v>-8.8824357708526328E-2</v>
      </c>
      <c r="AB143" s="33">
        <f t="shared" ca="1" si="29"/>
        <v>-0.14671894443976469</v>
      </c>
      <c r="AC143" s="33">
        <f t="shared" ca="1" si="29"/>
        <v>-9.4790067917575785E-2</v>
      </c>
    </row>
    <row r="144" spans="1:29" ht="14.25" hidden="1" customHeight="1">
      <c r="A144" s="14"/>
      <c r="B144" s="21"/>
      <c r="C144" s="22"/>
      <c r="D144" s="33"/>
      <c r="E144" s="33"/>
      <c r="F144" s="33"/>
      <c r="G144" s="33"/>
      <c r="H144" s="33"/>
      <c r="I144" s="33"/>
      <c r="K144" s="14"/>
      <c r="L144" s="21"/>
      <c r="M144" s="22"/>
      <c r="N144" s="33"/>
      <c r="O144" s="33"/>
      <c r="P144" s="33"/>
      <c r="Q144" s="33"/>
      <c r="R144" s="33"/>
      <c r="S144" s="33"/>
      <c r="U144" s="14"/>
      <c r="V144" s="21"/>
      <c r="W144" s="22"/>
      <c r="X144" s="33"/>
      <c r="Y144" s="33"/>
      <c r="Z144" s="33"/>
      <c r="AA144" s="33"/>
      <c r="AB144" s="33"/>
      <c r="AC144" s="33"/>
    </row>
    <row r="145" spans="1:29" ht="14.25" hidden="1" customHeight="1">
      <c r="A145" s="14"/>
      <c r="B145" s="21"/>
      <c r="C145" s="22"/>
      <c r="D145" s="33"/>
      <c r="E145" s="33"/>
      <c r="F145" s="33"/>
      <c r="G145" s="33"/>
      <c r="H145" s="33"/>
      <c r="I145" s="33"/>
      <c r="K145" s="14"/>
      <c r="L145" s="21"/>
      <c r="M145" s="22"/>
      <c r="N145" s="33"/>
      <c r="O145" s="33"/>
      <c r="P145" s="33"/>
      <c r="Q145" s="33"/>
      <c r="R145" s="33"/>
      <c r="S145" s="33"/>
      <c r="U145" s="14"/>
      <c r="V145" s="21"/>
      <c r="W145" s="22"/>
      <c r="X145" s="33"/>
      <c r="Y145" s="33"/>
      <c r="Z145" s="33"/>
      <c r="AA145" s="33"/>
      <c r="AB145" s="33"/>
      <c r="AC145" s="33"/>
    </row>
    <row r="146" spans="1:29" ht="14.25" hidden="1" customHeight="1">
      <c r="A146" s="14"/>
      <c r="B146" s="21"/>
      <c r="C146" s="22"/>
      <c r="D146" s="33"/>
      <c r="E146" s="33"/>
      <c r="F146" s="33"/>
      <c r="G146" s="33"/>
      <c r="H146" s="33"/>
      <c r="I146" s="33"/>
      <c r="K146" s="14"/>
      <c r="L146" s="21"/>
      <c r="M146" s="22"/>
      <c r="N146" s="33"/>
      <c r="O146" s="33"/>
      <c r="P146" s="33"/>
      <c r="Q146" s="33"/>
      <c r="R146" s="33"/>
      <c r="S146" s="33"/>
      <c r="U146" s="14"/>
      <c r="V146" s="21"/>
      <c r="W146" s="22"/>
      <c r="X146" s="33"/>
      <c r="Y146" s="33"/>
      <c r="Z146" s="33"/>
      <c r="AA146" s="33"/>
      <c r="AB146" s="33"/>
      <c r="AC146" s="33"/>
    </row>
    <row r="147" spans="1:29" ht="14.25" hidden="1" customHeight="1">
      <c r="A147" s="14"/>
      <c r="B147" s="21"/>
      <c r="C147" s="22"/>
      <c r="D147" s="33"/>
      <c r="E147" s="33"/>
      <c r="F147" s="33"/>
      <c r="G147" s="33"/>
      <c r="H147" s="33"/>
      <c r="I147" s="33"/>
      <c r="K147" s="14"/>
      <c r="L147" s="21"/>
      <c r="M147" s="22"/>
      <c r="N147" s="33"/>
      <c r="O147" s="33"/>
      <c r="P147" s="33"/>
      <c r="Q147" s="33"/>
      <c r="R147" s="33"/>
      <c r="S147" s="33"/>
      <c r="U147" s="14"/>
      <c r="V147" s="21"/>
      <c r="W147" s="22"/>
      <c r="X147" s="33"/>
      <c r="Y147" s="33"/>
      <c r="Z147" s="33"/>
      <c r="AA147" s="33"/>
      <c r="AB147" s="33"/>
      <c r="AC147" s="33"/>
    </row>
    <row r="148" spans="1:29" ht="14.25" hidden="1" customHeight="1">
      <c r="A148" s="14"/>
      <c r="B148" s="21"/>
      <c r="C148" s="22"/>
      <c r="D148" s="33"/>
      <c r="E148" s="33"/>
      <c r="F148" s="33"/>
      <c r="G148" s="33"/>
      <c r="H148" s="33"/>
      <c r="I148" s="33"/>
      <c r="K148" s="14"/>
      <c r="L148" s="21"/>
      <c r="M148" s="22"/>
      <c r="N148" s="33"/>
      <c r="O148" s="33"/>
      <c r="P148" s="33"/>
      <c r="Q148" s="33"/>
      <c r="R148" s="33"/>
      <c r="S148" s="33"/>
      <c r="U148" s="14"/>
      <c r="V148" s="21"/>
      <c r="W148" s="22"/>
      <c r="X148" s="33"/>
      <c r="Y148" s="33"/>
      <c r="Z148" s="33"/>
      <c r="AA148" s="33"/>
      <c r="AB148" s="33"/>
      <c r="AC148" s="33"/>
    </row>
    <row r="149" spans="1:29" ht="14.25" hidden="1" customHeight="1">
      <c r="A149" s="14"/>
      <c r="B149" s="21"/>
      <c r="C149" s="22"/>
      <c r="D149" s="33"/>
      <c r="E149" s="33"/>
      <c r="F149" s="33"/>
      <c r="G149" s="33"/>
      <c r="H149" s="33"/>
      <c r="I149" s="33"/>
      <c r="K149" s="14"/>
      <c r="L149" s="21"/>
      <c r="M149" s="22"/>
      <c r="N149" s="33"/>
      <c r="O149" s="33"/>
      <c r="P149" s="33"/>
      <c r="Q149" s="33"/>
      <c r="R149" s="33"/>
      <c r="S149" s="33"/>
      <c r="U149" s="14"/>
      <c r="V149" s="21"/>
      <c r="W149" s="22"/>
      <c r="X149" s="33"/>
      <c r="Y149" s="33"/>
      <c r="Z149" s="33"/>
      <c r="AA149" s="33"/>
      <c r="AB149" s="33"/>
      <c r="AC149" s="33"/>
    </row>
    <row r="150" spans="1:29" ht="14.25" hidden="1" customHeight="1">
      <c r="A150" s="14"/>
      <c r="B150" s="21"/>
      <c r="C150" s="22"/>
      <c r="D150" s="33" t="str">
        <f t="shared" ref="D150:I150" si="30">IF(AND(ISNUMBER($B150),ISNUMBER(D$5)),IF(D93=0,0,((D93/D$120)*(LN(D93/D$120)))),"")</f>
        <v/>
      </c>
      <c r="E150" s="33" t="str">
        <f t="shared" si="30"/>
        <v/>
      </c>
      <c r="F150" s="33" t="str">
        <f t="shared" si="30"/>
        <v/>
      </c>
      <c r="G150" s="33" t="str">
        <f t="shared" si="30"/>
        <v/>
      </c>
      <c r="H150" s="33" t="str">
        <f t="shared" si="30"/>
        <v/>
      </c>
      <c r="I150" s="33" t="str">
        <f t="shared" si="30"/>
        <v/>
      </c>
      <c r="K150" s="14"/>
      <c r="L150" s="21"/>
      <c r="M150" s="22"/>
      <c r="N150" s="33" t="str">
        <f t="shared" ref="N150:S159" si="31">IF(AND(ISNUMBER($L150),ISNUMBER(N$5)),IF(N93=0,0,((N93/N$120)*(LN(N93/N$120)))),"")</f>
        <v/>
      </c>
      <c r="O150" s="33" t="str">
        <f t="shared" si="31"/>
        <v/>
      </c>
      <c r="P150" s="33" t="str">
        <f t="shared" si="31"/>
        <v/>
      </c>
      <c r="Q150" s="33" t="str">
        <f t="shared" si="31"/>
        <v/>
      </c>
      <c r="R150" s="33" t="str">
        <f t="shared" si="31"/>
        <v/>
      </c>
      <c r="S150" s="33" t="str">
        <f t="shared" si="31"/>
        <v/>
      </c>
      <c r="U150" s="14"/>
      <c r="V150" s="21"/>
      <c r="W150" s="22"/>
      <c r="X150" s="33" t="str">
        <f t="shared" ref="X150:AC159" si="32">IF(AND(ISNUMBER($V150),ISNUMBER(X$5)),IF(X93=0,0,((X93/X$120)*(LN(X93/X$120)))),"")</f>
        <v/>
      </c>
      <c r="Y150" s="33" t="str">
        <f t="shared" si="32"/>
        <v/>
      </c>
      <c r="Z150" s="33" t="str">
        <f t="shared" si="32"/>
        <v/>
      </c>
      <c r="AA150" s="33" t="str">
        <f t="shared" si="32"/>
        <v/>
      </c>
      <c r="AB150" s="33" t="str">
        <f t="shared" si="32"/>
        <v/>
      </c>
      <c r="AC150" s="33" t="str">
        <f t="shared" si="32"/>
        <v/>
      </c>
    </row>
    <row r="151" spans="1:29" ht="14.25" hidden="1" customHeight="1">
      <c r="A151" s="14"/>
      <c r="B151" s="21"/>
      <c r="C151" s="22"/>
      <c r="D151" s="33" t="str">
        <f t="shared" ref="D151:I151" si="33">IF(AND(ISNUMBER($B151),ISNUMBER(D$5)),IF(D94=0,0,((D94/D$120)*(LN(D94/D$120)))),"")</f>
        <v/>
      </c>
      <c r="E151" s="33" t="str">
        <f t="shared" si="33"/>
        <v/>
      </c>
      <c r="F151" s="33" t="str">
        <f t="shared" si="33"/>
        <v/>
      </c>
      <c r="G151" s="33" t="str">
        <f t="shared" si="33"/>
        <v/>
      </c>
      <c r="H151" s="33" t="str">
        <f t="shared" si="33"/>
        <v/>
      </c>
      <c r="I151" s="33" t="str">
        <f t="shared" si="33"/>
        <v/>
      </c>
      <c r="K151" s="14"/>
      <c r="L151" s="21"/>
      <c r="M151" s="22"/>
      <c r="N151" s="33" t="str">
        <f t="shared" si="31"/>
        <v/>
      </c>
      <c r="O151" s="33" t="str">
        <f t="shared" si="31"/>
        <v/>
      </c>
      <c r="P151" s="33" t="str">
        <f t="shared" si="31"/>
        <v/>
      </c>
      <c r="Q151" s="33" t="str">
        <f t="shared" si="31"/>
        <v/>
      </c>
      <c r="R151" s="33" t="str">
        <f t="shared" si="31"/>
        <v/>
      </c>
      <c r="S151" s="33" t="str">
        <f t="shared" si="31"/>
        <v/>
      </c>
      <c r="U151" s="14"/>
      <c r="V151" s="21"/>
      <c r="W151" s="22"/>
      <c r="X151" s="33" t="str">
        <f t="shared" si="32"/>
        <v/>
      </c>
      <c r="Y151" s="33" t="str">
        <f t="shared" si="32"/>
        <v/>
      </c>
      <c r="Z151" s="33" t="str">
        <f t="shared" si="32"/>
        <v/>
      </c>
      <c r="AA151" s="33" t="str">
        <f t="shared" si="32"/>
        <v/>
      </c>
      <c r="AB151" s="33" t="str">
        <f t="shared" si="32"/>
        <v/>
      </c>
      <c r="AC151" s="33" t="str">
        <f t="shared" si="32"/>
        <v/>
      </c>
    </row>
    <row r="152" spans="1:29" ht="14.25" hidden="1" customHeight="1">
      <c r="A152" s="14"/>
      <c r="B152" s="21"/>
      <c r="C152" s="22"/>
      <c r="D152" s="33" t="str">
        <f t="shared" ref="D152:I152" si="34">IF(AND(ISNUMBER($B152),ISNUMBER(D$5)),IF(D95=0,0,((D95/D$120)*(LN(D95/D$120)))),"")</f>
        <v/>
      </c>
      <c r="E152" s="33" t="str">
        <f t="shared" si="34"/>
        <v/>
      </c>
      <c r="F152" s="33" t="str">
        <f t="shared" si="34"/>
        <v/>
      </c>
      <c r="G152" s="33" t="str">
        <f t="shared" si="34"/>
        <v/>
      </c>
      <c r="H152" s="33" t="str">
        <f t="shared" si="34"/>
        <v/>
      </c>
      <c r="I152" s="33" t="str">
        <f t="shared" si="34"/>
        <v/>
      </c>
      <c r="K152" s="14"/>
      <c r="L152" s="21"/>
      <c r="M152" s="22"/>
      <c r="N152" s="33" t="str">
        <f t="shared" si="31"/>
        <v/>
      </c>
      <c r="O152" s="33" t="str">
        <f t="shared" si="31"/>
        <v/>
      </c>
      <c r="P152" s="33" t="str">
        <f t="shared" si="31"/>
        <v/>
      </c>
      <c r="Q152" s="33" t="str">
        <f t="shared" si="31"/>
        <v/>
      </c>
      <c r="R152" s="33" t="str">
        <f t="shared" si="31"/>
        <v/>
      </c>
      <c r="S152" s="33" t="str">
        <f t="shared" si="31"/>
        <v/>
      </c>
      <c r="U152" s="14"/>
      <c r="V152" s="21"/>
      <c r="W152" s="22"/>
      <c r="X152" s="33" t="str">
        <f t="shared" si="32"/>
        <v/>
      </c>
      <c r="Y152" s="33" t="str">
        <f t="shared" si="32"/>
        <v/>
      </c>
      <c r="Z152" s="33" t="str">
        <f t="shared" si="32"/>
        <v/>
      </c>
      <c r="AA152" s="33" t="str">
        <f t="shared" si="32"/>
        <v/>
      </c>
      <c r="AB152" s="33" t="str">
        <f t="shared" si="32"/>
        <v/>
      </c>
      <c r="AC152" s="33" t="str">
        <f t="shared" si="32"/>
        <v/>
      </c>
    </row>
    <row r="153" spans="1:29" ht="14.25" hidden="1" customHeight="1">
      <c r="A153" s="14"/>
      <c r="B153" s="21"/>
      <c r="C153" s="22"/>
      <c r="D153" s="33" t="str">
        <f t="shared" ref="D153:I153" si="35">IF(AND(ISNUMBER($B153),ISNUMBER(D$5)),IF(D96=0,0,((D96/D$120)*(LN(D96/D$120)))),"")</f>
        <v/>
      </c>
      <c r="E153" s="33" t="str">
        <f t="shared" si="35"/>
        <v/>
      </c>
      <c r="F153" s="33" t="str">
        <f t="shared" si="35"/>
        <v/>
      </c>
      <c r="G153" s="33" t="str">
        <f t="shared" si="35"/>
        <v/>
      </c>
      <c r="H153" s="33" t="str">
        <f t="shared" si="35"/>
        <v/>
      </c>
      <c r="I153" s="33" t="str">
        <f t="shared" si="35"/>
        <v/>
      </c>
      <c r="K153" s="14"/>
      <c r="L153" s="21"/>
      <c r="M153" s="22"/>
      <c r="N153" s="33" t="str">
        <f t="shared" si="31"/>
        <v/>
      </c>
      <c r="O153" s="33" t="str">
        <f t="shared" si="31"/>
        <v/>
      </c>
      <c r="P153" s="33" t="str">
        <f t="shared" si="31"/>
        <v/>
      </c>
      <c r="Q153" s="33" t="str">
        <f t="shared" si="31"/>
        <v/>
      </c>
      <c r="R153" s="33" t="str">
        <f t="shared" si="31"/>
        <v/>
      </c>
      <c r="S153" s="33" t="str">
        <f t="shared" si="31"/>
        <v/>
      </c>
      <c r="U153" s="14"/>
      <c r="V153" s="21"/>
      <c r="W153" s="22"/>
      <c r="X153" s="33" t="str">
        <f t="shared" si="32"/>
        <v/>
      </c>
      <c r="Y153" s="33" t="str">
        <f t="shared" si="32"/>
        <v/>
      </c>
      <c r="Z153" s="33" t="str">
        <f t="shared" si="32"/>
        <v/>
      </c>
      <c r="AA153" s="33" t="str">
        <f t="shared" si="32"/>
        <v/>
      </c>
      <c r="AB153" s="33" t="str">
        <f t="shared" si="32"/>
        <v/>
      </c>
      <c r="AC153" s="33" t="str">
        <f t="shared" si="32"/>
        <v/>
      </c>
    </row>
    <row r="154" spans="1:29" ht="14.25" hidden="1" customHeight="1">
      <c r="A154" s="14"/>
      <c r="B154" s="21"/>
      <c r="C154" s="22"/>
      <c r="D154" s="33" t="str">
        <f t="shared" ref="D154:I154" si="36">IF(AND(ISNUMBER($B154),ISNUMBER(D$5)),IF(D97=0,0,((D97/D$120)*(LN(D97/D$120)))),"")</f>
        <v/>
      </c>
      <c r="E154" s="33" t="str">
        <f t="shared" si="36"/>
        <v/>
      </c>
      <c r="F154" s="33" t="str">
        <f t="shared" si="36"/>
        <v/>
      </c>
      <c r="G154" s="33" t="str">
        <f t="shared" si="36"/>
        <v/>
      </c>
      <c r="H154" s="33" t="str">
        <f t="shared" si="36"/>
        <v/>
      </c>
      <c r="I154" s="33" t="str">
        <f t="shared" si="36"/>
        <v/>
      </c>
      <c r="K154" s="14"/>
      <c r="L154" s="21"/>
      <c r="M154" s="22"/>
      <c r="N154" s="33" t="str">
        <f t="shared" si="31"/>
        <v/>
      </c>
      <c r="O154" s="33" t="str">
        <f t="shared" si="31"/>
        <v/>
      </c>
      <c r="P154" s="33" t="str">
        <f t="shared" si="31"/>
        <v/>
      </c>
      <c r="Q154" s="33" t="str">
        <f t="shared" si="31"/>
        <v/>
      </c>
      <c r="R154" s="33" t="str">
        <f t="shared" si="31"/>
        <v/>
      </c>
      <c r="S154" s="33" t="str">
        <f t="shared" si="31"/>
        <v/>
      </c>
      <c r="U154" s="14"/>
      <c r="V154" s="21"/>
      <c r="W154" s="22"/>
      <c r="X154" s="33" t="str">
        <f t="shared" si="32"/>
        <v/>
      </c>
      <c r="Y154" s="33" t="str">
        <f t="shared" si="32"/>
        <v/>
      </c>
      <c r="Z154" s="33" t="str">
        <f t="shared" si="32"/>
        <v/>
      </c>
      <c r="AA154" s="33" t="str">
        <f t="shared" si="32"/>
        <v/>
      </c>
      <c r="AB154" s="33" t="str">
        <f t="shared" si="32"/>
        <v/>
      </c>
      <c r="AC154" s="33" t="str">
        <f t="shared" si="32"/>
        <v/>
      </c>
    </row>
    <row r="155" spans="1:29" ht="14.25" hidden="1" customHeight="1">
      <c r="A155" s="14"/>
      <c r="B155" s="21"/>
      <c r="C155" s="22"/>
      <c r="D155" s="33" t="str">
        <f t="shared" ref="D155:I155" si="37">IF(AND(ISNUMBER($B155),ISNUMBER(D$5)),IF(D98=0,0,((D98/D$120)*(LN(D98/D$120)))),"")</f>
        <v/>
      </c>
      <c r="E155" s="33" t="str">
        <f t="shared" si="37"/>
        <v/>
      </c>
      <c r="F155" s="33" t="str">
        <f t="shared" si="37"/>
        <v/>
      </c>
      <c r="G155" s="33" t="str">
        <f t="shared" si="37"/>
        <v/>
      </c>
      <c r="H155" s="33" t="str">
        <f t="shared" si="37"/>
        <v/>
      </c>
      <c r="I155" s="33" t="str">
        <f t="shared" si="37"/>
        <v/>
      </c>
      <c r="K155" s="14"/>
      <c r="L155" s="21"/>
      <c r="M155" s="22"/>
      <c r="N155" s="33" t="str">
        <f t="shared" si="31"/>
        <v/>
      </c>
      <c r="O155" s="33" t="str">
        <f t="shared" si="31"/>
        <v/>
      </c>
      <c r="P155" s="33" t="str">
        <f t="shared" si="31"/>
        <v/>
      </c>
      <c r="Q155" s="33" t="str">
        <f t="shared" si="31"/>
        <v/>
      </c>
      <c r="R155" s="33" t="str">
        <f t="shared" si="31"/>
        <v/>
      </c>
      <c r="S155" s="33" t="str">
        <f t="shared" si="31"/>
        <v/>
      </c>
      <c r="U155" s="14"/>
      <c r="V155" s="21"/>
      <c r="W155" s="22"/>
      <c r="X155" s="33" t="str">
        <f t="shared" si="32"/>
        <v/>
      </c>
      <c r="Y155" s="33" t="str">
        <f t="shared" si="32"/>
        <v/>
      </c>
      <c r="Z155" s="33" t="str">
        <f t="shared" si="32"/>
        <v/>
      </c>
      <c r="AA155" s="33" t="str">
        <f t="shared" si="32"/>
        <v/>
      </c>
      <c r="AB155" s="33" t="str">
        <f t="shared" si="32"/>
        <v/>
      </c>
      <c r="AC155" s="33" t="str">
        <f t="shared" si="32"/>
        <v/>
      </c>
    </row>
    <row r="156" spans="1:29" ht="14.25" hidden="1" customHeight="1">
      <c r="A156" s="14"/>
      <c r="B156" s="21"/>
      <c r="C156" s="22"/>
      <c r="D156" s="33" t="str">
        <f t="shared" ref="D156:I156" si="38">IF(AND(ISNUMBER($B156),ISNUMBER(D$5)),IF(D99=0,0,((D99/D$120)*(LN(D99/D$120)))),"")</f>
        <v/>
      </c>
      <c r="E156" s="33" t="str">
        <f t="shared" si="38"/>
        <v/>
      </c>
      <c r="F156" s="33" t="str">
        <f t="shared" si="38"/>
        <v/>
      </c>
      <c r="G156" s="33" t="str">
        <f t="shared" si="38"/>
        <v/>
      </c>
      <c r="H156" s="33" t="str">
        <f t="shared" si="38"/>
        <v/>
      </c>
      <c r="I156" s="33" t="str">
        <f t="shared" si="38"/>
        <v/>
      </c>
      <c r="K156" s="14"/>
      <c r="L156" s="21"/>
      <c r="M156" s="22"/>
      <c r="N156" s="33" t="str">
        <f t="shared" si="31"/>
        <v/>
      </c>
      <c r="O156" s="33" t="str">
        <f t="shared" si="31"/>
        <v/>
      </c>
      <c r="P156" s="33" t="str">
        <f t="shared" si="31"/>
        <v/>
      </c>
      <c r="Q156" s="33" t="str">
        <f t="shared" si="31"/>
        <v/>
      </c>
      <c r="R156" s="33" t="str">
        <f t="shared" si="31"/>
        <v/>
      </c>
      <c r="S156" s="33" t="str">
        <f t="shared" si="31"/>
        <v/>
      </c>
      <c r="U156" s="14"/>
      <c r="V156" s="21"/>
      <c r="W156" s="22"/>
      <c r="X156" s="33" t="str">
        <f t="shared" si="32"/>
        <v/>
      </c>
      <c r="Y156" s="33" t="str">
        <f t="shared" si="32"/>
        <v/>
      </c>
      <c r="Z156" s="33" t="str">
        <f t="shared" si="32"/>
        <v/>
      </c>
      <c r="AA156" s="33" t="str">
        <f t="shared" si="32"/>
        <v/>
      </c>
      <c r="AB156" s="33" t="str">
        <f t="shared" si="32"/>
        <v/>
      </c>
      <c r="AC156" s="33" t="str">
        <f t="shared" si="32"/>
        <v/>
      </c>
    </row>
    <row r="157" spans="1:29" ht="14.25" hidden="1" customHeight="1">
      <c r="A157" s="14"/>
      <c r="B157" s="21"/>
      <c r="C157" s="22"/>
      <c r="D157" s="33" t="str">
        <f t="shared" ref="D157:I157" si="39">IF(AND(ISNUMBER($B157),ISNUMBER(D$5)),IF(D100=0,0,((D100/D$120)*(LN(D100/D$120)))),"")</f>
        <v/>
      </c>
      <c r="E157" s="33" t="str">
        <f t="shared" si="39"/>
        <v/>
      </c>
      <c r="F157" s="33" t="str">
        <f t="shared" si="39"/>
        <v/>
      </c>
      <c r="G157" s="33" t="str">
        <f t="shared" si="39"/>
        <v/>
      </c>
      <c r="H157" s="33" t="str">
        <f t="shared" si="39"/>
        <v/>
      </c>
      <c r="I157" s="33" t="str">
        <f t="shared" si="39"/>
        <v/>
      </c>
      <c r="K157" s="14"/>
      <c r="L157" s="21"/>
      <c r="M157" s="22"/>
      <c r="N157" s="33" t="str">
        <f t="shared" si="31"/>
        <v/>
      </c>
      <c r="O157" s="33" t="str">
        <f t="shared" si="31"/>
        <v/>
      </c>
      <c r="P157" s="33" t="str">
        <f t="shared" si="31"/>
        <v/>
      </c>
      <c r="Q157" s="33" t="str">
        <f t="shared" si="31"/>
        <v/>
      </c>
      <c r="R157" s="33" t="str">
        <f t="shared" si="31"/>
        <v/>
      </c>
      <c r="S157" s="33" t="str">
        <f t="shared" si="31"/>
        <v/>
      </c>
      <c r="U157" s="14"/>
      <c r="V157" s="21"/>
      <c r="W157" s="22"/>
      <c r="X157" s="33" t="str">
        <f t="shared" si="32"/>
        <v/>
      </c>
      <c r="Y157" s="33" t="str">
        <f t="shared" si="32"/>
        <v/>
      </c>
      <c r="Z157" s="33" t="str">
        <f t="shared" si="32"/>
        <v/>
      </c>
      <c r="AA157" s="33" t="str">
        <f t="shared" si="32"/>
        <v/>
      </c>
      <c r="AB157" s="33" t="str">
        <f t="shared" si="32"/>
        <v/>
      </c>
      <c r="AC157" s="33" t="str">
        <f t="shared" si="32"/>
        <v/>
      </c>
    </row>
    <row r="158" spans="1:29" ht="14.25" hidden="1" customHeight="1">
      <c r="A158" s="14"/>
      <c r="B158" s="21"/>
      <c r="C158" s="22"/>
      <c r="D158" s="33" t="str">
        <f t="shared" ref="D158:I158" si="40">IF(AND(ISNUMBER($B158),ISNUMBER(D$5)),IF(D101=0,0,((D101/D$120)*(LN(D101/D$120)))),"")</f>
        <v/>
      </c>
      <c r="E158" s="33" t="str">
        <f t="shared" si="40"/>
        <v/>
      </c>
      <c r="F158" s="33" t="str">
        <f t="shared" si="40"/>
        <v/>
      </c>
      <c r="G158" s="33" t="str">
        <f t="shared" si="40"/>
        <v/>
      </c>
      <c r="H158" s="33" t="str">
        <f t="shared" si="40"/>
        <v/>
      </c>
      <c r="I158" s="33" t="str">
        <f t="shared" si="40"/>
        <v/>
      </c>
      <c r="K158" s="14"/>
      <c r="L158" s="21"/>
      <c r="M158" s="22"/>
      <c r="N158" s="33" t="str">
        <f t="shared" si="31"/>
        <v/>
      </c>
      <c r="O158" s="33" t="str">
        <f t="shared" si="31"/>
        <v/>
      </c>
      <c r="P158" s="33" t="str">
        <f t="shared" si="31"/>
        <v/>
      </c>
      <c r="Q158" s="33" t="str">
        <f t="shared" si="31"/>
        <v/>
      </c>
      <c r="R158" s="33" t="str">
        <f t="shared" si="31"/>
        <v/>
      </c>
      <c r="S158" s="33" t="str">
        <f t="shared" si="31"/>
        <v/>
      </c>
      <c r="U158" s="14"/>
      <c r="V158" s="21"/>
      <c r="W158" s="22"/>
      <c r="X158" s="33" t="str">
        <f t="shared" si="32"/>
        <v/>
      </c>
      <c r="Y158" s="33" t="str">
        <f t="shared" si="32"/>
        <v/>
      </c>
      <c r="Z158" s="33" t="str">
        <f t="shared" si="32"/>
        <v/>
      </c>
      <c r="AA158" s="33" t="str">
        <f t="shared" si="32"/>
        <v/>
      </c>
      <c r="AB158" s="33" t="str">
        <f t="shared" si="32"/>
        <v/>
      </c>
      <c r="AC158" s="33" t="str">
        <f t="shared" si="32"/>
        <v/>
      </c>
    </row>
    <row r="159" spans="1:29" ht="14.25" hidden="1" customHeight="1">
      <c r="A159" s="14"/>
      <c r="B159" s="21"/>
      <c r="C159" s="22"/>
      <c r="D159" s="33" t="str">
        <f t="shared" ref="D159:I159" si="41">IF(AND(ISNUMBER($B159),ISNUMBER(D$5)),IF(D102=0,0,((D102/D$120)*(LN(D102/D$120)))),"")</f>
        <v/>
      </c>
      <c r="E159" s="33" t="str">
        <f t="shared" si="41"/>
        <v/>
      </c>
      <c r="F159" s="33" t="str">
        <f t="shared" si="41"/>
        <v/>
      </c>
      <c r="G159" s="33" t="str">
        <f t="shared" si="41"/>
        <v/>
      </c>
      <c r="H159" s="33" t="str">
        <f t="shared" si="41"/>
        <v/>
      </c>
      <c r="I159" s="33" t="str">
        <f t="shared" si="41"/>
        <v/>
      </c>
      <c r="K159" s="14"/>
      <c r="L159" s="21"/>
      <c r="M159" s="22"/>
      <c r="N159" s="33" t="str">
        <f t="shared" si="31"/>
        <v/>
      </c>
      <c r="O159" s="33" t="str">
        <f t="shared" si="31"/>
        <v/>
      </c>
      <c r="P159" s="33" t="str">
        <f t="shared" si="31"/>
        <v/>
      </c>
      <c r="Q159" s="33" t="str">
        <f t="shared" si="31"/>
        <v/>
      </c>
      <c r="R159" s="33" t="str">
        <f t="shared" si="31"/>
        <v/>
      </c>
      <c r="S159" s="33" t="str">
        <f t="shared" si="31"/>
        <v/>
      </c>
      <c r="U159" s="14"/>
      <c r="V159" s="21"/>
      <c r="W159" s="22"/>
      <c r="X159" s="33" t="str">
        <f t="shared" si="32"/>
        <v/>
      </c>
      <c r="Y159" s="33" t="str">
        <f t="shared" si="32"/>
        <v/>
      </c>
      <c r="Z159" s="33" t="str">
        <f t="shared" si="32"/>
        <v/>
      </c>
      <c r="AA159" s="33" t="str">
        <f t="shared" si="32"/>
        <v/>
      </c>
      <c r="AB159" s="33" t="str">
        <f t="shared" si="32"/>
        <v/>
      </c>
      <c r="AC159" s="33" t="str">
        <f t="shared" si="32"/>
        <v/>
      </c>
    </row>
    <row r="160" spans="1:29" ht="14.25" hidden="1" customHeight="1">
      <c r="A160" s="14"/>
      <c r="B160" s="21"/>
      <c r="C160" s="22"/>
      <c r="D160" s="33" t="str">
        <f t="shared" ref="D160:I160" si="42">IF(AND(ISNUMBER($B160),ISNUMBER(D$5)),IF(D103=0,0,((D103/D$120)*(LN(D103/D$120)))),"")</f>
        <v/>
      </c>
      <c r="E160" s="33" t="str">
        <f t="shared" si="42"/>
        <v/>
      </c>
      <c r="F160" s="33" t="str">
        <f t="shared" si="42"/>
        <v/>
      </c>
      <c r="G160" s="33" t="str">
        <f t="shared" si="42"/>
        <v/>
      </c>
      <c r="H160" s="33" t="str">
        <f t="shared" si="42"/>
        <v/>
      </c>
      <c r="I160" s="33" t="str">
        <f t="shared" si="42"/>
        <v/>
      </c>
      <c r="K160" s="14"/>
      <c r="L160" s="21"/>
      <c r="M160" s="22"/>
      <c r="N160" s="33" t="str">
        <f t="shared" ref="N160:S169" si="43">IF(AND(ISNUMBER($L160),ISNUMBER(N$5)),IF(N103=0,0,((N103/N$120)*(LN(N103/N$120)))),"")</f>
        <v/>
      </c>
      <c r="O160" s="33" t="str">
        <f t="shared" si="43"/>
        <v/>
      </c>
      <c r="P160" s="33" t="str">
        <f t="shared" si="43"/>
        <v/>
      </c>
      <c r="Q160" s="33" t="str">
        <f t="shared" si="43"/>
        <v/>
      </c>
      <c r="R160" s="33" t="str">
        <f t="shared" si="43"/>
        <v/>
      </c>
      <c r="S160" s="33" t="str">
        <f t="shared" si="43"/>
        <v/>
      </c>
      <c r="U160" s="14"/>
      <c r="V160" s="21"/>
      <c r="W160" s="22"/>
      <c r="X160" s="33" t="str">
        <f t="shared" ref="X160:AC169" si="44">IF(AND(ISNUMBER($V160),ISNUMBER(X$5)),IF(X103=0,0,((X103/X$120)*(LN(X103/X$120)))),"")</f>
        <v/>
      </c>
      <c r="Y160" s="33" t="str">
        <f t="shared" si="44"/>
        <v/>
      </c>
      <c r="Z160" s="33" t="str">
        <f t="shared" si="44"/>
        <v/>
      </c>
      <c r="AA160" s="33" t="str">
        <f t="shared" si="44"/>
        <v/>
      </c>
      <c r="AB160" s="33" t="str">
        <f t="shared" si="44"/>
        <v/>
      </c>
      <c r="AC160" s="33" t="str">
        <f t="shared" si="44"/>
        <v/>
      </c>
    </row>
    <row r="161" spans="1:29" ht="14.25" hidden="1" customHeight="1">
      <c r="A161" s="14"/>
      <c r="B161" s="21"/>
      <c r="C161" s="22"/>
      <c r="D161" s="33" t="str">
        <f t="shared" ref="D161:I161" si="45">IF(AND(ISNUMBER($B161),ISNUMBER(D$5)),IF(D104=0,0,((D104/D$120)*(LN(D104/D$120)))),"")</f>
        <v/>
      </c>
      <c r="E161" s="33" t="str">
        <f t="shared" si="45"/>
        <v/>
      </c>
      <c r="F161" s="33" t="str">
        <f t="shared" si="45"/>
        <v/>
      </c>
      <c r="G161" s="33" t="str">
        <f t="shared" si="45"/>
        <v/>
      </c>
      <c r="H161" s="33" t="str">
        <f t="shared" si="45"/>
        <v/>
      </c>
      <c r="I161" s="33" t="str">
        <f t="shared" si="45"/>
        <v/>
      </c>
      <c r="K161" s="14"/>
      <c r="L161" s="21"/>
      <c r="M161" s="22"/>
      <c r="N161" s="33" t="str">
        <f t="shared" si="43"/>
        <v/>
      </c>
      <c r="O161" s="33" t="str">
        <f t="shared" si="43"/>
        <v/>
      </c>
      <c r="P161" s="33" t="str">
        <f t="shared" si="43"/>
        <v/>
      </c>
      <c r="Q161" s="33" t="str">
        <f t="shared" si="43"/>
        <v/>
      </c>
      <c r="R161" s="33" t="str">
        <f t="shared" si="43"/>
        <v/>
      </c>
      <c r="S161" s="33" t="str">
        <f t="shared" si="43"/>
        <v/>
      </c>
      <c r="U161" s="14"/>
      <c r="V161" s="21"/>
      <c r="W161" s="22"/>
      <c r="X161" s="33" t="str">
        <f t="shared" si="44"/>
        <v/>
      </c>
      <c r="Y161" s="33" t="str">
        <f t="shared" si="44"/>
        <v/>
      </c>
      <c r="Z161" s="33" t="str">
        <f t="shared" si="44"/>
        <v/>
      </c>
      <c r="AA161" s="33" t="str">
        <f t="shared" si="44"/>
        <v/>
      </c>
      <c r="AB161" s="33" t="str">
        <f t="shared" si="44"/>
        <v/>
      </c>
      <c r="AC161" s="33" t="str">
        <f t="shared" si="44"/>
        <v/>
      </c>
    </row>
    <row r="162" spans="1:29" ht="14.25" hidden="1" customHeight="1">
      <c r="A162" s="14"/>
      <c r="B162" s="21"/>
      <c r="C162" s="22"/>
      <c r="D162" s="33" t="str">
        <f t="shared" ref="D162:I162" si="46">IF(AND(ISNUMBER($B162),ISNUMBER(D$5)),IF(D105=0,0,((D105/D$120)*(LN(D105/D$120)))),"")</f>
        <v/>
      </c>
      <c r="E162" s="33" t="str">
        <f t="shared" si="46"/>
        <v/>
      </c>
      <c r="F162" s="33" t="str">
        <f t="shared" si="46"/>
        <v/>
      </c>
      <c r="G162" s="33" t="str">
        <f t="shared" si="46"/>
        <v/>
      </c>
      <c r="H162" s="33" t="str">
        <f t="shared" si="46"/>
        <v/>
      </c>
      <c r="I162" s="33" t="str">
        <f t="shared" si="46"/>
        <v/>
      </c>
      <c r="K162" s="14"/>
      <c r="L162" s="21"/>
      <c r="M162" s="22"/>
      <c r="N162" s="33" t="str">
        <f t="shared" si="43"/>
        <v/>
      </c>
      <c r="O162" s="33" t="str">
        <f t="shared" si="43"/>
        <v/>
      </c>
      <c r="P162" s="33" t="str">
        <f t="shared" si="43"/>
        <v/>
      </c>
      <c r="Q162" s="33" t="str">
        <f t="shared" si="43"/>
        <v/>
      </c>
      <c r="R162" s="33" t="str">
        <f t="shared" si="43"/>
        <v/>
      </c>
      <c r="S162" s="33" t="str">
        <f t="shared" si="43"/>
        <v/>
      </c>
      <c r="U162" s="14"/>
      <c r="V162" s="21"/>
      <c r="W162" s="22"/>
      <c r="X162" s="33" t="str">
        <f t="shared" si="44"/>
        <v/>
      </c>
      <c r="Y162" s="33" t="str">
        <f t="shared" si="44"/>
        <v/>
      </c>
      <c r="Z162" s="33" t="str">
        <f t="shared" si="44"/>
        <v/>
      </c>
      <c r="AA162" s="33" t="str">
        <f t="shared" si="44"/>
        <v/>
      </c>
      <c r="AB162" s="33" t="str">
        <f t="shared" si="44"/>
        <v/>
      </c>
      <c r="AC162" s="33" t="str">
        <f t="shared" si="44"/>
        <v/>
      </c>
    </row>
    <row r="163" spans="1:29" ht="14.25" hidden="1" customHeight="1">
      <c r="A163" s="14"/>
      <c r="B163" s="21"/>
      <c r="C163" s="22"/>
      <c r="D163" s="33" t="str">
        <f t="shared" ref="D163:I163" si="47">IF(AND(ISNUMBER($B163),ISNUMBER(D$5)),IF(D106=0,0,((D106/D$120)*(LN(D106/D$120)))),"")</f>
        <v/>
      </c>
      <c r="E163" s="33" t="str">
        <f t="shared" si="47"/>
        <v/>
      </c>
      <c r="F163" s="33" t="str">
        <f t="shared" si="47"/>
        <v/>
      </c>
      <c r="G163" s="33" t="str">
        <f t="shared" si="47"/>
        <v/>
      </c>
      <c r="H163" s="33" t="str">
        <f t="shared" si="47"/>
        <v/>
      </c>
      <c r="I163" s="33" t="str">
        <f t="shared" si="47"/>
        <v/>
      </c>
      <c r="K163" s="14"/>
      <c r="L163" s="21"/>
      <c r="M163" s="22"/>
      <c r="N163" s="33" t="str">
        <f t="shared" si="43"/>
        <v/>
      </c>
      <c r="O163" s="33" t="str">
        <f t="shared" si="43"/>
        <v/>
      </c>
      <c r="P163" s="33" t="str">
        <f t="shared" si="43"/>
        <v/>
      </c>
      <c r="Q163" s="33" t="str">
        <f t="shared" si="43"/>
        <v/>
      </c>
      <c r="R163" s="33" t="str">
        <f t="shared" si="43"/>
        <v/>
      </c>
      <c r="S163" s="33" t="str">
        <f t="shared" si="43"/>
        <v/>
      </c>
      <c r="U163" s="14"/>
      <c r="V163" s="21"/>
      <c r="W163" s="22"/>
      <c r="X163" s="33" t="str">
        <f t="shared" si="44"/>
        <v/>
      </c>
      <c r="Y163" s="33" t="str">
        <f t="shared" si="44"/>
        <v/>
      </c>
      <c r="Z163" s="33" t="str">
        <f t="shared" si="44"/>
        <v/>
      </c>
      <c r="AA163" s="33" t="str">
        <f t="shared" si="44"/>
        <v/>
      </c>
      <c r="AB163" s="33" t="str">
        <f t="shared" si="44"/>
        <v/>
      </c>
      <c r="AC163" s="33" t="str">
        <f t="shared" si="44"/>
        <v/>
      </c>
    </row>
    <row r="164" spans="1:29" ht="14.25" hidden="1" customHeight="1">
      <c r="A164" s="14"/>
      <c r="B164" s="21"/>
      <c r="C164" s="22"/>
      <c r="D164" s="33" t="str">
        <f t="shared" ref="D164:I164" si="48">IF(AND(ISNUMBER($B164),ISNUMBER(D$5)),IF(D107=0,0,((D107/D$120)*(LN(D107/D$120)))),"")</f>
        <v/>
      </c>
      <c r="E164" s="33" t="str">
        <f t="shared" si="48"/>
        <v/>
      </c>
      <c r="F164" s="33" t="str">
        <f t="shared" si="48"/>
        <v/>
      </c>
      <c r="G164" s="33" t="str">
        <f t="shared" si="48"/>
        <v/>
      </c>
      <c r="H164" s="33" t="str">
        <f t="shared" si="48"/>
        <v/>
      </c>
      <c r="I164" s="33" t="str">
        <f t="shared" si="48"/>
        <v/>
      </c>
      <c r="K164" s="14"/>
      <c r="L164" s="21"/>
      <c r="M164" s="22"/>
      <c r="N164" s="33" t="str">
        <f t="shared" si="43"/>
        <v/>
      </c>
      <c r="O164" s="33" t="str">
        <f t="shared" si="43"/>
        <v/>
      </c>
      <c r="P164" s="33" t="str">
        <f t="shared" si="43"/>
        <v/>
      </c>
      <c r="Q164" s="33" t="str">
        <f t="shared" si="43"/>
        <v/>
      </c>
      <c r="R164" s="33" t="str">
        <f t="shared" si="43"/>
        <v/>
      </c>
      <c r="S164" s="33" t="str">
        <f t="shared" si="43"/>
        <v/>
      </c>
      <c r="U164" s="14"/>
      <c r="V164" s="21"/>
      <c r="W164" s="22"/>
      <c r="X164" s="33" t="str">
        <f t="shared" si="44"/>
        <v/>
      </c>
      <c r="Y164" s="33" t="str">
        <f t="shared" si="44"/>
        <v/>
      </c>
      <c r="Z164" s="33" t="str">
        <f t="shared" si="44"/>
        <v/>
      </c>
      <c r="AA164" s="33" t="str">
        <f t="shared" si="44"/>
        <v/>
      </c>
      <c r="AB164" s="33" t="str">
        <f t="shared" si="44"/>
        <v/>
      </c>
      <c r="AC164" s="33" t="str">
        <f t="shared" si="44"/>
        <v/>
      </c>
    </row>
    <row r="165" spans="1:29" ht="14.25" hidden="1" customHeight="1">
      <c r="A165" s="14"/>
      <c r="B165" s="21"/>
      <c r="C165" s="22"/>
      <c r="D165" s="33" t="str">
        <f t="shared" ref="D165:I165" si="49">IF(AND(ISNUMBER($B165),ISNUMBER(D$5)),IF(D108=0,0,((D108/D$120)*(LN(D108/D$120)))),"")</f>
        <v/>
      </c>
      <c r="E165" s="33" t="str">
        <f t="shared" si="49"/>
        <v/>
      </c>
      <c r="F165" s="33" t="str">
        <f t="shared" si="49"/>
        <v/>
      </c>
      <c r="G165" s="33" t="str">
        <f t="shared" si="49"/>
        <v/>
      </c>
      <c r="H165" s="33" t="str">
        <f t="shared" si="49"/>
        <v/>
      </c>
      <c r="I165" s="33" t="str">
        <f t="shared" si="49"/>
        <v/>
      </c>
      <c r="K165" s="14"/>
      <c r="L165" s="21"/>
      <c r="M165" s="22"/>
      <c r="N165" s="33" t="str">
        <f t="shared" si="43"/>
        <v/>
      </c>
      <c r="O165" s="33" t="str">
        <f t="shared" si="43"/>
        <v/>
      </c>
      <c r="P165" s="33" t="str">
        <f t="shared" si="43"/>
        <v/>
      </c>
      <c r="Q165" s="33" t="str">
        <f t="shared" si="43"/>
        <v/>
      </c>
      <c r="R165" s="33" t="str">
        <f t="shared" si="43"/>
        <v/>
      </c>
      <c r="S165" s="33" t="str">
        <f t="shared" si="43"/>
        <v/>
      </c>
      <c r="U165" s="14"/>
      <c r="V165" s="21"/>
      <c r="W165" s="22"/>
      <c r="X165" s="33" t="str">
        <f t="shared" si="44"/>
        <v/>
      </c>
      <c r="Y165" s="33" t="str">
        <f t="shared" si="44"/>
        <v/>
      </c>
      <c r="Z165" s="33" t="str">
        <f t="shared" si="44"/>
        <v/>
      </c>
      <c r="AA165" s="33" t="str">
        <f t="shared" si="44"/>
        <v/>
      </c>
      <c r="AB165" s="33" t="str">
        <f t="shared" si="44"/>
        <v/>
      </c>
      <c r="AC165" s="33" t="str">
        <f t="shared" si="44"/>
        <v/>
      </c>
    </row>
    <row r="166" spans="1:29" ht="14.25" hidden="1" customHeight="1">
      <c r="A166" s="14"/>
      <c r="B166" s="21"/>
      <c r="C166" s="22"/>
      <c r="D166" s="33" t="str">
        <f t="shared" ref="D166:I166" si="50">IF(AND(ISNUMBER($B166),ISNUMBER(D$5)),IF(D109=0,0,((D109/D$120)*(LN(D109/D$120)))),"")</f>
        <v/>
      </c>
      <c r="E166" s="33" t="str">
        <f t="shared" si="50"/>
        <v/>
      </c>
      <c r="F166" s="33" t="str">
        <f t="shared" si="50"/>
        <v/>
      </c>
      <c r="G166" s="33" t="str">
        <f t="shared" si="50"/>
        <v/>
      </c>
      <c r="H166" s="33" t="str">
        <f t="shared" si="50"/>
        <v/>
      </c>
      <c r="I166" s="33" t="str">
        <f t="shared" si="50"/>
        <v/>
      </c>
      <c r="K166" s="14"/>
      <c r="L166" s="21"/>
      <c r="M166" s="22"/>
      <c r="N166" s="33" t="str">
        <f t="shared" si="43"/>
        <v/>
      </c>
      <c r="O166" s="33" t="str">
        <f t="shared" si="43"/>
        <v/>
      </c>
      <c r="P166" s="33" t="str">
        <f t="shared" si="43"/>
        <v/>
      </c>
      <c r="Q166" s="33" t="str">
        <f t="shared" si="43"/>
        <v/>
      </c>
      <c r="R166" s="33" t="str">
        <f t="shared" si="43"/>
        <v/>
      </c>
      <c r="S166" s="33" t="str">
        <f t="shared" si="43"/>
        <v/>
      </c>
      <c r="U166" s="14"/>
      <c r="V166" s="21"/>
      <c r="W166" s="22"/>
      <c r="X166" s="33" t="str">
        <f t="shared" si="44"/>
        <v/>
      </c>
      <c r="Y166" s="33" t="str">
        <f t="shared" si="44"/>
        <v/>
      </c>
      <c r="Z166" s="33" t="str">
        <f t="shared" si="44"/>
        <v/>
      </c>
      <c r="AA166" s="33" t="str">
        <f t="shared" si="44"/>
        <v/>
      </c>
      <c r="AB166" s="33" t="str">
        <f t="shared" si="44"/>
        <v/>
      </c>
      <c r="AC166" s="33" t="str">
        <f t="shared" si="44"/>
        <v/>
      </c>
    </row>
    <row r="167" spans="1:29" ht="14.25" hidden="1" customHeight="1">
      <c r="A167" s="14"/>
      <c r="B167" s="21"/>
      <c r="C167" s="22"/>
      <c r="D167" s="33" t="str">
        <f t="shared" ref="D167:I167" si="51">IF(AND(ISNUMBER($B167),ISNUMBER(D$5)),IF(D110=0,0,((D110/D$120)*(LN(D110/D$120)))),"")</f>
        <v/>
      </c>
      <c r="E167" s="33" t="str">
        <f t="shared" si="51"/>
        <v/>
      </c>
      <c r="F167" s="33" t="str">
        <f t="shared" si="51"/>
        <v/>
      </c>
      <c r="G167" s="33" t="str">
        <f t="shared" si="51"/>
        <v/>
      </c>
      <c r="H167" s="33" t="str">
        <f t="shared" si="51"/>
        <v/>
      </c>
      <c r="I167" s="33" t="str">
        <f t="shared" si="51"/>
        <v/>
      </c>
      <c r="K167" s="14"/>
      <c r="L167" s="21"/>
      <c r="M167" s="22"/>
      <c r="N167" s="33" t="str">
        <f t="shared" si="43"/>
        <v/>
      </c>
      <c r="O167" s="33" t="str">
        <f t="shared" si="43"/>
        <v/>
      </c>
      <c r="P167" s="33" t="str">
        <f t="shared" si="43"/>
        <v/>
      </c>
      <c r="Q167" s="33" t="str">
        <f t="shared" si="43"/>
        <v/>
      </c>
      <c r="R167" s="33" t="str">
        <f t="shared" si="43"/>
        <v/>
      </c>
      <c r="S167" s="33" t="str">
        <f t="shared" si="43"/>
        <v/>
      </c>
      <c r="U167" s="14"/>
      <c r="V167" s="21"/>
      <c r="W167" s="22"/>
      <c r="X167" s="33" t="str">
        <f t="shared" si="44"/>
        <v/>
      </c>
      <c r="Y167" s="33" t="str">
        <f t="shared" si="44"/>
        <v/>
      </c>
      <c r="Z167" s="33" t="str">
        <f t="shared" si="44"/>
        <v/>
      </c>
      <c r="AA167" s="33" t="str">
        <f t="shared" si="44"/>
        <v/>
      </c>
      <c r="AB167" s="33" t="str">
        <f t="shared" si="44"/>
        <v/>
      </c>
      <c r="AC167" s="33" t="str">
        <f t="shared" si="44"/>
        <v/>
      </c>
    </row>
    <row r="168" spans="1:29" ht="14.25" hidden="1" customHeight="1">
      <c r="A168" s="14"/>
      <c r="B168" s="21"/>
      <c r="C168" s="22"/>
      <c r="D168" s="33" t="str">
        <f t="shared" ref="D168:I168" si="52">IF(AND(ISNUMBER($B168),ISNUMBER(D$5)),IF(D111=0,0,((D111/D$120)*(LN(D111/D$120)))),"")</f>
        <v/>
      </c>
      <c r="E168" s="33" t="str">
        <f t="shared" si="52"/>
        <v/>
      </c>
      <c r="F168" s="33" t="str">
        <f t="shared" si="52"/>
        <v/>
      </c>
      <c r="G168" s="33" t="str">
        <f t="shared" si="52"/>
        <v/>
      </c>
      <c r="H168" s="33" t="str">
        <f t="shared" si="52"/>
        <v/>
      </c>
      <c r="I168" s="33" t="str">
        <f t="shared" si="52"/>
        <v/>
      </c>
      <c r="K168" s="14"/>
      <c r="L168" s="21"/>
      <c r="M168" s="22"/>
      <c r="N168" s="33" t="str">
        <f t="shared" si="43"/>
        <v/>
      </c>
      <c r="O168" s="33" t="str">
        <f t="shared" si="43"/>
        <v/>
      </c>
      <c r="P168" s="33" t="str">
        <f t="shared" si="43"/>
        <v/>
      </c>
      <c r="Q168" s="33" t="str">
        <f t="shared" si="43"/>
        <v/>
      </c>
      <c r="R168" s="33" t="str">
        <f t="shared" si="43"/>
        <v/>
      </c>
      <c r="S168" s="33" t="str">
        <f t="shared" si="43"/>
        <v/>
      </c>
      <c r="U168" s="14"/>
      <c r="V168" s="21"/>
      <c r="W168" s="22"/>
      <c r="X168" s="33" t="str">
        <f t="shared" si="44"/>
        <v/>
      </c>
      <c r="Y168" s="33" t="str">
        <f t="shared" si="44"/>
        <v/>
      </c>
      <c r="Z168" s="33" t="str">
        <f t="shared" si="44"/>
        <v/>
      </c>
      <c r="AA168" s="33" t="str">
        <f t="shared" si="44"/>
        <v/>
      </c>
      <c r="AB168" s="33" t="str">
        <f t="shared" si="44"/>
        <v/>
      </c>
      <c r="AC168" s="33" t="str">
        <f t="shared" si="44"/>
        <v/>
      </c>
    </row>
    <row r="169" spans="1:29" ht="14.25" hidden="1" customHeight="1">
      <c r="A169" s="14"/>
      <c r="B169" s="21"/>
      <c r="C169" s="22"/>
      <c r="D169" s="33" t="str">
        <f t="shared" ref="D169:I169" si="53">IF(AND(ISNUMBER($B169),ISNUMBER(D$5)),IF(D112=0,0,((D112/D$120)*(LN(D112/D$120)))),"")</f>
        <v/>
      </c>
      <c r="E169" s="33" t="str">
        <f t="shared" si="53"/>
        <v/>
      </c>
      <c r="F169" s="33" t="str">
        <f t="shared" si="53"/>
        <v/>
      </c>
      <c r="G169" s="33" t="str">
        <f t="shared" si="53"/>
        <v/>
      </c>
      <c r="H169" s="33" t="str">
        <f t="shared" si="53"/>
        <v/>
      </c>
      <c r="I169" s="33" t="str">
        <f t="shared" si="53"/>
        <v/>
      </c>
      <c r="K169" s="14"/>
      <c r="L169" s="21"/>
      <c r="M169" s="22"/>
      <c r="N169" s="33" t="str">
        <f t="shared" si="43"/>
        <v/>
      </c>
      <c r="O169" s="33" t="str">
        <f t="shared" si="43"/>
        <v/>
      </c>
      <c r="P169" s="33" t="str">
        <f t="shared" si="43"/>
        <v/>
      </c>
      <c r="Q169" s="33" t="str">
        <f t="shared" si="43"/>
        <v/>
      </c>
      <c r="R169" s="33" t="str">
        <f t="shared" si="43"/>
        <v/>
      </c>
      <c r="S169" s="33" t="str">
        <f t="shared" si="43"/>
        <v/>
      </c>
      <c r="U169" s="14"/>
      <c r="V169" s="21"/>
      <c r="W169" s="22"/>
      <c r="X169" s="33" t="str">
        <f t="shared" si="44"/>
        <v/>
      </c>
      <c r="Y169" s="33" t="str">
        <f t="shared" si="44"/>
        <v/>
      </c>
      <c r="Z169" s="33" t="str">
        <f t="shared" si="44"/>
        <v/>
      </c>
      <c r="AA169" s="33" t="str">
        <f t="shared" si="44"/>
        <v/>
      </c>
      <c r="AB169" s="33" t="str">
        <f t="shared" si="44"/>
        <v/>
      </c>
      <c r="AC169" s="33" t="str">
        <f t="shared" si="44"/>
        <v/>
      </c>
    </row>
    <row r="170" spans="1:29" ht="14.25" hidden="1" customHeight="1">
      <c r="A170" s="14"/>
      <c r="B170" s="21"/>
      <c r="C170" s="22"/>
      <c r="D170" s="33" t="str">
        <f t="shared" ref="D170:I170" si="54">IF(AND(ISNUMBER($B170),ISNUMBER(D$5)),IF(D113=0,0,((D113/D$120)*(LN(D113/D$120)))),"")</f>
        <v/>
      </c>
      <c r="E170" s="33" t="str">
        <f t="shared" si="54"/>
        <v/>
      </c>
      <c r="F170" s="33" t="str">
        <f t="shared" si="54"/>
        <v/>
      </c>
      <c r="G170" s="33" t="str">
        <f t="shared" si="54"/>
        <v/>
      </c>
      <c r="H170" s="33" t="str">
        <f t="shared" si="54"/>
        <v/>
      </c>
      <c r="I170" s="33" t="str">
        <f t="shared" si="54"/>
        <v/>
      </c>
      <c r="K170" s="14"/>
      <c r="L170" s="21"/>
      <c r="M170" s="22"/>
      <c r="N170" s="33" t="str">
        <f t="shared" ref="N170:S176" si="55">IF(AND(ISNUMBER($L170),ISNUMBER(N$5)),IF(N113=0,0,((N113/N$120)*(LN(N113/N$120)))),"")</f>
        <v/>
      </c>
      <c r="O170" s="33" t="str">
        <f t="shared" si="55"/>
        <v/>
      </c>
      <c r="P170" s="33" t="str">
        <f t="shared" si="55"/>
        <v/>
      </c>
      <c r="Q170" s="33" t="str">
        <f t="shared" si="55"/>
        <v/>
      </c>
      <c r="R170" s="33" t="str">
        <f t="shared" si="55"/>
        <v/>
      </c>
      <c r="S170" s="33" t="str">
        <f t="shared" si="55"/>
        <v/>
      </c>
      <c r="U170" s="14"/>
      <c r="V170" s="21"/>
      <c r="W170" s="22"/>
      <c r="X170" s="33" t="str">
        <f t="shared" ref="X170:AC176" si="56">IF(AND(ISNUMBER($V170),ISNUMBER(X$5)),IF(X113=0,0,((X113/X$120)*(LN(X113/X$120)))),"")</f>
        <v/>
      </c>
      <c r="Y170" s="33" t="str">
        <f t="shared" si="56"/>
        <v/>
      </c>
      <c r="Z170" s="33" t="str">
        <f t="shared" si="56"/>
        <v/>
      </c>
      <c r="AA170" s="33" t="str">
        <f t="shared" si="56"/>
        <v/>
      </c>
      <c r="AB170" s="33" t="str">
        <f t="shared" si="56"/>
        <v/>
      </c>
      <c r="AC170" s="33" t="str">
        <f t="shared" si="56"/>
        <v/>
      </c>
    </row>
    <row r="171" spans="1:29" ht="14.25" hidden="1" customHeight="1">
      <c r="A171" s="14"/>
      <c r="B171" s="21"/>
      <c r="C171" s="22"/>
      <c r="D171" s="33" t="str">
        <f t="shared" ref="D171:I171" si="57">IF(AND(ISNUMBER($B171),ISNUMBER(D$5)),IF(D114=0,0,((D114/D$120)*(LN(D114/D$120)))),"")</f>
        <v/>
      </c>
      <c r="E171" s="33" t="str">
        <f t="shared" si="57"/>
        <v/>
      </c>
      <c r="F171" s="33" t="str">
        <f t="shared" si="57"/>
        <v/>
      </c>
      <c r="G171" s="33" t="str">
        <f t="shared" si="57"/>
        <v/>
      </c>
      <c r="H171" s="33" t="str">
        <f t="shared" si="57"/>
        <v/>
      </c>
      <c r="I171" s="33" t="str">
        <f t="shared" si="57"/>
        <v/>
      </c>
      <c r="K171" s="14"/>
      <c r="L171" s="21"/>
      <c r="M171" s="22"/>
      <c r="N171" s="33" t="str">
        <f t="shared" si="55"/>
        <v/>
      </c>
      <c r="O171" s="33" t="str">
        <f t="shared" si="55"/>
        <v/>
      </c>
      <c r="P171" s="33" t="str">
        <f t="shared" si="55"/>
        <v/>
      </c>
      <c r="Q171" s="33" t="str">
        <f t="shared" si="55"/>
        <v/>
      </c>
      <c r="R171" s="33" t="str">
        <f t="shared" si="55"/>
        <v/>
      </c>
      <c r="S171" s="33" t="str">
        <f t="shared" si="55"/>
        <v/>
      </c>
      <c r="U171" s="14"/>
      <c r="V171" s="21"/>
      <c r="W171" s="22"/>
      <c r="X171" s="33" t="str">
        <f t="shared" si="56"/>
        <v/>
      </c>
      <c r="Y171" s="33" t="str">
        <f t="shared" si="56"/>
        <v/>
      </c>
      <c r="Z171" s="33" t="str">
        <f t="shared" si="56"/>
        <v/>
      </c>
      <c r="AA171" s="33" t="str">
        <f t="shared" si="56"/>
        <v/>
      </c>
      <c r="AB171" s="33" t="str">
        <f t="shared" si="56"/>
        <v/>
      </c>
      <c r="AC171" s="33" t="str">
        <f t="shared" si="56"/>
        <v/>
      </c>
    </row>
    <row r="172" spans="1:29" ht="14.25" hidden="1" customHeight="1">
      <c r="A172" s="14"/>
      <c r="B172" s="21"/>
      <c r="C172" s="22"/>
      <c r="D172" s="33" t="str">
        <f t="shared" ref="D172:I172" si="58">IF(AND(ISNUMBER($B172),ISNUMBER(D$5)),IF(D115=0,0,((D115/D$120)*(LN(D115/D$120)))),"")</f>
        <v/>
      </c>
      <c r="E172" s="33" t="str">
        <f t="shared" si="58"/>
        <v/>
      </c>
      <c r="F172" s="33" t="str">
        <f t="shared" si="58"/>
        <v/>
      </c>
      <c r="G172" s="33" t="str">
        <f t="shared" si="58"/>
        <v/>
      </c>
      <c r="H172" s="33" t="str">
        <f t="shared" si="58"/>
        <v/>
      </c>
      <c r="I172" s="33" t="str">
        <f t="shared" si="58"/>
        <v/>
      </c>
      <c r="K172" s="14"/>
      <c r="L172" s="21"/>
      <c r="M172" s="22"/>
      <c r="N172" s="33" t="str">
        <f t="shared" si="55"/>
        <v/>
      </c>
      <c r="O172" s="33" t="str">
        <f t="shared" si="55"/>
        <v/>
      </c>
      <c r="P172" s="33" t="str">
        <f t="shared" si="55"/>
        <v/>
      </c>
      <c r="Q172" s="33" t="str">
        <f t="shared" si="55"/>
        <v/>
      </c>
      <c r="R172" s="33" t="str">
        <f t="shared" si="55"/>
        <v/>
      </c>
      <c r="S172" s="33" t="str">
        <f t="shared" si="55"/>
        <v/>
      </c>
      <c r="U172" s="14"/>
      <c r="V172" s="21"/>
      <c r="W172" s="22"/>
      <c r="X172" s="33" t="str">
        <f t="shared" si="56"/>
        <v/>
      </c>
      <c r="Y172" s="33" t="str">
        <f t="shared" si="56"/>
        <v/>
      </c>
      <c r="Z172" s="33" t="str">
        <f t="shared" si="56"/>
        <v/>
      </c>
      <c r="AA172" s="33" t="str">
        <f t="shared" si="56"/>
        <v/>
      </c>
      <c r="AB172" s="33" t="str">
        <f t="shared" si="56"/>
        <v/>
      </c>
      <c r="AC172" s="33" t="str">
        <f t="shared" si="56"/>
        <v/>
      </c>
    </row>
    <row r="173" spans="1:29" ht="14.25" hidden="1" customHeight="1">
      <c r="A173" s="14"/>
      <c r="B173" s="21"/>
      <c r="C173" s="22"/>
      <c r="D173" s="33" t="str">
        <f t="shared" ref="D173:I173" si="59">IF(AND(ISNUMBER($B173),ISNUMBER(D$5)),IF(D116=0,0,((D116/D$120)*(LN(D116/D$120)))),"")</f>
        <v/>
      </c>
      <c r="E173" s="33" t="str">
        <f t="shared" si="59"/>
        <v/>
      </c>
      <c r="F173" s="33" t="str">
        <f t="shared" si="59"/>
        <v/>
      </c>
      <c r="G173" s="33" t="str">
        <f t="shared" si="59"/>
        <v/>
      </c>
      <c r="H173" s="33" t="str">
        <f t="shared" si="59"/>
        <v/>
      </c>
      <c r="I173" s="33" t="str">
        <f t="shared" si="59"/>
        <v/>
      </c>
      <c r="K173" s="14"/>
      <c r="L173" s="21"/>
      <c r="M173" s="22"/>
      <c r="N173" s="33" t="str">
        <f t="shared" si="55"/>
        <v/>
      </c>
      <c r="O173" s="33" t="str">
        <f t="shared" si="55"/>
        <v/>
      </c>
      <c r="P173" s="33" t="str">
        <f t="shared" si="55"/>
        <v/>
      </c>
      <c r="Q173" s="33" t="str">
        <f t="shared" si="55"/>
        <v/>
      </c>
      <c r="R173" s="33" t="str">
        <f t="shared" si="55"/>
        <v/>
      </c>
      <c r="S173" s="33" t="str">
        <f t="shared" si="55"/>
        <v/>
      </c>
      <c r="U173" s="14"/>
      <c r="V173" s="21"/>
      <c r="W173" s="22"/>
      <c r="X173" s="33" t="str">
        <f t="shared" si="56"/>
        <v/>
      </c>
      <c r="Y173" s="33" t="str">
        <f t="shared" si="56"/>
        <v/>
      </c>
      <c r="Z173" s="33" t="str">
        <f t="shared" si="56"/>
        <v/>
      </c>
      <c r="AA173" s="33" t="str">
        <f t="shared" si="56"/>
        <v/>
      </c>
      <c r="AB173" s="33" t="str">
        <f t="shared" si="56"/>
        <v/>
      </c>
      <c r="AC173" s="33" t="str">
        <f t="shared" si="56"/>
        <v/>
      </c>
    </row>
    <row r="174" spans="1:29" ht="14.25" hidden="1" customHeight="1">
      <c r="A174" s="14"/>
      <c r="B174" s="21"/>
      <c r="C174" s="22"/>
      <c r="D174" s="33" t="str">
        <f t="shared" ref="D174:I174" si="60">IF(AND(ISNUMBER($B174),ISNUMBER(D$5)),IF(D117=0,0,((D117/D$120)*(LN(D117/D$120)))),"")</f>
        <v/>
      </c>
      <c r="E174" s="33" t="str">
        <f t="shared" si="60"/>
        <v/>
      </c>
      <c r="F174" s="33" t="str">
        <f t="shared" si="60"/>
        <v/>
      </c>
      <c r="G174" s="33" t="str">
        <f t="shared" si="60"/>
        <v/>
      </c>
      <c r="H174" s="33" t="str">
        <f t="shared" si="60"/>
        <v/>
      </c>
      <c r="I174" s="33" t="str">
        <f t="shared" si="60"/>
        <v/>
      </c>
      <c r="K174" s="14"/>
      <c r="L174" s="21"/>
      <c r="M174" s="22"/>
      <c r="N174" s="33" t="str">
        <f t="shared" si="55"/>
        <v/>
      </c>
      <c r="O174" s="33" t="str">
        <f t="shared" si="55"/>
        <v/>
      </c>
      <c r="P174" s="33" t="str">
        <f t="shared" si="55"/>
        <v/>
      </c>
      <c r="Q174" s="33" t="str">
        <f t="shared" si="55"/>
        <v/>
      </c>
      <c r="R174" s="33" t="str">
        <f t="shared" si="55"/>
        <v/>
      </c>
      <c r="S174" s="33" t="str">
        <f t="shared" si="55"/>
        <v/>
      </c>
      <c r="U174" s="14"/>
      <c r="V174" s="21"/>
      <c r="W174" s="22"/>
      <c r="X174" s="33" t="str">
        <f t="shared" si="56"/>
        <v/>
      </c>
      <c r="Y174" s="33" t="str">
        <f t="shared" si="56"/>
        <v/>
      </c>
      <c r="Z174" s="33" t="str">
        <f t="shared" si="56"/>
        <v/>
      </c>
      <c r="AA174" s="33" t="str">
        <f t="shared" si="56"/>
        <v/>
      </c>
      <c r="AB174" s="33" t="str">
        <f t="shared" si="56"/>
        <v/>
      </c>
      <c r="AC174" s="33" t="str">
        <f t="shared" si="56"/>
        <v/>
      </c>
    </row>
    <row r="175" spans="1:29" ht="14.25" hidden="1" customHeight="1">
      <c r="A175" s="14"/>
      <c r="B175" s="21"/>
      <c r="C175" s="22"/>
      <c r="D175" s="33" t="str">
        <f t="shared" ref="D175:I175" si="61">IF(AND(ISNUMBER($B175),ISNUMBER(D$5)),IF(D118=0,0,((D118/D$120)*(LN(D118/D$120)))),"")</f>
        <v/>
      </c>
      <c r="E175" s="33" t="str">
        <f t="shared" si="61"/>
        <v/>
      </c>
      <c r="F175" s="33" t="str">
        <f t="shared" si="61"/>
        <v/>
      </c>
      <c r="G175" s="33" t="str">
        <f t="shared" si="61"/>
        <v/>
      </c>
      <c r="H175" s="33" t="str">
        <f t="shared" si="61"/>
        <v/>
      </c>
      <c r="I175" s="33" t="str">
        <f t="shared" si="61"/>
        <v/>
      </c>
      <c r="K175" s="14"/>
      <c r="L175" s="21"/>
      <c r="M175" s="22"/>
      <c r="N175" s="33" t="str">
        <f t="shared" si="55"/>
        <v/>
      </c>
      <c r="O175" s="33" t="str">
        <f t="shared" si="55"/>
        <v/>
      </c>
      <c r="P175" s="33" t="str">
        <f t="shared" si="55"/>
        <v/>
      </c>
      <c r="Q175" s="33" t="str">
        <f t="shared" si="55"/>
        <v/>
      </c>
      <c r="R175" s="33" t="str">
        <f t="shared" si="55"/>
        <v/>
      </c>
      <c r="S175" s="33" t="str">
        <f t="shared" si="55"/>
        <v/>
      </c>
      <c r="U175" s="14"/>
      <c r="V175" s="21"/>
      <c r="W175" s="22"/>
      <c r="X175" s="33" t="str">
        <f t="shared" si="56"/>
        <v/>
      </c>
      <c r="Y175" s="33" t="str">
        <f t="shared" si="56"/>
        <v/>
      </c>
      <c r="Z175" s="33" t="str">
        <f t="shared" si="56"/>
        <v/>
      </c>
      <c r="AA175" s="33" t="str">
        <f t="shared" si="56"/>
        <v/>
      </c>
      <c r="AB175" s="33" t="str">
        <f t="shared" si="56"/>
        <v/>
      </c>
      <c r="AC175" s="33" t="str">
        <f t="shared" si="56"/>
        <v/>
      </c>
    </row>
    <row r="176" spans="1:29" ht="14.25" hidden="1" customHeight="1">
      <c r="A176" s="14"/>
      <c r="B176" s="21"/>
      <c r="C176" s="22"/>
      <c r="D176" s="33" t="str">
        <f t="shared" ref="D176:I176" si="62">IF(AND(ISNUMBER($B176),ISNUMBER(D$5)),IF(D119=0,0,((D119/D$120)*(LN(D119/D$120)))),"")</f>
        <v/>
      </c>
      <c r="E176" s="33" t="str">
        <f t="shared" si="62"/>
        <v/>
      </c>
      <c r="F176" s="33" t="str">
        <f t="shared" si="62"/>
        <v/>
      </c>
      <c r="G176" s="33" t="str">
        <f t="shared" si="62"/>
        <v/>
      </c>
      <c r="H176" s="33" t="str">
        <f t="shared" si="62"/>
        <v/>
      </c>
      <c r="I176" s="33" t="str">
        <f t="shared" si="62"/>
        <v/>
      </c>
      <c r="K176" s="14"/>
      <c r="L176" s="21"/>
      <c r="M176" s="22"/>
      <c r="N176" s="33" t="str">
        <f t="shared" si="55"/>
        <v/>
      </c>
      <c r="O176" s="33" t="str">
        <f t="shared" si="55"/>
        <v/>
      </c>
      <c r="P176" s="33" t="str">
        <f t="shared" si="55"/>
        <v/>
      </c>
      <c r="Q176" s="33" t="str">
        <f t="shared" si="55"/>
        <v/>
      </c>
      <c r="R176" s="33" t="str">
        <f t="shared" si="55"/>
        <v/>
      </c>
      <c r="S176" s="33" t="str">
        <f t="shared" si="55"/>
        <v/>
      </c>
      <c r="U176" s="14"/>
      <c r="V176" s="21"/>
      <c r="W176" s="22"/>
      <c r="X176" s="33" t="str">
        <f t="shared" si="56"/>
        <v/>
      </c>
      <c r="Y176" s="33" t="str">
        <f t="shared" si="56"/>
        <v/>
      </c>
      <c r="Z176" s="33" t="str">
        <f t="shared" si="56"/>
        <v/>
      </c>
      <c r="AA176" s="33" t="str">
        <f t="shared" si="56"/>
        <v/>
      </c>
      <c r="AB176" s="33" t="str">
        <f t="shared" si="56"/>
        <v/>
      </c>
      <c r="AC176" s="33" t="str">
        <f t="shared" si="56"/>
        <v/>
      </c>
    </row>
    <row r="177" spans="1:29" ht="14.25" customHeight="1">
      <c r="A177" s="23"/>
      <c r="B177" s="324" t="s">
        <v>145</v>
      </c>
      <c r="C177" s="324"/>
      <c r="D177" s="33">
        <f ca="1">SUM(D123:D149)</f>
        <v>-2.9527307151920987</v>
      </c>
      <c r="E177" s="33">
        <f t="shared" ref="E177:I177" ca="1" si="63">SUM(E123:E149)</f>
        <v>-2.9489102898193194</v>
      </c>
      <c r="F177" s="33">
        <f t="shared" ca="1" si="63"/>
        <v>-3.0012480155187973</v>
      </c>
      <c r="G177" s="33">
        <f t="shared" ca="1" si="63"/>
        <v>-2.9029637791356486</v>
      </c>
      <c r="H177" s="33">
        <f t="shared" ca="1" si="63"/>
        <v>-3.0181425871613277</v>
      </c>
      <c r="I177" s="33">
        <f t="shared" ca="1" si="63"/>
        <v>-3.0029206938967663</v>
      </c>
      <c r="K177" s="23"/>
      <c r="L177" s="324" t="s">
        <v>145</v>
      </c>
      <c r="M177" s="324"/>
      <c r="N177" s="33">
        <f t="shared" ref="N177:S177" ca="1" si="64">SUM(N123:N149)</f>
        <v>-2.9040850695373193</v>
      </c>
      <c r="O177" s="33">
        <f t="shared" ca="1" si="64"/>
        <v>-2.9246113337622424</v>
      </c>
      <c r="P177" s="33">
        <f t="shared" ca="1" si="64"/>
        <v>-2.9926566635920806</v>
      </c>
      <c r="Q177" s="33">
        <f t="shared" ca="1" si="64"/>
        <v>-2.9030337948835285</v>
      </c>
      <c r="R177" s="33">
        <f t="shared" ca="1" si="64"/>
        <v>-3.0101398750777753</v>
      </c>
      <c r="S177" s="33">
        <f t="shared" ca="1" si="64"/>
        <v>-2.991100149437131</v>
      </c>
      <c r="U177" s="23"/>
      <c r="V177" s="324" t="s">
        <v>145</v>
      </c>
      <c r="W177" s="324"/>
      <c r="X177" s="33">
        <f t="shared" ref="X177:AC177" ca="1" si="65">SUM(X123:X149)</f>
        <v>-2.9364716728380613</v>
      </c>
      <c r="Y177" s="33">
        <f t="shared" ca="1" si="65"/>
        <v>-2.9403038031501065</v>
      </c>
      <c r="Z177" s="33">
        <f t="shared" ca="1" si="65"/>
        <v>-3.0008135424162825</v>
      </c>
      <c r="AA177" s="33">
        <f t="shared" ca="1" si="65"/>
        <v>-2.9036264006415737</v>
      </c>
      <c r="AB177" s="33">
        <f t="shared" ca="1" si="65"/>
        <v>-3.0149400767954222</v>
      </c>
      <c r="AC177" s="33">
        <f t="shared" ca="1" si="65"/>
        <v>-2.9977000180468494</v>
      </c>
    </row>
    <row r="178" spans="1:29" ht="14.25" hidden="1" customHeight="1">
      <c r="A178" s="24"/>
      <c r="K178" s="24"/>
      <c r="U178" s="24"/>
    </row>
    <row r="179" spans="1:29" ht="14.25" hidden="1" customHeight="1">
      <c r="A179" s="21"/>
      <c r="K179" s="21"/>
      <c r="U179" s="21"/>
    </row>
    <row r="180" spans="1:29" ht="14.25" hidden="1" customHeight="1">
      <c r="A180" s="21"/>
      <c r="K180" s="21"/>
      <c r="U180" s="21"/>
    </row>
    <row r="181" spans="1:29" ht="14.25" hidden="1" customHeight="1" thickBot="1">
      <c r="A181" s="25"/>
      <c r="K181" s="25"/>
      <c r="U181" s="25"/>
    </row>
    <row r="182" spans="1:29" ht="14.25" hidden="1" customHeight="1"/>
    <row r="183" spans="1:29" ht="14.25" hidden="1" customHeight="1"/>
    <row r="184" spans="1:29" ht="14.25" hidden="1" customHeight="1"/>
    <row r="185" spans="1:29" ht="14.25" hidden="1" customHeight="1"/>
    <row r="186" spans="1:29" ht="14.25" hidden="1" customHeight="1"/>
    <row r="187" spans="1:29" ht="14.25" hidden="1" customHeight="1"/>
    <row r="188" spans="1:29" ht="14.25" hidden="1" customHeight="1"/>
    <row r="189" spans="1:29" ht="14.25" hidden="1" customHeight="1"/>
    <row r="190" spans="1:29" ht="14.25" hidden="1" customHeight="1"/>
    <row r="191" spans="1:29" ht="14.25" hidden="1" customHeight="1"/>
    <row r="192" spans="1:29" ht="14.25" hidden="1" customHeight="1"/>
    <row r="193" ht="14.25" hidden="1" customHeight="1"/>
    <row r="194" ht="14.25" hidden="1" customHeight="1"/>
    <row r="195" ht="14.25" hidden="1" customHeight="1"/>
    <row r="196" ht="14.25" hidden="1" customHeight="1"/>
    <row r="197" ht="14.25" hidden="1" customHeight="1"/>
    <row r="198" ht="14.25" hidden="1" customHeight="1"/>
    <row r="199" ht="14.25" hidden="1" customHeight="1"/>
    <row r="200" ht="14.25" hidden="1" customHeight="1"/>
    <row r="201" ht="14.25" hidden="1" customHeight="1"/>
    <row r="202" ht="14.25" hidden="1" customHeight="1"/>
    <row r="203" ht="14.25" hidden="1" customHeight="1"/>
    <row r="204" ht="14.25" hidden="1" customHeight="1"/>
    <row r="205" ht="14.25" hidden="1" customHeight="1"/>
    <row r="206" ht="14.25" hidden="1" customHeight="1"/>
    <row r="207" ht="14.25" hidden="1" customHeight="1"/>
    <row r="208" ht="14.25" hidden="1" customHeight="1"/>
    <row r="209" ht="14.25" hidden="1" customHeight="1"/>
    <row r="210" ht="14.25" hidden="1" customHeight="1"/>
    <row r="211" ht="14.25" hidden="1" customHeight="1"/>
    <row r="212" ht="14.25" hidden="1" customHeight="1"/>
    <row r="213" ht="14.25" hidden="1" customHeight="1"/>
    <row r="214" ht="14.25" hidden="1" customHeight="1"/>
    <row r="215" ht="14.25" hidden="1" customHeight="1"/>
    <row r="216" ht="14.25" hidden="1" customHeight="1"/>
    <row r="217" ht="14.25" hidden="1" customHeight="1"/>
    <row r="218" ht="14.25" hidden="1" customHeight="1"/>
    <row r="219" ht="14.25" hidden="1" customHeight="1"/>
    <row r="220" ht="14.25" hidden="1" customHeight="1"/>
    <row r="221" ht="14.25" hidden="1" customHeight="1"/>
    <row r="222" ht="14.25" hidden="1" customHeight="1"/>
    <row r="223" ht="14.25" hidden="1" customHeight="1"/>
    <row r="224" ht="14.25" hidden="1" customHeight="1"/>
    <row r="225" spans="2:29" ht="14.25" hidden="1" customHeight="1"/>
    <row r="226" spans="2:29" ht="14.25" hidden="1" customHeight="1"/>
    <row r="227" spans="2:29" ht="14.25" hidden="1" customHeight="1"/>
    <row r="228" spans="2:29" ht="14.25" hidden="1" customHeight="1"/>
    <row r="229" spans="2:29" ht="14.25" hidden="1" customHeight="1"/>
    <row r="230" spans="2:29" ht="14.25" hidden="1" customHeight="1"/>
    <row r="231" spans="2:29" ht="14.25" hidden="1" customHeight="1"/>
    <row r="232" spans="2:29" ht="14.25" hidden="1" customHeight="1"/>
    <row r="233" spans="2:29" ht="14.25" customHeight="1">
      <c r="B233" s="325" t="s">
        <v>148</v>
      </c>
      <c r="C233" s="325" t="s">
        <v>142</v>
      </c>
      <c r="D233" s="26">
        <f t="shared" ref="D233:I233" ca="1" si="66">IF(ISNUMBER(D$5),-(D177*(1/LN($C$5))),"")</f>
        <v>0.96985020658939125</v>
      </c>
      <c r="E233" s="27">
        <f t="shared" ca="1" si="66"/>
        <v>0.96859535448994805</v>
      </c>
      <c r="F233" s="27">
        <f t="shared" ca="1" si="66"/>
        <v>0.98578613786240166</v>
      </c>
      <c r="G233" s="27">
        <f t="shared" ca="1" si="66"/>
        <v>0.95350382154068591</v>
      </c>
      <c r="H233" s="27">
        <f t="shared" ca="1" si="66"/>
        <v>0.99133530755588029</v>
      </c>
      <c r="I233" s="27">
        <f t="shared" ca="1" si="66"/>
        <v>0.98633554369276888</v>
      </c>
      <c r="L233" s="325" t="s">
        <v>148</v>
      </c>
      <c r="M233" s="325" t="s">
        <v>142</v>
      </c>
      <c r="N233" s="26">
        <f t="shared" ref="N233:S233" ca="1" si="67">IF(ISNUMBER(N$5),-(N177*(1/LN($M$5))),"")</f>
        <v>0.9538721191717946</v>
      </c>
      <c r="O233" s="27">
        <f t="shared" ca="1" si="67"/>
        <v>0.96061415003042472</v>
      </c>
      <c r="P233" s="27">
        <f t="shared" ca="1" si="67"/>
        <v>0.98296423324436877</v>
      </c>
      <c r="Q233" s="27">
        <f t="shared" ca="1" si="67"/>
        <v>0.9535268188249274</v>
      </c>
      <c r="R233" s="27">
        <f t="shared" ca="1" si="67"/>
        <v>0.98870674683831283</v>
      </c>
      <c r="S233" s="27">
        <f t="shared" ca="1" si="67"/>
        <v>0.9824529825681827</v>
      </c>
      <c r="V233" s="325" t="s">
        <v>148</v>
      </c>
      <c r="W233" s="325" t="s">
        <v>142</v>
      </c>
      <c r="X233" s="26">
        <f t="shared" ref="X233:AC233" ca="1" si="68">IF(ISNUMBER(X$5),-(X177*(1/LN($W$5))),"")</f>
        <v>0.9645097820444517</v>
      </c>
      <c r="Y233" s="27">
        <f t="shared" ca="1" si="68"/>
        <v>0.96576847873348337</v>
      </c>
      <c r="Z233" s="27">
        <f t="shared" ca="1" si="68"/>
        <v>0.98564343137512755</v>
      </c>
      <c r="AA233" s="27">
        <f t="shared" ca="1" si="68"/>
        <v>0.95372146536479274</v>
      </c>
      <c r="AB233" s="27">
        <f t="shared" ca="1" si="68"/>
        <v>0.99028341504025141</v>
      </c>
      <c r="AC233" s="27">
        <f t="shared" ca="1" si="68"/>
        <v>0.98462076708766666</v>
      </c>
    </row>
    <row r="234" spans="2:29" ht="14.25" customHeight="1">
      <c r="B234" s="326" t="s">
        <v>149</v>
      </c>
      <c r="C234" s="326"/>
      <c r="D234" s="28" t="str">
        <f t="shared" ref="D234:I234" si="69">D9</f>
        <v>PR</v>
      </c>
      <c r="E234" s="28" t="str">
        <f t="shared" si="69"/>
        <v>DR</v>
      </c>
      <c r="F234" s="28" t="str">
        <f t="shared" si="69"/>
        <v>RR</v>
      </c>
      <c r="G234" s="28" t="str">
        <f t="shared" si="69"/>
        <v>HS</v>
      </c>
      <c r="H234" s="28" t="str">
        <f t="shared" si="69"/>
        <v>CA</v>
      </c>
      <c r="I234" s="28" t="str">
        <f t="shared" si="69"/>
        <v>RE</v>
      </c>
      <c r="L234" s="326" t="s">
        <v>149</v>
      </c>
      <c r="M234" s="326"/>
      <c r="N234" s="28" t="str">
        <f t="shared" ref="N234:S234" si="70">N9</f>
        <v>PR</v>
      </c>
      <c r="O234" s="28" t="str">
        <f t="shared" si="70"/>
        <v>DR</v>
      </c>
      <c r="P234" s="28" t="str">
        <f t="shared" si="70"/>
        <v>RR</v>
      </c>
      <c r="Q234" s="28" t="str">
        <f t="shared" si="70"/>
        <v>HS</v>
      </c>
      <c r="R234" s="28" t="str">
        <f t="shared" si="70"/>
        <v>CA</v>
      </c>
      <c r="S234" s="28" t="str">
        <f t="shared" si="70"/>
        <v>RE</v>
      </c>
      <c r="V234" s="326" t="s">
        <v>149</v>
      </c>
      <c r="W234" s="326"/>
      <c r="X234" s="28" t="str">
        <f t="shared" ref="X234:AC234" si="71">X9</f>
        <v>PR</v>
      </c>
      <c r="Y234" s="28" t="str">
        <f t="shared" si="71"/>
        <v>DR</v>
      </c>
      <c r="Z234" s="28" t="str">
        <f t="shared" si="71"/>
        <v>RR</v>
      </c>
      <c r="AA234" s="28" t="str">
        <f t="shared" si="71"/>
        <v>HS</v>
      </c>
      <c r="AB234" s="28" t="str">
        <f t="shared" si="71"/>
        <v>CA</v>
      </c>
      <c r="AC234" s="28" t="str">
        <f t="shared" si="71"/>
        <v>RE</v>
      </c>
    </row>
    <row r="235" spans="2:29" ht="14.25" customHeight="1">
      <c r="B235" s="325" t="s">
        <v>150</v>
      </c>
      <c r="C235" s="325" t="s">
        <v>150</v>
      </c>
      <c r="D235" s="29">
        <f t="shared" ref="D235:I235" ca="1" si="72">IF(ISNUMBER(D$5),1-D233,"")</f>
        <v>3.014979341060875E-2</v>
      </c>
      <c r="E235" s="30">
        <f t="shared" ca="1" si="72"/>
        <v>3.1404645510051954E-2</v>
      </c>
      <c r="F235" s="30">
        <f t="shared" ca="1" si="72"/>
        <v>1.4213862137598343E-2</v>
      </c>
      <c r="G235" s="30">
        <f t="shared" ca="1" si="72"/>
        <v>4.6496178459314086E-2</v>
      </c>
      <c r="H235" s="30">
        <f t="shared" ca="1" si="72"/>
        <v>8.6646924441197148E-3</v>
      </c>
      <c r="I235" s="30">
        <f t="shared" ca="1" si="72"/>
        <v>1.3664456307231121E-2</v>
      </c>
      <c r="L235" s="325" t="s">
        <v>150</v>
      </c>
      <c r="M235" s="325" t="s">
        <v>150</v>
      </c>
      <c r="N235" s="29">
        <f t="shared" ref="N235:S235" ca="1" si="73">IF(ISNUMBER(N$5),1-N233,"")</f>
        <v>4.6127880828205403E-2</v>
      </c>
      <c r="O235" s="30">
        <f t="shared" ca="1" si="73"/>
        <v>3.9385849969575282E-2</v>
      </c>
      <c r="P235" s="30">
        <f t="shared" ca="1" si="73"/>
        <v>1.7035766755631232E-2</v>
      </c>
      <c r="Q235" s="30">
        <f t="shared" ca="1" si="73"/>
        <v>4.6473181175072598E-2</v>
      </c>
      <c r="R235" s="30">
        <f t="shared" ca="1" si="73"/>
        <v>1.1293253161687167E-2</v>
      </c>
      <c r="S235" s="30">
        <f t="shared" ca="1" si="73"/>
        <v>1.7547017431817302E-2</v>
      </c>
      <c r="V235" s="325" t="s">
        <v>150</v>
      </c>
      <c r="W235" s="325" t="s">
        <v>150</v>
      </c>
      <c r="X235" s="29">
        <f t="shared" ref="X235:AC235" ca="1" si="74">IF(ISNUMBER(X$5),1-X233,"")</f>
        <v>3.5490217955548298E-2</v>
      </c>
      <c r="Y235" s="30">
        <f t="shared" ca="1" si="74"/>
        <v>3.4231521266516629E-2</v>
      </c>
      <c r="Z235" s="30">
        <f t="shared" ca="1" si="74"/>
        <v>1.4356568624872446E-2</v>
      </c>
      <c r="AA235" s="30">
        <f t="shared" ca="1" si="74"/>
        <v>4.6278534635207258E-2</v>
      </c>
      <c r="AB235" s="30">
        <f t="shared" ca="1" si="74"/>
        <v>9.7165849597485865E-3</v>
      </c>
      <c r="AC235" s="30">
        <f t="shared" ca="1" si="74"/>
        <v>1.537923291233334E-2</v>
      </c>
    </row>
    <row r="236" spans="2:29" ht="14.25" customHeight="1" thickBot="1">
      <c r="B236" s="325" t="s">
        <v>151</v>
      </c>
      <c r="C236" s="325" t="s">
        <v>142</v>
      </c>
      <c r="D236" s="31">
        <f t="shared" ref="D236:I236" ca="1" si="75">IF(ISNUMBER(D$5),D235/SUM($D$235:$I$235),"")</f>
        <v>0.20851398344147185</v>
      </c>
      <c r="E236" s="32">
        <f t="shared" ca="1" si="75"/>
        <v>0.2171924578283885</v>
      </c>
      <c r="F236" s="32">
        <f t="shared" ca="1" si="75"/>
        <v>9.8302133418787602E-2</v>
      </c>
      <c r="G236" s="32">
        <f t="shared" ca="1" si="75"/>
        <v>0.32156450471550296</v>
      </c>
      <c r="H236" s="32">
        <f t="shared" ca="1" si="75"/>
        <v>5.9924441677364902E-2</v>
      </c>
      <c r="I236" s="32">
        <f t="shared" ca="1" si="75"/>
        <v>9.4502478918484151E-2</v>
      </c>
      <c r="L236" s="325" t="s">
        <v>151</v>
      </c>
      <c r="M236" s="325" t="s">
        <v>142</v>
      </c>
      <c r="N236" s="31">
        <f t="shared" ref="N236:S236" ca="1" si="76">IF(ISNUMBER(N$5),N235/SUM($N$235:$S$235),"")</f>
        <v>0.25934508004080797</v>
      </c>
      <c r="O236" s="32">
        <f t="shared" ca="1" si="76"/>
        <v>0.22143931673073891</v>
      </c>
      <c r="P236" s="32">
        <f t="shared" ca="1" si="76"/>
        <v>9.5780300622312464E-2</v>
      </c>
      <c r="Q236" s="32">
        <f t="shared" ca="1" si="76"/>
        <v>0.26128646439422992</v>
      </c>
      <c r="R236" s="32">
        <f t="shared" ca="1" si="76"/>
        <v>6.34941296359747E-2</v>
      </c>
      <c r="S236" s="32">
        <f t="shared" ca="1" si="76"/>
        <v>9.8654708575936029E-2</v>
      </c>
      <c r="V236" s="325" t="s">
        <v>151</v>
      </c>
      <c r="W236" s="325" t="s">
        <v>142</v>
      </c>
      <c r="X236" s="31">
        <f t="shared" ref="X236:AC236" ca="1" si="77">IF(ISNUMBER(X$5),X235/SUM($X$235:$AC$235),"")</f>
        <v>0.22830241614828281</v>
      </c>
      <c r="Y236" s="32">
        <f t="shared" ca="1" si="77"/>
        <v>0.2202054386751183</v>
      </c>
      <c r="Z236" s="32">
        <f t="shared" ca="1" si="77"/>
        <v>9.2353315743573944E-2</v>
      </c>
      <c r="AA236" s="32">
        <f t="shared" ca="1" si="77"/>
        <v>0.29770178605984216</v>
      </c>
      <c r="AB236" s="32">
        <f t="shared" ca="1" si="77"/>
        <v>6.2505105654722268E-2</v>
      </c>
      <c r="AC236" s="32">
        <f t="shared" ca="1" si="77"/>
        <v>9.8931937718460525E-2</v>
      </c>
    </row>
  </sheetData>
  <sheetProtection algorithmName="SHA-512" hashValue="YdSCu9KNsEUnHnriFYlWnBQB2KB9ADcj7eEn9YGck74tJU0cAfLfAb3bWig/hYR1OjldbuBtDPQ9ZfnODq/gVw==" saltValue="7zl+q5Ib3yxloSTLWoJIrw==" spinCount="100000" sheet="1" formatCells="0" formatColumns="0" formatRows="0" insertColumns="0" insertRows="0" insertHyperlinks="0" deleteColumns="0" deleteRows="0" sort="0" autoFilter="0" pivotTables="0"/>
  <mergeCells count="55">
    <mergeCell ref="A2:I2"/>
    <mergeCell ref="K2:S2"/>
    <mergeCell ref="U2:AC2"/>
    <mergeCell ref="A1:AC1"/>
    <mergeCell ref="U122:U125"/>
    <mergeCell ref="U3:AC3"/>
    <mergeCell ref="U4:V4"/>
    <mergeCell ref="W4:AC4"/>
    <mergeCell ref="U5:V5"/>
    <mergeCell ref="U6:V6"/>
    <mergeCell ref="V8:AC8"/>
    <mergeCell ref="U9:U12"/>
    <mergeCell ref="V64:AC64"/>
    <mergeCell ref="U65:U68"/>
    <mergeCell ref="V120:W120"/>
    <mergeCell ref="V121:AC121"/>
    <mergeCell ref="V177:W177"/>
    <mergeCell ref="V233:W233"/>
    <mergeCell ref="V234:W234"/>
    <mergeCell ref="V235:W235"/>
    <mergeCell ref="V236:W236"/>
    <mergeCell ref="K122:K125"/>
    <mergeCell ref="K3:S3"/>
    <mergeCell ref="K4:L4"/>
    <mergeCell ref="M4:S4"/>
    <mergeCell ref="K5:L5"/>
    <mergeCell ref="K6:L6"/>
    <mergeCell ref="L8:S8"/>
    <mergeCell ref="K9:K12"/>
    <mergeCell ref="L64:S64"/>
    <mergeCell ref="K65:K68"/>
    <mergeCell ref="L120:M120"/>
    <mergeCell ref="L121:S121"/>
    <mergeCell ref="L177:M177"/>
    <mergeCell ref="L233:M233"/>
    <mergeCell ref="L234:M234"/>
    <mergeCell ref="L235:M235"/>
    <mergeCell ref="L236:M236"/>
    <mergeCell ref="B177:C177"/>
    <mergeCell ref="B233:C233"/>
    <mergeCell ref="B234:C234"/>
    <mergeCell ref="B235:C235"/>
    <mergeCell ref="B236:C236"/>
    <mergeCell ref="A122:A125"/>
    <mergeCell ref="A3:I3"/>
    <mergeCell ref="A4:B4"/>
    <mergeCell ref="C4:I4"/>
    <mergeCell ref="A5:B5"/>
    <mergeCell ref="A6:B6"/>
    <mergeCell ref="B8:I8"/>
    <mergeCell ref="A9:A12"/>
    <mergeCell ref="B64:I64"/>
    <mergeCell ref="A65:A68"/>
    <mergeCell ref="B120:C120"/>
    <mergeCell ref="B121:I121"/>
  </mergeCells>
  <conditionalFormatting sqref="A178:A181">
    <cfRule type="notContainsBlanks" dxfId="127" priority="26">
      <formula>LEN(TRIM(A178))&gt;0</formula>
    </cfRule>
  </conditionalFormatting>
  <conditionalFormatting sqref="B10:B63">
    <cfRule type="notContainsBlanks" dxfId="126" priority="36">
      <formula>LEN(TRIM(B10))&gt;0</formula>
    </cfRule>
  </conditionalFormatting>
  <conditionalFormatting sqref="B120">
    <cfRule type="notContainsBlanks" dxfId="125" priority="30">
      <formula>LEN(TRIM(B120))&gt;0</formula>
    </cfRule>
  </conditionalFormatting>
  <conditionalFormatting sqref="B123:B177">
    <cfRule type="notContainsBlanks" dxfId="124" priority="24">
      <formula>LEN(TRIM(B123))&gt;0</formula>
    </cfRule>
  </conditionalFormatting>
  <conditionalFormatting sqref="B233 B235:B236 L235:L236 V235:V236">
    <cfRule type="expression" dxfId="123" priority="25">
      <formula>#REF!&lt;$C$5+1</formula>
    </cfRule>
  </conditionalFormatting>
  <conditionalFormatting sqref="C144:C176">
    <cfRule type="expression" dxfId="122" priority="33">
      <formula>B144&lt;$C$5+1</formula>
    </cfRule>
  </conditionalFormatting>
  <conditionalFormatting sqref="C233">
    <cfRule type="expression" dxfId="121" priority="38">
      <formula>A180&lt;$C$5+1</formula>
    </cfRule>
  </conditionalFormatting>
  <conditionalFormatting sqref="C235:C236">
    <cfRule type="expression" dxfId="120" priority="28">
      <formula>A181&lt;$C$5+1</formula>
    </cfRule>
  </conditionalFormatting>
  <conditionalFormatting sqref="C9:I9">
    <cfRule type="notContainsBlanks" dxfId="119" priority="34">
      <formula>LEN(TRIM(C9))&gt;0</formula>
    </cfRule>
  </conditionalFormatting>
  <conditionalFormatting sqref="C65:I65">
    <cfRule type="notContainsBlanks" dxfId="118" priority="31">
      <formula>LEN(TRIM(C65))&gt;0</formula>
    </cfRule>
  </conditionalFormatting>
  <conditionalFormatting sqref="C122:I122">
    <cfRule type="notContainsBlanks" dxfId="117" priority="27">
      <formula>LEN(TRIM(C122))&gt;0</formula>
    </cfRule>
  </conditionalFormatting>
  <conditionalFormatting sqref="K178:K181">
    <cfRule type="notContainsBlanks" dxfId="116" priority="14">
      <formula>LEN(TRIM(K178))&gt;0</formula>
    </cfRule>
  </conditionalFormatting>
  <conditionalFormatting sqref="L10:L63">
    <cfRule type="notContainsBlanks" dxfId="115" priority="21">
      <formula>LEN(TRIM(L10))&gt;0</formula>
    </cfRule>
  </conditionalFormatting>
  <conditionalFormatting sqref="L120">
    <cfRule type="notContainsBlanks" dxfId="114" priority="17">
      <formula>LEN(TRIM(L120))&gt;0</formula>
    </cfRule>
  </conditionalFormatting>
  <conditionalFormatting sqref="L123:L177">
    <cfRule type="notContainsBlanks" dxfId="113" priority="12">
      <formula>LEN(TRIM(L123))&gt;0</formula>
    </cfRule>
  </conditionalFormatting>
  <conditionalFormatting sqref="L233">
    <cfRule type="expression" dxfId="112" priority="13">
      <formula>#REF!&lt;$C$5+1</formula>
    </cfRule>
  </conditionalFormatting>
  <conditionalFormatting sqref="M144:M176">
    <cfRule type="expression" dxfId="111" priority="19">
      <formula>L144&lt;$C$5+1</formula>
    </cfRule>
  </conditionalFormatting>
  <conditionalFormatting sqref="M233">
    <cfRule type="expression" dxfId="110" priority="22">
      <formula>K180&lt;$C$5+1</formula>
    </cfRule>
  </conditionalFormatting>
  <conditionalFormatting sqref="M235:M236">
    <cfRule type="expression" dxfId="109" priority="16">
      <formula>K181&lt;$C$5+1</formula>
    </cfRule>
  </conditionalFormatting>
  <conditionalFormatting sqref="M9:S9">
    <cfRule type="notContainsBlanks" dxfId="108" priority="20">
      <formula>LEN(TRIM(M9))&gt;0</formula>
    </cfRule>
  </conditionalFormatting>
  <conditionalFormatting sqref="M65:S65">
    <cfRule type="notContainsBlanks" dxfId="107" priority="18">
      <formula>LEN(TRIM(M65))&gt;0</formula>
    </cfRule>
  </conditionalFormatting>
  <conditionalFormatting sqref="M122:S122">
    <cfRule type="notContainsBlanks" dxfId="106" priority="15">
      <formula>LEN(TRIM(M122))&gt;0</formula>
    </cfRule>
  </conditionalFormatting>
  <conditionalFormatting sqref="U178:U181">
    <cfRule type="notContainsBlanks" dxfId="105" priority="3">
      <formula>LEN(TRIM(U178))&gt;0</formula>
    </cfRule>
  </conditionalFormatting>
  <conditionalFormatting sqref="V10:V63">
    <cfRule type="notContainsBlanks" dxfId="104" priority="10">
      <formula>LEN(TRIM(V10))&gt;0</formula>
    </cfRule>
  </conditionalFormatting>
  <conditionalFormatting sqref="V120">
    <cfRule type="notContainsBlanks" dxfId="103" priority="6">
      <formula>LEN(TRIM(V120))&gt;0</formula>
    </cfRule>
  </conditionalFormatting>
  <conditionalFormatting sqref="V123:V177">
    <cfRule type="notContainsBlanks" dxfId="102" priority="1">
      <formula>LEN(TRIM(V123))&gt;0</formula>
    </cfRule>
  </conditionalFormatting>
  <conditionalFormatting sqref="V233">
    <cfRule type="expression" dxfId="101" priority="2">
      <formula>#REF!&lt;$C$5+1</formula>
    </cfRule>
  </conditionalFormatting>
  <conditionalFormatting sqref="W144:W176">
    <cfRule type="expression" dxfId="100" priority="8">
      <formula>V144&lt;$C$5+1</formula>
    </cfRule>
  </conditionalFormatting>
  <conditionalFormatting sqref="W233">
    <cfRule type="expression" dxfId="99" priority="11">
      <formula>U180&lt;$C$5+1</formula>
    </cfRule>
  </conditionalFormatting>
  <conditionalFormatting sqref="W235:W236">
    <cfRule type="expression" dxfId="98" priority="5">
      <formula>U181&lt;$C$5+1</formula>
    </cfRule>
  </conditionalFormatting>
  <conditionalFormatting sqref="W9:AC9">
    <cfRule type="notContainsBlanks" dxfId="97" priority="9">
      <formula>LEN(TRIM(W9))&gt;0</formula>
    </cfRule>
  </conditionalFormatting>
  <conditionalFormatting sqref="W65:AC65">
    <cfRule type="notContainsBlanks" dxfId="96" priority="7">
      <formula>LEN(TRIM(W65))&gt;0</formula>
    </cfRule>
  </conditionalFormatting>
  <conditionalFormatting sqref="W122:AC122">
    <cfRule type="notContainsBlanks" dxfId="95" priority="4">
      <formula>LEN(TRIM(W122))&gt;0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36"/>
  <sheetViews>
    <sheetView workbookViewId="0">
      <selection activeCell="K9" sqref="K9:K12"/>
    </sheetView>
  </sheetViews>
  <sheetFormatPr defaultRowHeight="14.25"/>
  <cols>
    <col min="3" max="3" width="24" customWidth="1"/>
  </cols>
  <sheetData>
    <row r="1" spans="1:29" ht="49.5" customHeight="1">
      <c r="A1" s="306" t="str">
        <f>Main!B17</f>
        <v>Step 2: Assessing Cross-Regional Variations in Health Security Determinants: Entropy-Driven Estimation of Criterion Weights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</row>
    <row r="2" spans="1:29" ht="18.75" thickBot="1">
      <c r="A2" s="289" t="str">
        <f>Main!C22</f>
        <v>2.2.c. EMR region based on 2017-2021 data</v>
      </c>
      <c r="B2" s="289"/>
      <c r="C2" s="289"/>
      <c r="D2" s="289"/>
      <c r="E2" s="289"/>
      <c r="F2" s="289"/>
      <c r="G2" s="289"/>
      <c r="H2" s="289"/>
      <c r="I2" s="289"/>
      <c r="J2" s="187"/>
      <c r="K2" s="289" t="str">
        <f>Main!C24</f>
        <v>2.3.b. African countries based on 2021 data</v>
      </c>
      <c r="L2" s="289"/>
      <c r="M2" s="289"/>
      <c r="N2" s="289"/>
      <c r="O2" s="289"/>
      <c r="P2" s="289"/>
      <c r="Q2" s="289"/>
      <c r="R2" s="289"/>
      <c r="S2" s="289"/>
      <c r="T2" s="187"/>
      <c r="U2" s="289" t="str">
        <f>Main!C25</f>
        <v>2.3.c. African countries based on 2017-2021 data</v>
      </c>
      <c r="V2" s="289"/>
      <c r="W2" s="289"/>
      <c r="X2" s="289"/>
      <c r="Y2" s="289"/>
      <c r="Z2" s="289"/>
      <c r="AA2" s="289"/>
      <c r="AB2" s="289"/>
      <c r="AC2" s="289"/>
    </row>
    <row r="3" spans="1:29" ht="18.75" thickBot="1">
      <c r="A3" s="289" t="s">
        <v>128</v>
      </c>
      <c r="B3" s="289"/>
      <c r="C3" s="289"/>
      <c r="D3" s="289"/>
      <c r="E3" s="289"/>
      <c r="F3" s="289"/>
      <c r="G3" s="289"/>
      <c r="H3" s="289"/>
      <c r="I3" s="289"/>
      <c r="J3" s="187"/>
      <c r="K3" s="289" t="s">
        <v>128</v>
      </c>
      <c r="L3" s="289"/>
      <c r="M3" s="289"/>
      <c r="N3" s="289"/>
      <c r="O3" s="289"/>
      <c r="P3" s="289"/>
      <c r="Q3" s="289"/>
      <c r="R3" s="289"/>
      <c r="S3" s="289"/>
      <c r="T3" s="187"/>
      <c r="U3" s="289" t="s">
        <v>128</v>
      </c>
      <c r="V3" s="289"/>
      <c r="W3" s="289"/>
      <c r="X3" s="289"/>
      <c r="Y3" s="289"/>
      <c r="Z3" s="289"/>
      <c r="AA3" s="289"/>
      <c r="AB3" s="289"/>
      <c r="AC3" s="289"/>
    </row>
    <row r="4" spans="1:29" ht="18">
      <c r="A4" s="290" t="s">
        <v>129</v>
      </c>
      <c r="B4" s="291"/>
      <c r="C4" s="292"/>
      <c r="D4" s="293"/>
      <c r="E4" s="293"/>
      <c r="F4" s="293"/>
      <c r="G4" s="293"/>
      <c r="H4" s="293"/>
      <c r="I4" s="293"/>
      <c r="J4" s="187"/>
      <c r="K4" s="290" t="s">
        <v>129</v>
      </c>
      <c r="L4" s="291"/>
      <c r="M4" s="292"/>
      <c r="N4" s="293"/>
      <c r="O4" s="293"/>
      <c r="P4" s="293"/>
      <c r="Q4" s="293"/>
      <c r="R4" s="293"/>
      <c r="S4" s="293"/>
      <c r="T4" s="187"/>
      <c r="U4" s="290" t="s">
        <v>129</v>
      </c>
      <c r="V4" s="291"/>
      <c r="W4" s="292"/>
      <c r="X4" s="293"/>
      <c r="Y4" s="293"/>
      <c r="Z4" s="293"/>
      <c r="AA4" s="293"/>
      <c r="AB4" s="293"/>
      <c r="AC4" s="293"/>
    </row>
    <row r="5" spans="1:29">
      <c r="A5" s="298" t="s">
        <v>130</v>
      </c>
      <c r="B5" s="299"/>
      <c r="C5" s="188">
        <v>47</v>
      </c>
      <c r="D5" s="189">
        <v>1</v>
      </c>
      <c r="E5" s="189">
        <v>2</v>
      </c>
      <c r="F5" s="189">
        <v>3</v>
      </c>
      <c r="G5" s="189">
        <v>4</v>
      </c>
      <c r="H5" s="189">
        <v>5</v>
      </c>
      <c r="I5" s="189">
        <v>6</v>
      </c>
      <c r="J5" s="187"/>
      <c r="K5" s="298" t="s">
        <v>130</v>
      </c>
      <c r="L5" s="299"/>
      <c r="M5" s="188">
        <v>47</v>
      </c>
      <c r="N5" s="189">
        <v>1</v>
      </c>
      <c r="O5" s="189">
        <v>2</v>
      </c>
      <c r="P5" s="189">
        <v>3</v>
      </c>
      <c r="Q5" s="189">
        <v>4</v>
      </c>
      <c r="R5" s="189">
        <v>5</v>
      </c>
      <c r="S5" s="189">
        <v>6</v>
      </c>
      <c r="T5" s="187"/>
      <c r="U5" s="298" t="s">
        <v>130</v>
      </c>
      <c r="V5" s="299"/>
      <c r="W5" s="188">
        <v>47</v>
      </c>
      <c r="X5" s="189">
        <v>1</v>
      </c>
      <c r="Y5" s="189">
        <v>2</v>
      </c>
      <c r="Z5" s="189">
        <v>3</v>
      </c>
      <c r="AA5" s="189">
        <v>4</v>
      </c>
      <c r="AB5" s="189">
        <v>5</v>
      </c>
      <c r="AC5" s="189">
        <v>6</v>
      </c>
    </row>
    <row r="6" spans="1:29" ht="15" thickBot="1">
      <c r="A6" s="300" t="s">
        <v>131</v>
      </c>
      <c r="B6" s="301"/>
      <c r="C6" s="190">
        <v>6</v>
      </c>
      <c r="D6" s="191"/>
      <c r="E6" s="191"/>
      <c r="F6" s="191"/>
      <c r="G6" s="191"/>
      <c r="H6" s="191"/>
      <c r="I6" s="191"/>
      <c r="J6" s="187"/>
      <c r="K6" s="300" t="s">
        <v>131</v>
      </c>
      <c r="L6" s="301"/>
      <c r="M6" s="190">
        <v>6</v>
      </c>
      <c r="N6" s="191"/>
      <c r="O6" s="191"/>
      <c r="P6" s="191"/>
      <c r="Q6" s="191"/>
      <c r="R6" s="191"/>
      <c r="S6" s="191"/>
      <c r="T6" s="187"/>
      <c r="U6" s="300" t="s">
        <v>131</v>
      </c>
      <c r="V6" s="301"/>
      <c r="W6" s="190">
        <v>6</v>
      </c>
      <c r="X6" s="191"/>
      <c r="Y6" s="191"/>
      <c r="Z6" s="191"/>
      <c r="AA6" s="191"/>
      <c r="AB6" s="191"/>
      <c r="AC6" s="191"/>
    </row>
    <row r="7" spans="1:29" ht="15.75" thickTop="1">
      <c r="A7" s="192"/>
      <c r="B7" s="193"/>
      <c r="C7" s="193" t="s">
        <v>132</v>
      </c>
      <c r="D7" s="194">
        <v>1</v>
      </c>
      <c r="E7" s="194">
        <v>1</v>
      </c>
      <c r="F7" s="194">
        <v>1</v>
      </c>
      <c r="G7" s="194">
        <v>1</v>
      </c>
      <c r="H7" s="194">
        <v>1</v>
      </c>
      <c r="I7" s="194">
        <v>1</v>
      </c>
      <c r="J7" s="187"/>
      <c r="K7" s="192"/>
      <c r="L7" s="193"/>
      <c r="M7" s="193" t="s">
        <v>132</v>
      </c>
      <c r="N7" s="194">
        <v>1</v>
      </c>
      <c r="O7" s="194">
        <v>1</v>
      </c>
      <c r="P7" s="194">
        <v>1</v>
      </c>
      <c r="Q7" s="194">
        <v>1</v>
      </c>
      <c r="R7" s="194">
        <v>1</v>
      </c>
      <c r="S7" s="194">
        <v>1</v>
      </c>
      <c r="T7" s="187"/>
      <c r="U7" s="192"/>
      <c r="V7" s="193"/>
      <c r="W7" s="193" t="s">
        <v>132</v>
      </c>
      <c r="X7" s="194">
        <v>1</v>
      </c>
      <c r="Y7" s="194">
        <v>1</v>
      </c>
      <c r="Z7" s="194">
        <v>1</v>
      </c>
      <c r="AA7" s="194">
        <v>1</v>
      </c>
      <c r="AB7" s="194">
        <v>1</v>
      </c>
      <c r="AC7" s="194">
        <v>1</v>
      </c>
    </row>
    <row r="8" spans="1:29" ht="15.75" thickBot="1">
      <c r="A8" s="192"/>
      <c r="B8" s="294" t="s">
        <v>133</v>
      </c>
      <c r="C8" s="294"/>
      <c r="D8" s="294"/>
      <c r="E8" s="294"/>
      <c r="F8" s="294"/>
      <c r="G8" s="294"/>
      <c r="H8" s="294"/>
      <c r="I8" s="294"/>
      <c r="J8" s="187"/>
      <c r="K8" s="192"/>
      <c r="L8" s="294" t="s">
        <v>133</v>
      </c>
      <c r="M8" s="294"/>
      <c r="N8" s="294"/>
      <c r="O8" s="294"/>
      <c r="P8" s="294"/>
      <c r="Q8" s="294"/>
      <c r="R8" s="294"/>
      <c r="S8" s="294"/>
      <c r="T8" s="187"/>
      <c r="U8" s="192"/>
      <c r="V8" s="294" t="s">
        <v>133</v>
      </c>
      <c r="W8" s="294"/>
      <c r="X8" s="294"/>
      <c r="Y8" s="294"/>
      <c r="Z8" s="294"/>
      <c r="AA8" s="294"/>
      <c r="AB8" s="294"/>
      <c r="AC8" s="294"/>
    </row>
    <row r="9" spans="1:29" ht="12.75" customHeight="1">
      <c r="A9" s="295" t="s">
        <v>134</v>
      </c>
      <c r="B9" s="195"/>
      <c r="C9" s="196" t="s">
        <v>25</v>
      </c>
      <c r="D9" s="196" t="s">
        <v>135</v>
      </c>
      <c r="E9" s="196" t="s">
        <v>136</v>
      </c>
      <c r="F9" s="196" t="s">
        <v>137</v>
      </c>
      <c r="G9" s="196" t="s">
        <v>138</v>
      </c>
      <c r="H9" s="196" t="s">
        <v>139</v>
      </c>
      <c r="I9" s="196" t="s">
        <v>140</v>
      </c>
      <c r="J9" s="187"/>
      <c r="K9" s="295" t="s">
        <v>134</v>
      </c>
      <c r="L9" s="195"/>
      <c r="M9" s="196" t="s">
        <v>25</v>
      </c>
      <c r="N9" s="196" t="s">
        <v>135</v>
      </c>
      <c r="O9" s="196" t="s">
        <v>136</v>
      </c>
      <c r="P9" s="196" t="s">
        <v>137</v>
      </c>
      <c r="Q9" s="196" t="s">
        <v>138</v>
      </c>
      <c r="R9" s="196" t="s">
        <v>139</v>
      </c>
      <c r="S9" s="196" t="s">
        <v>140</v>
      </c>
      <c r="T9" s="187"/>
      <c r="U9" s="295" t="s">
        <v>134</v>
      </c>
      <c r="V9" s="195"/>
      <c r="W9" s="196" t="s">
        <v>25</v>
      </c>
      <c r="X9" s="196" t="s">
        <v>135</v>
      </c>
      <c r="Y9" s="196" t="s">
        <v>136</v>
      </c>
      <c r="Z9" s="196" t="s">
        <v>137</v>
      </c>
      <c r="AA9" s="196" t="s">
        <v>138</v>
      </c>
      <c r="AB9" s="196" t="s">
        <v>139</v>
      </c>
      <c r="AC9" s="196" t="s">
        <v>140</v>
      </c>
    </row>
    <row r="10" spans="1:29" ht="12.75" customHeight="1">
      <c r="A10" s="296"/>
      <c r="B10" s="197">
        <v>1</v>
      </c>
      <c r="C10" s="198" t="s">
        <v>57</v>
      </c>
      <c r="D10" s="198">
        <v>19.399999999999999</v>
      </c>
      <c r="E10" s="198">
        <v>8.5</v>
      </c>
      <c r="F10" s="198">
        <v>31.1</v>
      </c>
      <c r="G10" s="198">
        <v>12.6</v>
      </c>
      <c r="H10" s="198">
        <v>37.299999999999997</v>
      </c>
      <c r="I10" s="198">
        <v>52</v>
      </c>
      <c r="J10" s="187"/>
      <c r="K10" s="296"/>
      <c r="L10" s="197">
        <v>1</v>
      </c>
      <c r="M10" s="198" t="s">
        <v>57</v>
      </c>
      <c r="N10" s="198">
        <v>15.3</v>
      </c>
      <c r="O10" s="198">
        <v>12.6</v>
      </c>
      <c r="P10" s="198">
        <v>25.6</v>
      </c>
      <c r="Q10" s="198">
        <v>15</v>
      </c>
      <c r="R10" s="198">
        <v>38.9</v>
      </c>
      <c r="S10" s="198">
        <v>49.7</v>
      </c>
      <c r="T10" s="187"/>
      <c r="U10" s="296"/>
      <c r="V10" s="197">
        <v>1</v>
      </c>
      <c r="W10" s="198" t="s">
        <v>57</v>
      </c>
      <c r="X10" s="198">
        <v>17.350000000000001</v>
      </c>
      <c r="Y10" s="198">
        <v>10.55</v>
      </c>
      <c r="Z10" s="198">
        <v>28.35</v>
      </c>
      <c r="AA10" s="198">
        <v>13.8</v>
      </c>
      <c r="AB10" s="198">
        <v>38.099999999999994</v>
      </c>
      <c r="AC10" s="198">
        <v>50.85</v>
      </c>
    </row>
    <row r="11" spans="1:29" ht="12.75" customHeight="1">
      <c r="A11" s="296"/>
      <c r="B11" s="197">
        <v>2</v>
      </c>
      <c r="C11" s="198" t="s">
        <v>58</v>
      </c>
      <c r="D11" s="198">
        <v>13.4</v>
      </c>
      <c r="E11" s="198">
        <v>13.3</v>
      </c>
      <c r="F11" s="198">
        <v>20.9</v>
      </c>
      <c r="G11" s="198">
        <v>16.8</v>
      </c>
      <c r="H11" s="198">
        <v>43.1</v>
      </c>
      <c r="I11" s="198">
        <v>43.7</v>
      </c>
      <c r="J11" s="187"/>
      <c r="K11" s="296"/>
      <c r="L11" s="197">
        <v>2</v>
      </c>
      <c r="M11" s="198" t="s">
        <v>58</v>
      </c>
      <c r="N11" s="198">
        <v>14.7</v>
      </c>
      <c r="O11" s="198">
        <v>13.3</v>
      </c>
      <c r="P11" s="198">
        <v>31.6</v>
      </c>
      <c r="Q11" s="198">
        <v>23.1</v>
      </c>
      <c r="R11" s="198">
        <v>47.7</v>
      </c>
      <c r="S11" s="198">
        <v>43.9</v>
      </c>
      <c r="T11" s="187"/>
      <c r="U11" s="296"/>
      <c r="V11" s="197">
        <v>2</v>
      </c>
      <c r="W11" s="198" t="s">
        <v>58</v>
      </c>
      <c r="X11" s="198">
        <v>14.05</v>
      </c>
      <c r="Y11" s="198">
        <v>13.3</v>
      </c>
      <c r="Z11" s="198">
        <v>26.25</v>
      </c>
      <c r="AA11" s="198">
        <v>19.950000000000003</v>
      </c>
      <c r="AB11" s="198">
        <v>45.400000000000006</v>
      </c>
      <c r="AC11" s="198">
        <v>43.8</v>
      </c>
    </row>
    <row r="12" spans="1:29" ht="12.75" customHeight="1" thickBot="1">
      <c r="A12" s="297"/>
      <c r="B12" s="197">
        <v>3</v>
      </c>
      <c r="C12" s="198" t="s">
        <v>59</v>
      </c>
      <c r="D12" s="198">
        <v>9.1999999999999993</v>
      </c>
      <c r="E12" s="198">
        <v>18.3</v>
      </c>
      <c r="F12" s="198">
        <v>31.6</v>
      </c>
      <c r="G12" s="198">
        <v>7.6</v>
      </c>
      <c r="H12" s="198">
        <v>50</v>
      </c>
      <c r="I12" s="198">
        <v>44.9</v>
      </c>
      <c r="J12" s="187"/>
      <c r="K12" s="297"/>
      <c r="L12" s="197">
        <v>3</v>
      </c>
      <c r="M12" s="198" t="s">
        <v>59</v>
      </c>
      <c r="N12" s="198">
        <v>9.3000000000000007</v>
      </c>
      <c r="O12" s="198">
        <v>14.2</v>
      </c>
      <c r="P12" s="198">
        <v>29.3</v>
      </c>
      <c r="Q12" s="198">
        <v>7.7</v>
      </c>
      <c r="R12" s="198">
        <v>46.9</v>
      </c>
      <c r="S12" s="198">
        <v>45</v>
      </c>
      <c r="T12" s="187"/>
      <c r="U12" s="297"/>
      <c r="V12" s="197">
        <v>3</v>
      </c>
      <c r="W12" s="198" t="s">
        <v>59</v>
      </c>
      <c r="X12" s="198">
        <v>9.25</v>
      </c>
      <c r="Y12" s="198">
        <v>16.25</v>
      </c>
      <c r="Z12" s="198">
        <v>30.450000000000003</v>
      </c>
      <c r="AA12" s="198">
        <v>7.65</v>
      </c>
      <c r="AB12" s="198">
        <v>48.45</v>
      </c>
      <c r="AC12" s="198">
        <v>44.95</v>
      </c>
    </row>
    <row r="13" spans="1:29" ht="12.75" customHeight="1">
      <c r="A13" s="199"/>
      <c r="B13" s="197">
        <v>4</v>
      </c>
      <c r="C13" s="198" t="s">
        <v>60</v>
      </c>
      <c r="D13" s="198">
        <v>14.7</v>
      </c>
      <c r="E13" s="198">
        <v>18.899999999999999</v>
      </c>
      <c r="F13" s="198">
        <v>30.3</v>
      </c>
      <c r="G13" s="198">
        <v>18.5</v>
      </c>
      <c r="H13" s="198">
        <v>41.7</v>
      </c>
      <c r="I13" s="198">
        <v>62.4</v>
      </c>
      <c r="J13" s="187"/>
      <c r="K13" s="199"/>
      <c r="L13" s="197">
        <v>4</v>
      </c>
      <c r="M13" s="198" t="s">
        <v>60</v>
      </c>
      <c r="N13" s="198">
        <v>14.7</v>
      </c>
      <c r="O13" s="198">
        <v>29.3</v>
      </c>
      <c r="P13" s="198">
        <v>25.3</v>
      </c>
      <c r="Q13" s="198">
        <v>20.9</v>
      </c>
      <c r="R13" s="198">
        <v>48.3</v>
      </c>
      <c r="S13" s="198">
        <v>63.3</v>
      </c>
      <c r="T13" s="187"/>
      <c r="U13" s="199"/>
      <c r="V13" s="197">
        <v>4</v>
      </c>
      <c r="W13" s="198" t="s">
        <v>60</v>
      </c>
      <c r="X13" s="198">
        <v>14.7</v>
      </c>
      <c r="Y13" s="198">
        <v>24.1</v>
      </c>
      <c r="Z13" s="198">
        <v>27.8</v>
      </c>
      <c r="AA13" s="198">
        <v>19.7</v>
      </c>
      <c r="AB13" s="198">
        <v>45</v>
      </c>
      <c r="AC13" s="198">
        <v>62.849999999999994</v>
      </c>
    </row>
    <row r="14" spans="1:29" ht="12.75" customHeight="1">
      <c r="A14" s="199"/>
      <c r="B14" s="197">
        <v>5</v>
      </c>
      <c r="C14" s="198" t="s">
        <v>61</v>
      </c>
      <c r="D14" s="198">
        <v>9.6999999999999993</v>
      </c>
      <c r="E14" s="198">
        <v>37.6</v>
      </c>
      <c r="F14" s="198">
        <v>47.7</v>
      </c>
      <c r="G14" s="198">
        <v>11.3</v>
      </c>
      <c r="H14" s="198">
        <v>51.9</v>
      </c>
      <c r="I14" s="198">
        <v>48.4</v>
      </c>
      <c r="J14" s="187"/>
      <c r="K14" s="199"/>
      <c r="L14" s="197">
        <v>5</v>
      </c>
      <c r="M14" s="198" t="s">
        <v>61</v>
      </c>
      <c r="N14" s="198">
        <v>9.6999999999999993</v>
      </c>
      <c r="O14" s="198">
        <v>33.9</v>
      </c>
      <c r="P14" s="198">
        <v>32.4</v>
      </c>
      <c r="Q14" s="198">
        <v>13.7</v>
      </c>
      <c r="R14" s="198">
        <v>51.9</v>
      </c>
      <c r="S14" s="198">
        <v>37.4</v>
      </c>
      <c r="T14" s="187"/>
      <c r="U14" s="199"/>
      <c r="V14" s="197">
        <v>5</v>
      </c>
      <c r="W14" s="198" t="s">
        <v>61</v>
      </c>
      <c r="X14" s="198">
        <v>9.6999999999999993</v>
      </c>
      <c r="Y14" s="198">
        <v>35.75</v>
      </c>
      <c r="Z14" s="198">
        <v>40.049999999999997</v>
      </c>
      <c r="AA14" s="198">
        <v>12.5</v>
      </c>
      <c r="AB14" s="198">
        <v>51.9</v>
      </c>
      <c r="AC14" s="198">
        <v>42.9</v>
      </c>
    </row>
    <row r="15" spans="1:29" ht="12.75" customHeight="1">
      <c r="A15" s="199"/>
      <c r="B15" s="197">
        <v>6</v>
      </c>
      <c r="C15" s="198" t="s">
        <v>62</v>
      </c>
      <c r="D15" s="198">
        <v>10.3</v>
      </c>
      <c r="E15" s="198">
        <v>14.2</v>
      </c>
      <c r="F15" s="198">
        <v>30</v>
      </c>
      <c r="G15" s="198">
        <v>9.1</v>
      </c>
      <c r="H15" s="198">
        <v>33.299999999999997</v>
      </c>
      <c r="I15" s="198">
        <v>39</v>
      </c>
      <c r="J15" s="187"/>
      <c r="K15" s="199"/>
      <c r="L15" s="197">
        <v>6</v>
      </c>
      <c r="M15" s="198" t="s">
        <v>62</v>
      </c>
      <c r="N15" s="198">
        <v>14.2</v>
      </c>
      <c r="O15" s="198">
        <v>14.2</v>
      </c>
      <c r="P15" s="198">
        <v>21.5</v>
      </c>
      <c r="Q15" s="198">
        <v>9.1</v>
      </c>
      <c r="R15" s="198">
        <v>34.4</v>
      </c>
      <c r="S15" s="198">
        <v>39.4</v>
      </c>
      <c r="T15" s="187"/>
      <c r="U15" s="199"/>
      <c r="V15" s="197">
        <v>6</v>
      </c>
      <c r="W15" s="198" t="s">
        <v>62</v>
      </c>
      <c r="X15" s="198">
        <v>12.25</v>
      </c>
      <c r="Y15" s="198">
        <v>14.2</v>
      </c>
      <c r="Z15" s="198">
        <v>25.75</v>
      </c>
      <c r="AA15" s="198">
        <v>9.1</v>
      </c>
      <c r="AB15" s="198">
        <v>33.849999999999994</v>
      </c>
      <c r="AC15" s="198">
        <v>39.200000000000003</v>
      </c>
    </row>
    <row r="16" spans="1:29" ht="12.75" customHeight="1">
      <c r="A16" s="199"/>
      <c r="B16" s="197">
        <v>7</v>
      </c>
      <c r="C16" s="198" t="s">
        <v>63</v>
      </c>
      <c r="D16" s="198">
        <v>20.100000000000001</v>
      </c>
      <c r="E16" s="198">
        <v>10.6</v>
      </c>
      <c r="F16" s="198">
        <v>37.4</v>
      </c>
      <c r="G16" s="198">
        <v>21.5</v>
      </c>
      <c r="H16" s="198">
        <v>39.4</v>
      </c>
      <c r="I16" s="198">
        <v>66.5</v>
      </c>
      <c r="J16" s="187"/>
      <c r="K16" s="199"/>
      <c r="L16" s="197">
        <v>7</v>
      </c>
      <c r="M16" s="198" t="s">
        <v>63</v>
      </c>
      <c r="N16" s="198">
        <v>22.3</v>
      </c>
      <c r="O16" s="198">
        <v>14.7</v>
      </c>
      <c r="P16" s="198">
        <v>38.5</v>
      </c>
      <c r="Q16" s="198">
        <v>23.1</v>
      </c>
      <c r="R16" s="198">
        <v>43.6</v>
      </c>
      <c r="S16" s="198">
        <v>62.5</v>
      </c>
      <c r="T16" s="187"/>
      <c r="U16" s="199"/>
      <c r="V16" s="197">
        <v>7</v>
      </c>
      <c r="W16" s="198" t="s">
        <v>63</v>
      </c>
      <c r="X16" s="198">
        <v>21.200000000000003</v>
      </c>
      <c r="Y16" s="198">
        <v>12.649999999999999</v>
      </c>
      <c r="Z16" s="198">
        <v>37.950000000000003</v>
      </c>
      <c r="AA16" s="198">
        <v>22.3</v>
      </c>
      <c r="AB16" s="198">
        <v>41.5</v>
      </c>
      <c r="AC16" s="198">
        <v>64.5</v>
      </c>
    </row>
    <row r="17" spans="1:29" ht="12.75" customHeight="1">
      <c r="A17" s="199"/>
      <c r="B17" s="197">
        <v>8</v>
      </c>
      <c r="C17" s="198" t="s">
        <v>64</v>
      </c>
      <c r="D17" s="198">
        <v>15.2</v>
      </c>
      <c r="E17" s="198">
        <v>31.4</v>
      </c>
      <c r="F17" s="198">
        <v>33.799999999999997</v>
      </c>
      <c r="G17" s="198">
        <v>17.899999999999999</v>
      </c>
      <c r="H17" s="198">
        <v>56.3</v>
      </c>
      <c r="I17" s="198">
        <v>38.799999999999997</v>
      </c>
      <c r="J17" s="187"/>
      <c r="K17" s="199"/>
      <c r="L17" s="197">
        <v>8</v>
      </c>
      <c r="M17" s="198" t="s">
        <v>64</v>
      </c>
      <c r="N17" s="198">
        <v>6.5</v>
      </c>
      <c r="O17" s="198">
        <v>30.8</v>
      </c>
      <c r="P17" s="198">
        <v>29.5</v>
      </c>
      <c r="Q17" s="198">
        <v>20.3</v>
      </c>
      <c r="R17" s="198">
        <v>51</v>
      </c>
      <c r="S17" s="198">
        <v>33.799999999999997</v>
      </c>
      <c r="T17" s="187"/>
      <c r="U17" s="199"/>
      <c r="V17" s="197">
        <v>8</v>
      </c>
      <c r="W17" s="198" t="s">
        <v>64</v>
      </c>
      <c r="X17" s="198">
        <v>10.85</v>
      </c>
      <c r="Y17" s="198">
        <v>31.1</v>
      </c>
      <c r="Z17" s="198">
        <v>31.65</v>
      </c>
      <c r="AA17" s="198">
        <v>19.100000000000001</v>
      </c>
      <c r="AB17" s="198">
        <v>53.65</v>
      </c>
      <c r="AC17" s="198">
        <v>36.299999999999997</v>
      </c>
    </row>
    <row r="18" spans="1:29" ht="12.75" customHeight="1">
      <c r="A18" s="199"/>
      <c r="B18" s="197">
        <v>9</v>
      </c>
      <c r="C18" s="198" t="s">
        <v>65</v>
      </c>
      <c r="D18" s="198">
        <v>13.8</v>
      </c>
      <c r="E18" s="198">
        <v>12.5</v>
      </c>
      <c r="F18" s="198">
        <v>27.8</v>
      </c>
      <c r="G18" s="198">
        <v>8.3000000000000007</v>
      </c>
      <c r="H18" s="198">
        <v>31.8</v>
      </c>
      <c r="I18" s="198">
        <v>29.9</v>
      </c>
      <c r="J18" s="187"/>
      <c r="K18" s="199"/>
      <c r="L18" s="197">
        <v>9</v>
      </c>
      <c r="M18" s="198" t="s">
        <v>65</v>
      </c>
      <c r="N18" s="198">
        <v>10.5</v>
      </c>
      <c r="O18" s="198">
        <v>12.5</v>
      </c>
      <c r="P18" s="198">
        <v>20.6</v>
      </c>
      <c r="Q18" s="198">
        <v>8.3000000000000007</v>
      </c>
      <c r="R18" s="198">
        <v>33.9</v>
      </c>
      <c r="S18" s="198">
        <v>26.2</v>
      </c>
      <c r="T18" s="187"/>
      <c r="U18" s="199"/>
      <c r="V18" s="197">
        <v>9</v>
      </c>
      <c r="W18" s="198" t="s">
        <v>65</v>
      </c>
      <c r="X18" s="198">
        <v>12.15</v>
      </c>
      <c r="Y18" s="198">
        <v>12.5</v>
      </c>
      <c r="Z18" s="198">
        <v>24.200000000000003</v>
      </c>
      <c r="AA18" s="198">
        <v>8.3000000000000007</v>
      </c>
      <c r="AB18" s="198">
        <v>32.85</v>
      </c>
      <c r="AC18" s="198">
        <v>28.049999999999997</v>
      </c>
    </row>
    <row r="19" spans="1:29" ht="12.75" customHeight="1">
      <c r="A19" s="199"/>
      <c r="B19" s="197">
        <v>10</v>
      </c>
      <c r="C19" s="198" t="s">
        <v>66</v>
      </c>
      <c r="D19" s="198">
        <v>18.100000000000001</v>
      </c>
      <c r="E19" s="198">
        <v>18.3</v>
      </c>
      <c r="F19" s="198">
        <v>29.6</v>
      </c>
      <c r="G19" s="198">
        <v>10.199999999999999</v>
      </c>
      <c r="H19" s="198">
        <v>41.7</v>
      </c>
      <c r="I19" s="198">
        <v>29.2</v>
      </c>
      <c r="J19" s="187"/>
      <c r="K19" s="199"/>
      <c r="L19" s="197">
        <v>10</v>
      </c>
      <c r="M19" s="198" t="s">
        <v>66</v>
      </c>
      <c r="N19" s="198">
        <v>18.100000000000001</v>
      </c>
      <c r="O19" s="198">
        <v>18.3</v>
      </c>
      <c r="P19" s="198">
        <v>25.7</v>
      </c>
      <c r="Q19" s="198">
        <v>10.199999999999999</v>
      </c>
      <c r="R19" s="198">
        <v>46.4</v>
      </c>
      <c r="S19" s="198">
        <v>25</v>
      </c>
      <c r="T19" s="187"/>
      <c r="U19" s="199"/>
      <c r="V19" s="197">
        <v>10</v>
      </c>
      <c r="W19" s="198" t="s">
        <v>66</v>
      </c>
      <c r="X19" s="198">
        <v>18.100000000000001</v>
      </c>
      <c r="Y19" s="198">
        <v>18.3</v>
      </c>
      <c r="Z19" s="198">
        <v>27.65</v>
      </c>
      <c r="AA19" s="198">
        <v>10.199999999999999</v>
      </c>
      <c r="AB19" s="198">
        <v>44.05</v>
      </c>
      <c r="AC19" s="198">
        <v>27.1</v>
      </c>
    </row>
    <row r="20" spans="1:29" ht="12.75" customHeight="1">
      <c r="A20" s="199"/>
      <c r="B20" s="197">
        <v>11</v>
      </c>
      <c r="C20" s="198" t="s">
        <v>67</v>
      </c>
      <c r="D20" s="198">
        <v>8.4</v>
      </c>
      <c r="E20" s="198">
        <v>15.8</v>
      </c>
      <c r="F20" s="198">
        <v>31.4</v>
      </c>
      <c r="G20" s="198">
        <v>11.6</v>
      </c>
      <c r="H20" s="198">
        <v>47.9</v>
      </c>
      <c r="I20" s="198">
        <v>36.299999999999997</v>
      </c>
      <c r="J20" s="187"/>
      <c r="K20" s="199"/>
      <c r="L20" s="197">
        <v>11</v>
      </c>
      <c r="M20" s="198" t="s">
        <v>67</v>
      </c>
      <c r="N20" s="198">
        <v>8.4</v>
      </c>
      <c r="O20" s="198">
        <v>17.899999999999999</v>
      </c>
      <c r="P20" s="198">
        <v>22.4</v>
      </c>
      <c r="Q20" s="198">
        <v>14</v>
      </c>
      <c r="R20" s="198">
        <v>47.9</v>
      </c>
      <c r="S20" s="198">
        <v>38.799999999999997</v>
      </c>
      <c r="T20" s="187"/>
      <c r="U20" s="199"/>
      <c r="V20" s="197">
        <v>11</v>
      </c>
      <c r="W20" s="198" t="s">
        <v>67</v>
      </c>
      <c r="X20" s="198">
        <v>8.4</v>
      </c>
      <c r="Y20" s="198">
        <v>16.850000000000001</v>
      </c>
      <c r="Z20" s="198">
        <v>26.9</v>
      </c>
      <c r="AA20" s="198">
        <v>12.8</v>
      </c>
      <c r="AB20" s="198">
        <v>47.9</v>
      </c>
      <c r="AC20" s="198">
        <v>37.549999999999997</v>
      </c>
    </row>
    <row r="21" spans="1:29" ht="12.75" customHeight="1">
      <c r="A21" s="199"/>
      <c r="B21" s="197">
        <v>12</v>
      </c>
      <c r="C21" s="198" t="s">
        <v>68</v>
      </c>
      <c r="D21" s="198">
        <v>9.5</v>
      </c>
      <c r="E21" s="198">
        <v>4.2</v>
      </c>
      <c r="F21" s="198">
        <v>28</v>
      </c>
      <c r="G21" s="198">
        <v>8.1999999999999993</v>
      </c>
      <c r="H21" s="198">
        <v>54.2</v>
      </c>
      <c r="I21" s="198">
        <v>39.200000000000003</v>
      </c>
      <c r="J21" s="187"/>
      <c r="K21" s="199"/>
      <c r="L21" s="197">
        <v>12</v>
      </c>
      <c r="M21" s="198" t="s">
        <v>68</v>
      </c>
      <c r="N21" s="198">
        <v>1.1000000000000001</v>
      </c>
      <c r="O21" s="198">
        <v>9.6</v>
      </c>
      <c r="P21" s="198">
        <v>36.200000000000003</v>
      </c>
      <c r="Q21" s="198">
        <v>8.1999999999999993</v>
      </c>
      <c r="R21" s="198">
        <v>63</v>
      </c>
      <c r="S21" s="198">
        <v>40</v>
      </c>
      <c r="T21" s="187"/>
      <c r="U21" s="199"/>
      <c r="V21" s="197">
        <v>12</v>
      </c>
      <c r="W21" s="198" t="s">
        <v>68</v>
      </c>
      <c r="X21" s="198">
        <v>5.3</v>
      </c>
      <c r="Y21" s="198">
        <v>6.9</v>
      </c>
      <c r="Z21" s="198">
        <v>32.1</v>
      </c>
      <c r="AA21" s="198">
        <v>8.1999999999999993</v>
      </c>
      <c r="AB21" s="198">
        <v>58.6</v>
      </c>
      <c r="AC21" s="198">
        <v>39.6</v>
      </c>
    </row>
    <row r="22" spans="1:29" ht="12.75" customHeight="1">
      <c r="A22" s="199"/>
      <c r="B22" s="197">
        <v>13</v>
      </c>
      <c r="C22" s="198" t="s">
        <v>69</v>
      </c>
      <c r="D22" s="198">
        <v>12.4</v>
      </c>
      <c r="E22" s="198">
        <v>29.2</v>
      </c>
      <c r="F22" s="198">
        <v>29.8</v>
      </c>
      <c r="G22" s="198">
        <v>16.2</v>
      </c>
      <c r="H22" s="198">
        <v>42.2</v>
      </c>
      <c r="I22" s="198">
        <v>26.4</v>
      </c>
      <c r="J22" s="187"/>
      <c r="K22" s="199"/>
      <c r="L22" s="197">
        <v>13</v>
      </c>
      <c r="M22" s="198" t="s">
        <v>69</v>
      </c>
      <c r="N22" s="198">
        <v>12.4</v>
      </c>
      <c r="O22" s="198">
        <v>29.2</v>
      </c>
      <c r="P22" s="198">
        <v>26.2</v>
      </c>
      <c r="Q22" s="198">
        <v>16.2</v>
      </c>
      <c r="R22" s="198">
        <v>42.7</v>
      </c>
      <c r="S22" s="198">
        <v>29.9</v>
      </c>
      <c r="T22" s="187"/>
      <c r="U22" s="199"/>
      <c r="V22" s="197">
        <v>13</v>
      </c>
      <c r="W22" s="198" t="s">
        <v>69</v>
      </c>
      <c r="X22" s="198">
        <v>12.4</v>
      </c>
      <c r="Y22" s="198">
        <v>29.2</v>
      </c>
      <c r="Z22" s="198">
        <v>28</v>
      </c>
      <c r="AA22" s="198">
        <v>16.2</v>
      </c>
      <c r="AB22" s="198">
        <v>42.45</v>
      </c>
      <c r="AC22" s="198">
        <v>28.15</v>
      </c>
    </row>
    <row r="23" spans="1:29" ht="12.75" customHeight="1">
      <c r="A23" s="199"/>
      <c r="B23" s="197">
        <v>14</v>
      </c>
      <c r="C23" s="198" t="s">
        <v>70</v>
      </c>
      <c r="D23" s="198">
        <v>15.7</v>
      </c>
      <c r="E23" s="198">
        <v>33.799999999999997</v>
      </c>
      <c r="F23" s="198">
        <v>38.799999999999997</v>
      </c>
      <c r="G23" s="198">
        <v>14.7</v>
      </c>
      <c r="H23" s="198">
        <v>50</v>
      </c>
      <c r="I23" s="198">
        <v>44.3</v>
      </c>
      <c r="J23" s="187"/>
      <c r="K23" s="199"/>
      <c r="L23" s="197">
        <v>14</v>
      </c>
      <c r="M23" s="198" t="s">
        <v>70</v>
      </c>
      <c r="N23" s="198">
        <v>12.4</v>
      </c>
      <c r="O23" s="198">
        <v>29.6</v>
      </c>
      <c r="P23" s="198">
        <v>35.299999999999997</v>
      </c>
      <c r="Q23" s="198">
        <v>17.100000000000001</v>
      </c>
      <c r="R23" s="198">
        <v>47.7</v>
      </c>
      <c r="S23" s="198">
        <v>45.2</v>
      </c>
      <c r="T23" s="187"/>
      <c r="U23" s="199"/>
      <c r="V23" s="197">
        <v>14</v>
      </c>
      <c r="W23" s="198" t="s">
        <v>70</v>
      </c>
      <c r="X23" s="198">
        <v>14.05</v>
      </c>
      <c r="Y23" s="198">
        <v>31.7</v>
      </c>
      <c r="Z23" s="198">
        <v>37.049999999999997</v>
      </c>
      <c r="AA23" s="198">
        <v>15.9</v>
      </c>
      <c r="AB23" s="198">
        <v>48.85</v>
      </c>
      <c r="AC23" s="198">
        <v>44.75</v>
      </c>
    </row>
    <row r="24" spans="1:29" ht="12.75" customHeight="1">
      <c r="A24" s="199"/>
      <c r="B24" s="197">
        <v>15</v>
      </c>
      <c r="C24" s="198" t="s">
        <v>71</v>
      </c>
      <c r="D24" s="198">
        <v>1E-3</v>
      </c>
      <c r="E24" s="198">
        <v>1E-3</v>
      </c>
      <c r="F24" s="198">
        <v>24.9</v>
      </c>
      <c r="G24" s="198">
        <v>8.3000000000000007</v>
      </c>
      <c r="H24" s="198">
        <v>29.2</v>
      </c>
      <c r="I24" s="198">
        <v>45.4</v>
      </c>
      <c r="J24" s="187"/>
      <c r="K24" s="199"/>
      <c r="L24" s="197">
        <v>15</v>
      </c>
      <c r="M24" s="198" t="s">
        <v>71</v>
      </c>
      <c r="N24" s="198">
        <v>1E-3</v>
      </c>
      <c r="O24" s="198">
        <v>1E-3</v>
      </c>
      <c r="P24" s="198">
        <v>21.2</v>
      </c>
      <c r="Q24" s="198">
        <v>8.3000000000000007</v>
      </c>
      <c r="R24" s="198">
        <v>29.2</v>
      </c>
      <c r="S24" s="198">
        <v>46</v>
      </c>
      <c r="T24" s="187"/>
      <c r="U24" s="199"/>
      <c r="V24" s="197">
        <v>15</v>
      </c>
      <c r="W24" s="198" t="s">
        <v>71</v>
      </c>
      <c r="X24" s="198">
        <v>1E-3</v>
      </c>
      <c r="Y24" s="198">
        <v>1E-3</v>
      </c>
      <c r="Z24" s="198">
        <v>23.049999999999997</v>
      </c>
      <c r="AA24" s="198">
        <v>8.3000000000000007</v>
      </c>
      <c r="AB24" s="198">
        <v>29.2</v>
      </c>
      <c r="AC24" s="198">
        <v>45.7</v>
      </c>
    </row>
    <row r="25" spans="1:29" ht="12.75" customHeight="1">
      <c r="A25" s="199"/>
      <c r="B25" s="197">
        <v>16</v>
      </c>
      <c r="C25" s="198" t="s">
        <v>72</v>
      </c>
      <c r="D25" s="198">
        <v>16</v>
      </c>
      <c r="E25" s="198">
        <v>10.4</v>
      </c>
      <c r="F25" s="198">
        <v>23.6</v>
      </c>
      <c r="G25" s="198">
        <v>8.6</v>
      </c>
      <c r="H25" s="198">
        <v>37.5</v>
      </c>
      <c r="I25" s="198">
        <v>38.799999999999997</v>
      </c>
      <c r="J25" s="187"/>
      <c r="K25" s="199"/>
      <c r="L25" s="197">
        <v>16</v>
      </c>
      <c r="M25" s="198" t="s">
        <v>72</v>
      </c>
      <c r="N25" s="198">
        <v>12.5</v>
      </c>
      <c r="O25" s="198">
        <v>10.4</v>
      </c>
      <c r="P25" s="198">
        <v>19.899999999999999</v>
      </c>
      <c r="Q25" s="198">
        <v>8.6</v>
      </c>
      <c r="R25" s="198">
        <v>37.5</v>
      </c>
      <c r="S25" s="198">
        <v>39.299999999999997</v>
      </c>
      <c r="T25" s="187"/>
      <c r="U25" s="199"/>
      <c r="V25" s="197">
        <v>16</v>
      </c>
      <c r="W25" s="198" t="s">
        <v>72</v>
      </c>
      <c r="X25" s="198">
        <v>14.25</v>
      </c>
      <c r="Y25" s="198">
        <v>10.4</v>
      </c>
      <c r="Z25" s="198">
        <v>21.75</v>
      </c>
      <c r="AA25" s="198">
        <v>8.6</v>
      </c>
      <c r="AB25" s="198">
        <v>37.5</v>
      </c>
      <c r="AC25" s="198">
        <v>39.049999999999997</v>
      </c>
    </row>
    <row r="26" spans="1:29" ht="12.75" customHeight="1">
      <c r="A26" s="199"/>
      <c r="B26" s="197">
        <v>17</v>
      </c>
      <c r="C26" s="198" t="s">
        <v>73</v>
      </c>
      <c r="D26" s="198">
        <v>23.8</v>
      </c>
      <c r="E26" s="198">
        <v>21.1</v>
      </c>
      <c r="F26" s="198">
        <v>30.1</v>
      </c>
      <c r="G26" s="198">
        <v>9.4</v>
      </c>
      <c r="H26" s="198">
        <v>48.4</v>
      </c>
      <c r="I26" s="198">
        <v>51.3</v>
      </c>
      <c r="J26" s="187"/>
      <c r="K26" s="199"/>
      <c r="L26" s="197">
        <v>17</v>
      </c>
      <c r="M26" s="198" t="s">
        <v>73</v>
      </c>
      <c r="N26" s="198">
        <v>24</v>
      </c>
      <c r="O26" s="198">
        <v>21.7</v>
      </c>
      <c r="P26" s="198">
        <v>25.9</v>
      </c>
      <c r="Q26" s="198">
        <v>11.8</v>
      </c>
      <c r="R26" s="198">
        <v>40.1</v>
      </c>
      <c r="S26" s="198">
        <v>52.1</v>
      </c>
      <c r="T26" s="187"/>
      <c r="U26" s="199"/>
      <c r="V26" s="197">
        <v>17</v>
      </c>
      <c r="W26" s="198" t="s">
        <v>73</v>
      </c>
      <c r="X26" s="198">
        <v>23.9</v>
      </c>
      <c r="Y26" s="198">
        <v>21.4</v>
      </c>
      <c r="Z26" s="198">
        <v>28</v>
      </c>
      <c r="AA26" s="198">
        <v>10.600000000000001</v>
      </c>
      <c r="AB26" s="198">
        <v>44.25</v>
      </c>
      <c r="AC26" s="198">
        <v>51.7</v>
      </c>
    </row>
    <row r="27" spans="1:29" ht="12.75" customHeight="1">
      <c r="A27" s="199"/>
      <c r="B27" s="197">
        <v>18</v>
      </c>
      <c r="C27" s="198" t="s">
        <v>74</v>
      </c>
      <c r="D27" s="198">
        <v>22.5</v>
      </c>
      <c r="E27" s="198">
        <v>23.5</v>
      </c>
      <c r="F27" s="198">
        <v>42</v>
      </c>
      <c r="G27" s="198">
        <v>28.2</v>
      </c>
      <c r="H27" s="198">
        <v>64.900000000000006</v>
      </c>
      <c r="I27" s="198">
        <v>43.2</v>
      </c>
      <c r="J27" s="187"/>
      <c r="K27" s="199"/>
      <c r="L27" s="197">
        <v>18</v>
      </c>
      <c r="M27" s="198" t="s">
        <v>74</v>
      </c>
      <c r="N27" s="198">
        <v>22.5</v>
      </c>
      <c r="O27" s="198">
        <v>29.7</v>
      </c>
      <c r="P27" s="198">
        <v>45.9</v>
      </c>
      <c r="Q27" s="198">
        <v>28.2</v>
      </c>
      <c r="R27" s="198">
        <v>59.4</v>
      </c>
      <c r="S27" s="198">
        <v>41.2</v>
      </c>
      <c r="T27" s="187"/>
      <c r="U27" s="199"/>
      <c r="V27" s="197">
        <v>18</v>
      </c>
      <c r="W27" s="198" t="s">
        <v>74</v>
      </c>
      <c r="X27" s="198">
        <v>22.5</v>
      </c>
      <c r="Y27" s="198">
        <v>26.6</v>
      </c>
      <c r="Z27" s="198">
        <v>43.95</v>
      </c>
      <c r="AA27" s="198">
        <v>28.2</v>
      </c>
      <c r="AB27" s="198">
        <v>62.150000000000006</v>
      </c>
      <c r="AC27" s="198">
        <v>42.2</v>
      </c>
    </row>
    <row r="28" spans="1:29" ht="12.75" customHeight="1">
      <c r="A28" s="199"/>
      <c r="B28" s="197">
        <v>19</v>
      </c>
      <c r="C28" s="198" t="s">
        <v>75</v>
      </c>
      <c r="D28" s="198">
        <v>3.2</v>
      </c>
      <c r="E28" s="198">
        <v>3.3</v>
      </c>
      <c r="F28" s="198">
        <v>27.9</v>
      </c>
      <c r="G28" s="198">
        <v>9.3000000000000007</v>
      </c>
      <c r="H28" s="198">
        <v>35.4</v>
      </c>
      <c r="I28" s="198">
        <v>40.5</v>
      </c>
      <c r="J28" s="187"/>
      <c r="K28" s="199"/>
      <c r="L28" s="197">
        <v>19</v>
      </c>
      <c r="M28" s="198" t="s">
        <v>75</v>
      </c>
      <c r="N28" s="198">
        <v>4.5999999999999996</v>
      </c>
      <c r="O28" s="198">
        <v>7.5</v>
      </c>
      <c r="P28" s="198">
        <v>28.4</v>
      </c>
      <c r="Q28" s="198">
        <v>11.7</v>
      </c>
      <c r="R28" s="198">
        <v>37.5</v>
      </c>
      <c r="S28" s="198">
        <v>41.2</v>
      </c>
      <c r="T28" s="187"/>
      <c r="U28" s="199"/>
      <c r="V28" s="197">
        <v>19</v>
      </c>
      <c r="W28" s="198" t="s">
        <v>75</v>
      </c>
      <c r="X28" s="198">
        <v>3.9</v>
      </c>
      <c r="Y28" s="198">
        <v>5.4</v>
      </c>
      <c r="Z28" s="198">
        <v>28.15</v>
      </c>
      <c r="AA28" s="198">
        <v>10.5</v>
      </c>
      <c r="AB28" s="198">
        <v>36.450000000000003</v>
      </c>
      <c r="AC28" s="198">
        <v>40.85</v>
      </c>
    </row>
    <row r="29" spans="1:29" ht="12.75" customHeight="1">
      <c r="A29" s="199"/>
      <c r="B29" s="197">
        <v>20</v>
      </c>
      <c r="C29" s="198" t="s">
        <v>76</v>
      </c>
      <c r="D29" s="198">
        <v>10.8</v>
      </c>
      <c r="E29" s="198">
        <v>20.8</v>
      </c>
      <c r="F29" s="198">
        <v>37.299999999999997</v>
      </c>
      <c r="G29" s="198">
        <v>17.899999999999999</v>
      </c>
      <c r="H29" s="198">
        <v>40.1</v>
      </c>
      <c r="I29" s="198">
        <v>50.2</v>
      </c>
      <c r="J29" s="187"/>
      <c r="K29" s="199"/>
      <c r="L29" s="197">
        <v>20</v>
      </c>
      <c r="M29" s="198" t="s">
        <v>76</v>
      </c>
      <c r="N29" s="198">
        <v>10.8</v>
      </c>
      <c r="O29" s="198">
        <v>22.9</v>
      </c>
      <c r="P29" s="198">
        <v>30.9</v>
      </c>
      <c r="Q29" s="198">
        <v>15.5</v>
      </c>
      <c r="R29" s="198">
        <v>40.6</v>
      </c>
      <c r="S29" s="198">
        <v>51.4</v>
      </c>
      <c r="T29" s="187"/>
      <c r="U29" s="199"/>
      <c r="V29" s="197">
        <v>20</v>
      </c>
      <c r="W29" s="198" t="s">
        <v>76</v>
      </c>
      <c r="X29" s="198">
        <v>10.8</v>
      </c>
      <c r="Y29" s="198">
        <v>21.85</v>
      </c>
      <c r="Z29" s="198">
        <v>34.099999999999994</v>
      </c>
      <c r="AA29" s="198">
        <v>16.7</v>
      </c>
      <c r="AB29" s="198">
        <v>40.35</v>
      </c>
      <c r="AC29" s="198">
        <v>50.8</v>
      </c>
    </row>
    <row r="30" spans="1:29" ht="12.75" customHeight="1">
      <c r="A30" s="199"/>
      <c r="B30" s="197">
        <v>21</v>
      </c>
      <c r="C30" s="198" t="s">
        <v>77</v>
      </c>
      <c r="D30" s="198">
        <v>27</v>
      </c>
      <c r="E30" s="198">
        <v>22.6</v>
      </c>
      <c r="F30" s="198">
        <v>34.200000000000003</v>
      </c>
      <c r="G30" s="198">
        <v>15.6</v>
      </c>
      <c r="H30" s="198">
        <v>33.9</v>
      </c>
      <c r="I30" s="198">
        <v>56.4</v>
      </c>
      <c r="J30" s="187"/>
      <c r="K30" s="199"/>
      <c r="L30" s="197">
        <v>21</v>
      </c>
      <c r="M30" s="198" t="s">
        <v>77</v>
      </c>
      <c r="N30" s="198">
        <v>27</v>
      </c>
      <c r="O30" s="198">
        <v>33.1</v>
      </c>
      <c r="P30" s="198">
        <v>31.4</v>
      </c>
      <c r="Q30" s="198">
        <v>22.7</v>
      </c>
      <c r="R30" s="198">
        <v>34.4</v>
      </c>
      <c r="S30" s="198">
        <v>57.2</v>
      </c>
      <c r="T30" s="187"/>
      <c r="U30" s="199"/>
      <c r="V30" s="197">
        <v>21</v>
      </c>
      <c r="W30" s="198" t="s">
        <v>77</v>
      </c>
      <c r="X30" s="198">
        <v>27</v>
      </c>
      <c r="Y30" s="198">
        <v>27.85</v>
      </c>
      <c r="Z30" s="198">
        <v>32.799999999999997</v>
      </c>
      <c r="AA30" s="198">
        <v>19.149999999999999</v>
      </c>
      <c r="AB30" s="198">
        <v>34.15</v>
      </c>
      <c r="AC30" s="198">
        <v>56.8</v>
      </c>
    </row>
    <row r="31" spans="1:29" ht="12.75" customHeight="1">
      <c r="A31" s="199"/>
      <c r="B31" s="197">
        <v>22</v>
      </c>
      <c r="C31" s="198" t="s">
        <v>78</v>
      </c>
      <c r="D31" s="198">
        <v>18</v>
      </c>
      <c r="E31" s="198">
        <v>28.3</v>
      </c>
      <c r="F31" s="198">
        <v>33.700000000000003</v>
      </c>
      <c r="G31" s="198">
        <v>18</v>
      </c>
      <c r="H31" s="198">
        <v>36.799999999999997</v>
      </c>
      <c r="I31" s="198">
        <v>36</v>
      </c>
      <c r="J31" s="187"/>
      <c r="K31" s="199"/>
      <c r="L31" s="197">
        <v>22</v>
      </c>
      <c r="M31" s="198" t="s">
        <v>78</v>
      </c>
      <c r="N31" s="198">
        <v>14.6</v>
      </c>
      <c r="O31" s="198">
        <v>28.3</v>
      </c>
      <c r="P31" s="198">
        <v>25.4</v>
      </c>
      <c r="Q31" s="198">
        <v>20.3</v>
      </c>
      <c r="R31" s="198">
        <v>37.299999999999997</v>
      </c>
      <c r="S31" s="198">
        <v>35.1</v>
      </c>
      <c r="T31" s="187"/>
      <c r="U31" s="199"/>
      <c r="V31" s="197">
        <v>22</v>
      </c>
      <c r="W31" s="198" t="s">
        <v>78</v>
      </c>
      <c r="X31" s="198">
        <v>16.3</v>
      </c>
      <c r="Y31" s="198">
        <v>28.3</v>
      </c>
      <c r="Z31" s="198">
        <v>29.55</v>
      </c>
      <c r="AA31" s="198">
        <v>19.149999999999999</v>
      </c>
      <c r="AB31" s="198">
        <v>37.049999999999997</v>
      </c>
      <c r="AC31" s="198">
        <v>35.549999999999997</v>
      </c>
    </row>
    <row r="32" spans="1:29" ht="12.75" customHeight="1">
      <c r="A32" s="199"/>
      <c r="B32" s="197">
        <v>23</v>
      </c>
      <c r="C32" s="198" t="s">
        <v>79</v>
      </c>
      <c r="D32" s="198">
        <v>8.4</v>
      </c>
      <c r="E32" s="198">
        <v>12.5</v>
      </c>
      <c r="F32" s="198">
        <v>24.8</v>
      </c>
      <c r="G32" s="198">
        <v>7.2</v>
      </c>
      <c r="H32" s="198">
        <v>34.700000000000003</v>
      </c>
      <c r="I32" s="198">
        <v>28.3</v>
      </c>
      <c r="J32" s="187"/>
      <c r="K32" s="199"/>
      <c r="L32" s="197">
        <v>23</v>
      </c>
      <c r="M32" s="198" t="s">
        <v>79</v>
      </c>
      <c r="N32" s="198">
        <v>8.4</v>
      </c>
      <c r="O32" s="198">
        <v>16.7</v>
      </c>
      <c r="P32" s="198">
        <v>25.3</v>
      </c>
      <c r="Q32" s="198">
        <v>7.2</v>
      </c>
      <c r="R32" s="198">
        <v>41.7</v>
      </c>
      <c r="S32" s="198">
        <v>29.1</v>
      </c>
      <c r="T32" s="187"/>
      <c r="U32" s="199"/>
      <c r="V32" s="197">
        <v>23</v>
      </c>
      <c r="W32" s="198" t="s">
        <v>79</v>
      </c>
      <c r="X32" s="198">
        <v>8.4</v>
      </c>
      <c r="Y32" s="198">
        <v>14.6</v>
      </c>
      <c r="Z32" s="198">
        <v>25.05</v>
      </c>
      <c r="AA32" s="198">
        <v>7.2</v>
      </c>
      <c r="AB32" s="198">
        <v>38.200000000000003</v>
      </c>
      <c r="AC32" s="198">
        <v>28.700000000000003</v>
      </c>
    </row>
    <row r="33" spans="1:29" ht="12.75" customHeight="1">
      <c r="A33" s="199"/>
      <c r="B33" s="197">
        <v>24</v>
      </c>
      <c r="C33" s="198" t="s">
        <v>80</v>
      </c>
      <c r="D33" s="198">
        <v>34.4</v>
      </c>
      <c r="E33" s="198">
        <v>51.5</v>
      </c>
      <c r="F33" s="198">
        <v>38.4</v>
      </c>
      <c r="G33" s="198">
        <v>23.9</v>
      </c>
      <c r="H33" s="198">
        <v>66.5</v>
      </c>
      <c r="I33" s="198">
        <v>43.8</v>
      </c>
      <c r="J33" s="187"/>
      <c r="K33" s="199"/>
      <c r="L33" s="197">
        <v>24</v>
      </c>
      <c r="M33" s="198" t="s">
        <v>80</v>
      </c>
      <c r="N33" s="198">
        <v>31</v>
      </c>
      <c r="O33" s="198">
        <v>55.7</v>
      </c>
      <c r="P33" s="198">
        <v>19.3</v>
      </c>
      <c r="Q33" s="198">
        <v>21.5</v>
      </c>
      <c r="R33" s="198">
        <v>62.3</v>
      </c>
      <c r="S33" s="198">
        <v>43.1</v>
      </c>
      <c r="T33" s="187"/>
      <c r="U33" s="199"/>
      <c r="V33" s="197">
        <v>24</v>
      </c>
      <c r="W33" s="198" t="s">
        <v>80</v>
      </c>
      <c r="X33" s="198">
        <v>32.700000000000003</v>
      </c>
      <c r="Y33" s="198">
        <v>53.6</v>
      </c>
      <c r="Z33" s="198">
        <v>28.85</v>
      </c>
      <c r="AA33" s="198">
        <v>22.7</v>
      </c>
      <c r="AB33" s="198">
        <v>64.400000000000006</v>
      </c>
      <c r="AC33" s="198">
        <v>43.45</v>
      </c>
    </row>
    <row r="34" spans="1:29" ht="12.75" customHeight="1">
      <c r="A34" s="199"/>
      <c r="B34" s="197">
        <v>25</v>
      </c>
      <c r="C34" s="198" t="s">
        <v>81</v>
      </c>
      <c r="D34" s="198">
        <v>21.6</v>
      </c>
      <c r="E34" s="198">
        <v>8.5</v>
      </c>
      <c r="F34" s="198">
        <v>46.9</v>
      </c>
      <c r="G34" s="198">
        <v>27.2</v>
      </c>
      <c r="H34" s="198">
        <v>43.6</v>
      </c>
      <c r="I34" s="198">
        <v>48.1</v>
      </c>
      <c r="J34" s="187"/>
      <c r="K34" s="199"/>
      <c r="L34" s="197">
        <v>25</v>
      </c>
      <c r="M34" s="198" t="s">
        <v>81</v>
      </c>
      <c r="N34" s="198">
        <v>12.5</v>
      </c>
      <c r="O34" s="198">
        <v>8.5</v>
      </c>
      <c r="P34" s="198">
        <v>45.8</v>
      </c>
      <c r="Q34" s="198">
        <v>27.2</v>
      </c>
      <c r="R34" s="198">
        <v>42.7</v>
      </c>
      <c r="S34" s="198">
        <v>48.8</v>
      </c>
      <c r="T34" s="187"/>
      <c r="U34" s="199"/>
      <c r="V34" s="197">
        <v>25</v>
      </c>
      <c r="W34" s="198" t="s">
        <v>81</v>
      </c>
      <c r="X34" s="198">
        <v>17.05</v>
      </c>
      <c r="Y34" s="198">
        <v>8.5</v>
      </c>
      <c r="Z34" s="198">
        <v>46.349999999999994</v>
      </c>
      <c r="AA34" s="198">
        <v>27.2</v>
      </c>
      <c r="AB34" s="198">
        <v>43.150000000000006</v>
      </c>
      <c r="AC34" s="198">
        <v>48.45</v>
      </c>
    </row>
    <row r="35" spans="1:29" ht="12.75" customHeight="1">
      <c r="A35" s="199"/>
      <c r="B35" s="197">
        <v>26</v>
      </c>
      <c r="C35" s="198" t="s">
        <v>82</v>
      </c>
      <c r="D35" s="198">
        <v>7.6</v>
      </c>
      <c r="E35" s="198">
        <v>23.8</v>
      </c>
      <c r="F35" s="198">
        <v>34.700000000000003</v>
      </c>
      <c r="G35" s="198">
        <v>29.2</v>
      </c>
      <c r="H35" s="198">
        <v>67.400000000000006</v>
      </c>
      <c r="I35" s="198">
        <v>44.7</v>
      </c>
      <c r="J35" s="187"/>
      <c r="K35" s="199"/>
      <c r="L35" s="197">
        <v>26</v>
      </c>
      <c r="M35" s="198" t="s">
        <v>82</v>
      </c>
      <c r="N35" s="198">
        <v>7.6</v>
      </c>
      <c r="O35" s="198">
        <v>24.6</v>
      </c>
      <c r="P35" s="198">
        <v>32.6</v>
      </c>
      <c r="Q35" s="198">
        <v>36.4</v>
      </c>
      <c r="R35" s="198">
        <v>66.5</v>
      </c>
      <c r="S35" s="198">
        <v>46.6</v>
      </c>
      <c r="T35" s="187"/>
      <c r="U35" s="199"/>
      <c r="V35" s="197">
        <v>26</v>
      </c>
      <c r="W35" s="198" t="s">
        <v>82</v>
      </c>
      <c r="X35" s="198">
        <v>7.6</v>
      </c>
      <c r="Y35" s="198">
        <v>24.200000000000003</v>
      </c>
      <c r="Z35" s="198">
        <v>33.650000000000006</v>
      </c>
      <c r="AA35" s="198">
        <v>32.799999999999997</v>
      </c>
      <c r="AB35" s="198">
        <v>66.95</v>
      </c>
      <c r="AC35" s="198">
        <v>45.650000000000006</v>
      </c>
    </row>
    <row r="36" spans="1:29" ht="12.75" customHeight="1">
      <c r="A36" s="199"/>
      <c r="B36" s="197">
        <v>27</v>
      </c>
      <c r="C36" s="198" t="s">
        <v>83</v>
      </c>
      <c r="D36" s="198">
        <v>17.5</v>
      </c>
      <c r="E36" s="198">
        <v>27.5</v>
      </c>
      <c r="F36" s="198">
        <v>35.9</v>
      </c>
      <c r="G36" s="198">
        <v>15.8</v>
      </c>
      <c r="H36" s="198">
        <v>52.6</v>
      </c>
      <c r="I36" s="198">
        <v>36.1</v>
      </c>
      <c r="J36" s="187"/>
      <c r="K36" s="199"/>
      <c r="L36" s="197">
        <v>27</v>
      </c>
      <c r="M36" s="198" t="s">
        <v>83</v>
      </c>
      <c r="N36" s="198">
        <v>17.5</v>
      </c>
      <c r="O36" s="198">
        <v>31.7</v>
      </c>
      <c r="P36" s="198">
        <v>28.5</v>
      </c>
      <c r="Q36" s="198">
        <v>15.8</v>
      </c>
      <c r="R36" s="198">
        <v>52.6</v>
      </c>
      <c r="S36" s="198">
        <v>36.6</v>
      </c>
      <c r="T36" s="187"/>
      <c r="U36" s="199"/>
      <c r="V36" s="197">
        <v>27</v>
      </c>
      <c r="W36" s="198" t="s">
        <v>83</v>
      </c>
      <c r="X36" s="198">
        <v>17.5</v>
      </c>
      <c r="Y36" s="198">
        <v>29.6</v>
      </c>
      <c r="Z36" s="198">
        <v>32.200000000000003</v>
      </c>
      <c r="AA36" s="198">
        <v>15.8</v>
      </c>
      <c r="AB36" s="198">
        <v>52.6</v>
      </c>
      <c r="AC36" s="198">
        <v>36.35</v>
      </c>
    </row>
    <row r="37" spans="1:29" ht="12.75" customHeight="1">
      <c r="A37" s="199"/>
      <c r="B37" s="197">
        <v>28</v>
      </c>
      <c r="C37" s="198" t="s">
        <v>84</v>
      </c>
      <c r="D37" s="198">
        <v>17.3</v>
      </c>
      <c r="E37" s="198">
        <v>14.7</v>
      </c>
      <c r="F37" s="198">
        <v>23.5</v>
      </c>
      <c r="G37" s="198">
        <v>19.899999999999999</v>
      </c>
      <c r="H37" s="198">
        <v>47.9</v>
      </c>
      <c r="I37" s="198">
        <v>43.2</v>
      </c>
      <c r="J37" s="187"/>
      <c r="K37" s="199"/>
      <c r="L37" s="197">
        <v>28</v>
      </c>
      <c r="M37" s="198" t="s">
        <v>84</v>
      </c>
      <c r="N37" s="198">
        <v>17.3</v>
      </c>
      <c r="O37" s="198">
        <v>10.6</v>
      </c>
      <c r="P37" s="198">
        <v>24.9</v>
      </c>
      <c r="Q37" s="198">
        <v>22.3</v>
      </c>
      <c r="R37" s="198">
        <v>51.9</v>
      </c>
      <c r="S37" s="198">
        <v>44.2</v>
      </c>
      <c r="T37" s="187"/>
      <c r="U37" s="199"/>
      <c r="V37" s="197">
        <v>28</v>
      </c>
      <c r="W37" s="198" t="s">
        <v>84</v>
      </c>
      <c r="X37" s="198">
        <v>17.3</v>
      </c>
      <c r="Y37" s="198">
        <v>12.649999999999999</v>
      </c>
      <c r="Z37" s="198">
        <v>24.2</v>
      </c>
      <c r="AA37" s="198">
        <v>21.1</v>
      </c>
      <c r="AB37" s="198">
        <v>49.9</v>
      </c>
      <c r="AC37" s="198">
        <v>43.7</v>
      </c>
    </row>
    <row r="38" spans="1:29" ht="12.75" customHeight="1">
      <c r="A38" s="199"/>
      <c r="B38" s="197">
        <v>29</v>
      </c>
      <c r="C38" s="198" t="s">
        <v>85</v>
      </c>
      <c r="D38" s="198">
        <v>13.9</v>
      </c>
      <c r="E38" s="198">
        <v>24.6</v>
      </c>
      <c r="F38" s="198">
        <v>33.1</v>
      </c>
      <c r="G38" s="198">
        <v>14.5</v>
      </c>
      <c r="H38" s="198">
        <v>58.2</v>
      </c>
      <c r="I38" s="198">
        <v>39.1</v>
      </c>
      <c r="J38" s="187"/>
      <c r="K38" s="199"/>
      <c r="L38" s="197">
        <v>29</v>
      </c>
      <c r="M38" s="198" t="s">
        <v>85</v>
      </c>
      <c r="N38" s="198">
        <v>10.5</v>
      </c>
      <c r="O38" s="198">
        <v>25.1</v>
      </c>
      <c r="P38" s="198">
        <v>32.200000000000003</v>
      </c>
      <c r="Q38" s="198">
        <v>17.3</v>
      </c>
      <c r="R38" s="198">
        <v>56.1</v>
      </c>
      <c r="S38" s="198">
        <v>32.700000000000003</v>
      </c>
      <c r="T38" s="187"/>
      <c r="U38" s="199"/>
      <c r="V38" s="197">
        <v>29</v>
      </c>
      <c r="W38" s="198" t="s">
        <v>85</v>
      </c>
      <c r="X38" s="198">
        <v>12.2</v>
      </c>
      <c r="Y38" s="198">
        <v>24.85</v>
      </c>
      <c r="Z38" s="198">
        <v>32.650000000000006</v>
      </c>
      <c r="AA38" s="198">
        <v>15.9</v>
      </c>
      <c r="AB38" s="198">
        <v>57.150000000000006</v>
      </c>
      <c r="AC38" s="198">
        <v>35.900000000000006</v>
      </c>
    </row>
    <row r="39" spans="1:29" ht="12.75" customHeight="1">
      <c r="A39" s="199"/>
      <c r="B39" s="197">
        <v>30</v>
      </c>
      <c r="C39" s="198" t="s">
        <v>86</v>
      </c>
      <c r="D39" s="198">
        <v>1.9</v>
      </c>
      <c r="E39" s="198">
        <v>24.6</v>
      </c>
      <c r="F39" s="198">
        <v>31</v>
      </c>
      <c r="G39" s="198">
        <v>21</v>
      </c>
      <c r="H39" s="198">
        <v>33.200000000000003</v>
      </c>
      <c r="I39" s="198">
        <v>40.799999999999997</v>
      </c>
      <c r="J39" s="187"/>
      <c r="K39" s="199"/>
      <c r="L39" s="197">
        <v>30</v>
      </c>
      <c r="M39" s="198" t="s">
        <v>86</v>
      </c>
      <c r="N39" s="198">
        <v>1.9</v>
      </c>
      <c r="O39" s="198">
        <v>26.7</v>
      </c>
      <c r="P39" s="198">
        <v>28.5</v>
      </c>
      <c r="Q39" s="198">
        <v>21</v>
      </c>
      <c r="R39" s="198">
        <v>37.799999999999997</v>
      </c>
      <c r="S39" s="198">
        <v>41.3</v>
      </c>
      <c r="T39" s="187"/>
      <c r="U39" s="199"/>
      <c r="V39" s="197">
        <v>30</v>
      </c>
      <c r="W39" s="198" t="s">
        <v>86</v>
      </c>
      <c r="X39" s="198">
        <v>1.9</v>
      </c>
      <c r="Y39" s="198">
        <v>25.65</v>
      </c>
      <c r="Z39" s="198">
        <v>29.75</v>
      </c>
      <c r="AA39" s="198">
        <v>21</v>
      </c>
      <c r="AB39" s="198">
        <v>35.5</v>
      </c>
      <c r="AC39" s="198">
        <v>41.05</v>
      </c>
    </row>
    <row r="40" spans="1:29" ht="12.75" customHeight="1">
      <c r="A40" s="199"/>
      <c r="B40" s="197">
        <v>31</v>
      </c>
      <c r="C40" s="198" t="s">
        <v>87</v>
      </c>
      <c r="D40" s="198">
        <v>27.3</v>
      </c>
      <c r="E40" s="198">
        <v>35.799999999999997</v>
      </c>
      <c r="F40" s="198">
        <v>29.9</v>
      </c>
      <c r="G40" s="198">
        <v>20.7</v>
      </c>
      <c r="H40" s="198">
        <v>51.2</v>
      </c>
      <c r="I40" s="198">
        <v>65</v>
      </c>
      <c r="J40" s="187"/>
      <c r="K40" s="199"/>
      <c r="L40" s="197">
        <v>31</v>
      </c>
      <c r="M40" s="198" t="s">
        <v>87</v>
      </c>
      <c r="N40" s="198">
        <v>27.3</v>
      </c>
      <c r="O40" s="198">
        <v>32.200000000000003</v>
      </c>
      <c r="P40" s="198">
        <v>35</v>
      </c>
      <c r="Q40" s="198">
        <v>23.1</v>
      </c>
      <c r="R40" s="198">
        <v>54.5</v>
      </c>
      <c r="S40" s="198">
        <v>65.8</v>
      </c>
      <c r="T40" s="187"/>
      <c r="U40" s="199"/>
      <c r="V40" s="197">
        <v>31</v>
      </c>
      <c r="W40" s="198" t="s">
        <v>87</v>
      </c>
      <c r="X40" s="198">
        <v>27.3</v>
      </c>
      <c r="Y40" s="198">
        <v>34</v>
      </c>
      <c r="Z40" s="198">
        <v>32.450000000000003</v>
      </c>
      <c r="AA40" s="198">
        <v>21.9</v>
      </c>
      <c r="AB40" s="198">
        <v>52.85</v>
      </c>
      <c r="AC40" s="198">
        <v>65.400000000000006</v>
      </c>
    </row>
    <row r="41" spans="1:29" ht="12.75" customHeight="1">
      <c r="A41" s="199"/>
      <c r="B41" s="197">
        <v>32</v>
      </c>
      <c r="C41" s="198" t="s">
        <v>88</v>
      </c>
      <c r="D41" s="198">
        <v>15.1</v>
      </c>
      <c r="E41" s="198">
        <v>24.2</v>
      </c>
      <c r="F41" s="198">
        <v>30.2</v>
      </c>
      <c r="G41" s="198">
        <v>24</v>
      </c>
      <c r="H41" s="198">
        <v>41</v>
      </c>
      <c r="I41" s="198">
        <v>43.1</v>
      </c>
      <c r="J41" s="187"/>
      <c r="K41" s="199"/>
      <c r="L41" s="197">
        <v>32</v>
      </c>
      <c r="M41" s="198" t="s">
        <v>88</v>
      </c>
      <c r="N41" s="198">
        <v>19.2</v>
      </c>
      <c r="O41" s="198">
        <v>28.3</v>
      </c>
      <c r="P41" s="198">
        <v>26.9</v>
      </c>
      <c r="Q41" s="198">
        <v>24</v>
      </c>
      <c r="R41" s="198">
        <v>43.6</v>
      </c>
      <c r="S41" s="198">
        <v>40.5</v>
      </c>
      <c r="T41" s="187"/>
      <c r="U41" s="199"/>
      <c r="V41" s="197">
        <v>32</v>
      </c>
      <c r="W41" s="198" t="s">
        <v>88</v>
      </c>
      <c r="X41" s="198">
        <v>17.149999999999999</v>
      </c>
      <c r="Y41" s="198">
        <v>26.25</v>
      </c>
      <c r="Z41" s="198">
        <v>28.549999999999997</v>
      </c>
      <c r="AA41" s="198">
        <v>24</v>
      </c>
      <c r="AB41" s="198">
        <v>42.3</v>
      </c>
      <c r="AC41" s="198">
        <v>41.8</v>
      </c>
    </row>
    <row r="42" spans="1:29" ht="12.75" customHeight="1">
      <c r="A42" s="199"/>
      <c r="B42" s="197">
        <v>33</v>
      </c>
      <c r="C42" s="198" t="s">
        <v>89</v>
      </c>
      <c r="D42" s="198">
        <v>12.5</v>
      </c>
      <c r="E42" s="198">
        <v>35.4</v>
      </c>
      <c r="F42" s="198">
        <v>27.4</v>
      </c>
      <c r="G42" s="198">
        <v>14.4</v>
      </c>
      <c r="H42" s="198">
        <v>41.5</v>
      </c>
      <c r="I42" s="198">
        <v>53.9</v>
      </c>
      <c r="J42" s="187"/>
      <c r="K42" s="199"/>
      <c r="L42" s="197">
        <v>33</v>
      </c>
      <c r="M42" s="198" t="s">
        <v>89</v>
      </c>
      <c r="N42" s="198">
        <v>9.1999999999999993</v>
      </c>
      <c r="O42" s="198">
        <v>31.8</v>
      </c>
      <c r="P42" s="198">
        <v>31.1</v>
      </c>
      <c r="Q42" s="198">
        <v>16.8</v>
      </c>
      <c r="R42" s="198">
        <v>40.6</v>
      </c>
      <c r="S42" s="198">
        <v>52.2</v>
      </c>
      <c r="T42" s="187"/>
      <c r="U42" s="199"/>
      <c r="V42" s="197">
        <v>33</v>
      </c>
      <c r="W42" s="198" t="s">
        <v>89</v>
      </c>
      <c r="X42" s="198">
        <v>10.85</v>
      </c>
      <c r="Y42" s="198">
        <v>33.6</v>
      </c>
      <c r="Z42" s="198">
        <v>29.25</v>
      </c>
      <c r="AA42" s="198">
        <v>15.600000000000001</v>
      </c>
      <c r="AB42" s="198">
        <v>41.05</v>
      </c>
      <c r="AC42" s="198">
        <v>53.05</v>
      </c>
    </row>
    <row r="43" spans="1:29" ht="12.75" customHeight="1">
      <c r="A43" s="199"/>
      <c r="B43" s="197">
        <v>34</v>
      </c>
      <c r="C43" s="198" t="s">
        <v>90</v>
      </c>
      <c r="D43" s="198">
        <v>22.3</v>
      </c>
      <c r="E43" s="198">
        <v>28.3</v>
      </c>
      <c r="F43" s="198">
        <v>25</v>
      </c>
      <c r="G43" s="198">
        <v>24</v>
      </c>
      <c r="H43" s="198">
        <v>41.7</v>
      </c>
      <c r="I43" s="198">
        <v>37.1</v>
      </c>
      <c r="J43" s="187"/>
      <c r="K43" s="199"/>
      <c r="L43" s="197">
        <v>34</v>
      </c>
      <c r="M43" s="198" t="s">
        <v>90</v>
      </c>
      <c r="N43" s="198">
        <v>18.899999999999999</v>
      </c>
      <c r="O43" s="198">
        <v>24.2</v>
      </c>
      <c r="P43" s="198">
        <v>26.7</v>
      </c>
      <c r="Q43" s="198">
        <v>24</v>
      </c>
      <c r="R43" s="198">
        <v>46.4</v>
      </c>
      <c r="S43" s="198">
        <v>31.9</v>
      </c>
      <c r="T43" s="187"/>
      <c r="U43" s="199"/>
      <c r="V43" s="197">
        <v>34</v>
      </c>
      <c r="W43" s="198" t="s">
        <v>90</v>
      </c>
      <c r="X43" s="198">
        <v>20.6</v>
      </c>
      <c r="Y43" s="198">
        <v>26.25</v>
      </c>
      <c r="Z43" s="198">
        <v>25.85</v>
      </c>
      <c r="AA43" s="198">
        <v>24</v>
      </c>
      <c r="AB43" s="198">
        <v>44.05</v>
      </c>
      <c r="AC43" s="198">
        <v>34.5</v>
      </c>
    </row>
    <row r="44" spans="1:29" ht="12.75" customHeight="1">
      <c r="A44" s="199"/>
      <c r="B44" s="197">
        <v>35</v>
      </c>
      <c r="C44" s="198" t="s">
        <v>91</v>
      </c>
      <c r="D44" s="198">
        <v>23.5</v>
      </c>
      <c r="E44" s="198">
        <v>35.799999999999997</v>
      </c>
      <c r="F44" s="198">
        <v>41.8</v>
      </c>
      <c r="G44" s="198">
        <v>23.4</v>
      </c>
      <c r="H44" s="198">
        <v>54.7</v>
      </c>
      <c r="I44" s="198">
        <v>42.6</v>
      </c>
      <c r="J44" s="187"/>
      <c r="K44" s="199"/>
      <c r="L44" s="197">
        <v>35</v>
      </c>
      <c r="M44" s="198" t="s">
        <v>91</v>
      </c>
      <c r="N44" s="198">
        <v>20.100000000000001</v>
      </c>
      <c r="O44" s="198">
        <v>37.9</v>
      </c>
      <c r="P44" s="198">
        <v>43.2</v>
      </c>
      <c r="Q44" s="198">
        <v>23.4</v>
      </c>
      <c r="R44" s="198">
        <v>62.8</v>
      </c>
      <c r="S44" s="198">
        <v>40.700000000000003</v>
      </c>
      <c r="T44" s="187"/>
      <c r="U44" s="199"/>
      <c r="V44" s="197">
        <v>35</v>
      </c>
      <c r="W44" s="198" t="s">
        <v>91</v>
      </c>
      <c r="X44" s="198">
        <v>21.8</v>
      </c>
      <c r="Y44" s="198">
        <v>36.849999999999994</v>
      </c>
      <c r="Z44" s="198">
        <v>42.5</v>
      </c>
      <c r="AA44" s="198">
        <v>23.4</v>
      </c>
      <c r="AB44" s="198">
        <v>58.75</v>
      </c>
      <c r="AC44" s="198">
        <v>41.650000000000006</v>
      </c>
    </row>
    <row r="45" spans="1:29" ht="12.75" customHeight="1">
      <c r="A45" s="199"/>
      <c r="B45" s="197">
        <v>36</v>
      </c>
      <c r="C45" s="198" t="s">
        <v>92</v>
      </c>
      <c r="D45" s="198">
        <v>29.7</v>
      </c>
      <c r="E45" s="198">
        <v>24.6</v>
      </c>
      <c r="F45" s="198">
        <v>28.5</v>
      </c>
      <c r="G45" s="198">
        <v>20.9</v>
      </c>
      <c r="H45" s="198">
        <v>33.9</v>
      </c>
      <c r="I45" s="198">
        <v>49.2</v>
      </c>
      <c r="J45" s="187"/>
      <c r="K45" s="199"/>
      <c r="L45" s="197">
        <v>36</v>
      </c>
      <c r="M45" s="198" t="s">
        <v>92</v>
      </c>
      <c r="N45" s="198">
        <v>25.4</v>
      </c>
      <c r="O45" s="198">
        <v>34.6</v>
      </c>
      <c r="P45" s="198">
        <v>30.5</v>
      </c>
      <c r="Q45" s="198">
        <v>18.5</v>
      </c>
      <c r="R45" s="198">
        <v>39.4</v>
      </c>
      <c r="S45" s="198">
        <v>50.1</v>
      </c>
      <c r="T45" s="187"/>
      <c r="U45" s="199"/>
      <c r="V45" s="197">
        <v>36</v>
      </c>
      <c r="W45" s="198" t="s">
        <v>92</v>
      </c>
      <c r="X45" s="198">
        <v>27.549999999999997</v>
      </c>
      <c r="Y45" s="198">
        <v>29.6</v>
      </c>
      <c r="Z45" s="198">
        <v>29.5</v>
      </c>
      <c r="AA45" s="198">
        <v>19.7</v>
      </c>
      <c r="AB45" s="198">
        <v>36.65</v>
      </c>
      <c r="AC45" s="198">
        <v>49.650000000000006</v>
      </c>
    </row>
    <row r="46" spans="1:29" ht="12.75" customHeight="1">
      <c r="A46" s="199"/>
      <c r="B46" s="197">
        <v>37</v>
      </c>
      <c r="C46" s="198" t="s">
        <v>93</v>
      </c>
      <c r="D46" s="198">
        <v>1E-3</v>
      </c>
      <c r="E46" s="198">
        <v>5.8</v>
      </c>
      <c r="F46" s="198">
        <v>29.4</v>
      </c>
      <c r="G46" s="198">
        <v>10.9</v>
      </c>
      <c r="H46" s="198">
        <v>34.700000000000003</v>
      </c>
      <c r="I46" s="198">
        <v>44.7</v>
      </c>
      <c r="J46" s="187"/>
      <c r="K46" s="199"/>
      <c r="L46" s="197">
        <v>37</v>
      </c>
      <c r="M46" s="198" t="s">
        <v>93</v>
      </c>
      <c r="N46" s="198">
        <v>14.4</v>
      </c>
      <c r="O46" s="198">
        <v>7.9</v>
      </c>
      <c r="P46" s="198">
        <v>32.1</v>
      </c>
      <c r="Q46" s="198">
        <v>25.2</v>
      </c>
      <c r="R46" s="198">
        <v>33.9</v>
      </c>
      <c r="S46" s="198">
        <v>46</v>
      </c>
      <c r="T46" s="187"/>
      <c r="U46" s="199"/>
      <c r="V46" s="197">
        <v>37</v>
      </c>
      <c r="W46" s="198" t="s">
        <v>93</v>
      </c>
      <c r="X46" s="198">
        <v>7.2004999999999999</v>
      </c>
      <c r="Y46" s="198">
        <v>6.85</v>
      </c>
      <c r="Z46" s="198">
        <v>30.75</v>
      </c>
      <c r="AA46" s="198">
        <v>18.05</v>
      </c>
      <c r="AB46" s="198">
        <v>34.299999999999997</v>
      </c>
      <c r="AC46" s="198">
        <v>45.35</v>
      </c>
    </row>
    <row r="47" spans="1:29" ht="12.75" customHeight="1">
      <c r="A47" s="199"/>
      <c r="B47" s="197">
        <v>38</v>
      </c>
      <c r="C47" s="198" t="s">
        <v>94</v>
      </c>
      <c r="D47" s="198">
        <v>14.3</v>
      </c>
      <c r="E47" s="198">
        <v>28.3</v>
      </c>
      <c r="F47" s="198">
        <v>49.5</v>
      </c>
      <c r="G47" s="198">
        <v>14.3</v>
      </c>
      <c r="H47" s="198">
        <v>56.8</v>
      </c>
      <c r="I47" s="198">
        <v>51.9</v>
      </c>
      <c r="J47" s="187"/>
      <c r="K47" s="199"/>
      <c r="L47" s="197">
        <v>38</v>
      </c>
      <c r="M47" s="198" t="s">
        <v>94</v>
      </c>
      <c r="N47" s="198">
        <v>11</v>
      </c>
      <c r="O47" s="198">
        <v>28.3</v>
      </c>
      <c r="P47" s="198">
        <v>41.3</v>
      </c>
      <c r="Q47" s="198">
        <v>14.6</v>
      </c>
      <c r="R47" s="198">
        <v>54</v>
      </c>
      <c r="S47" s="198">
        <v>47.8</v>
      </c>
      <c r="T47" s="187"/>
      <c r="U47" s="199"/>
      <c r="V47" s="197">
        <v>38</v>
      </c>
      <c r="W47" s="198" t="s">
        <v>94</v>
      </c>
      <c r="X47" s="198">
        <v>12.65</v>
      </c>
      <c r="Y47" s="198">
        <v>28.3</v>
      </c>
      <c r="Z47" s="198">
        <v>45.4</v>
      </c>
      <c r="AA47" s="198">
        <v>14.45</v>
      </c>
      <c r="AB47" s="198">
        <v>55.4</v>
      </c>
      <c r="AC47" s="198">
        <v>49.849999999999994</v>
      </c>
    </row>
    <row r="48" spans="1:29" ht="12.75" customHeight="1">
      <c r="A48" s="199"/>
      <c r="B48" s="197">
        <v>39</v>
      </c>
      <c r="C48" s="198" t="s">
        <v>95</v>
      </c>
      <c r="D48" s="198">
        <v>8.3000000000000007</v>
      </c>
      <c r="E48" s="198">
        <v>22.9</v>
      </c>
      <c r="F48" s="198">
        <v>37.4</v>
      </c>
      <c r="G48" s="198">
        <v>15.8</v>
      </c>
      <c r="H48" s="198">
        <v>45.1</v>
      </c>
      <c r="I48" s="198">
        <v>69.8</v>
      </c>
      <c r="J48" s="187"/>
      <c r="K48" s="199"/>
      <c r="L48" s="197">
        <v>39</v>
      </c>
      <c r="M48" s="198" t="s">
        <v>95</v>
      </c>
      <c r="N48" s="198">
        <v>8.6</v>
      </c>
      <c r="O48" s="198">
        <v>18.8</v>
      </c>
      <c r="P48" s="198">
        <v>32.5</v>
      </c>
      <c r="Q48" s="198">
        <v>18.2</v>
      </c>
      <c r="R48" s="198">
        <v>45.7</v>
      </c>
      <c r="S48" s="198">
        <v>67.3</v>
      </c>
      <c r="T48" s="187"/>
      <c r="U48" s="199"/>
      <c r="V48" s="197">
        <v>39</v>
      </c>
      <c r="W48" s="198" t="s">
        <v>95</v>
      </c>
      <c r="X48" s="198">
        <v>8.4499999999999993</v>
      </c>
      <c r="Y48" s="198">
        <v>20.85</v>
      </c>
      <c r="Z48" s="198">
        <v>34.950000000000003</v>
      </c>
      <c r="AA48" s="198">
        <v>17</v>
      </c>
      <c r="AB48" s="198">
        <v>45.400000000000006</v>
      </c>
      <c r="AC48" s="198">
        <v>68.55</v>
      </c>
    </row>
    <row r="49" spans="1:29" ht="12.75" customHeight="1">
      <c r="A49" s="199"/>
      <c r="B49" s="197">
        <v>40</v>
      </c>
      <c r="C49" s="198" t="s">
        <v>96</v>
      </c>
      <c r="D49" s="198">
        <v>17.399999999999999</v>
      </c>
      <c r="E49" s="198">
        <v>31.4</v>
      </c>
      <c r="F49" s="198">
        <v>39.1</v>
      </c>
      <c r="G49" s="198">
        <v>30.6</v>
      </c>
      <c r="H49" s="198">
        <v>48.6</v>
      </c>
      <c r="I49" s="198">
        <v>37.700000000000003</v>
      </c>
      <c r="J49" s="187"/>
      <c r="K49" s="199"/>
      <c r="L49" s="197">
        <v>40</v>
      </c>
      <c r="M49" s="198" t="s">
        <v>96</v>
      </c>
      <c r="N49" s="198">
        <v>9</v>
      </c>
      <c r="O49" s="198">
        <v>31.4</v>
      </c>
      <c r="P49" s="198">
        <v>37.299999999999997</v>
      </c>
      <c r="Q49" s="198">
        <v>31</v>
      </c>
      <c r="R49" s="198">
        <v>47.2</v>
      </c>
      <c r="S49" s="198">
        <v>40.299999999999997</v>
      </c>
      <c r="T49" s="187"/>
      <c r="U49" s="199"/>
      <c r="V49" s="197">
        <v>40</v>
      </c>
      <c r="W49" s="198" t="s">
        <v>96</v>
      </c>
      <c r="X49" s="198">
        <v>13.2</v>
      </c>
      <c r="Y49" s="198">
        <v>31.4</v>
      </c>
      <c r="Z49" s="198">
        <v>38.200000000000003</v>
      </c>
      <c r="AA49" s="198">
        <v>30.8</v>
      </c>
      <c r="AB49" s="198">
        <v>47.900000000000006</v>
      </c>
      <c r="AC49" s="198">
        <v>39</v>
      </c>
    </row>
    <row r="50" spans="1:29" ht="12.75" customHeight="1">
      <c r="A50" s="199"/>
      <c r="B50" s="197">
        <v>41</v>
      </c>
      <c r="C50" s="198" t="s">
        <v>97</v>
      </c>
      <c r="D50" s="198">
        <v>35.5</v>
      </c>
      <c r="E50" s="198">
        <v>52.1</v>
      </c>
      <c r="F50" s="198">
        <v>61.3</v>
      </c>
      <c r="G50" s="198">
        <v>29.3</v>
      </c>
      <c r="H50" s="198">
        <v>47.2</v>
      </c>
      <c r="I50" s="198">
        <v>59.4</v>
      </c>
      <c r="J50" s="187"/>
      <c r="K50" s="199"/>
      <c r="L50" s="197">
        <v>41</v>
      </c>
      <c r="M50" s="198" t="s">
        <v>97</v>
      </c>
      <c r="N50" s="198">
        <v>32.1</v>
      </c>
      <c r="O50" s="198">
        <v>50</v>
      </c>
      <c r="P50" s="198">
        <v>62</v>
      </c>
      <c r="Q50" s="198">
        <v>29.2</v>
      </c>
      <c r="R50" s="198">
        <v>43.1</v>
      </c>
      <c r="S50" s="198">
        <v>58.5</v>
      </c>
      <c r="T50" s="187"/>
      <c r="U50" s="199"/>
      <c r="V50" s="197">
        <v>41</v>
      </c>
      <c r="W50" s="198" t="s">
        <v>97</v>
      </c>
      <c r="X50" s="198">
        <v>33.799999999999997</v>
      </c>
      <c r="Y50" s="198">
        <v>51.05</v>
      </c>
      <c r="Z50" s="198">
        <v>61.65</v>
      </c>
      <c r="AA50" s="198">
        <v>29.25</v>
      </c>
      <c r="AB50" s="198">
        <v>45.150000000000006</v>
      </c>
      <c r="AC50" s="198">
        <v>58.95</v>
      </c>
    </row>
    <row r="51" spans="1:29" ht="12.75" customHeight="1">
      <c r="A51" s="199"/>
      <c r="B51" s="197">
        <v>42</v>
      </c>
      <c r="C51" s="198" t="s">
        <v>98</v>
      </c>
      <c r="D51" s="198">
        <v>15.4</v>
      </c>
      <c r="E51" s="198">
        <v>16.7</v>
      </c>
      <c r="F51" s="198">
        <v>21.3</v>
      </c>
      <c r="G51" s="198">
        <v>17.100000000000001</v>
      </c>
      <c r="H51" s="198">
        <v>31.3</v>
      </c>
      <c r="I51" s="198">
        <v>27.8</v>
      </c>
      <c r="J51" s="187"/>
      <c r="K51" s="199"/>
      <c r="L51" s="197">
        <v>42</v>
      </c>
      <c r="M51" s="198" t="s">
        <v>98</v>
      </c>
      <c r="N51" s="198">
        <v>12.1</v>
      </c>
      <c r="O51" s="198">
        <v>14.6</v>
      </c>
      <c r="P51" s="198">
        <v>25.4</v>
      </c>
      <c r="Q51" s="198">
        <v>19.5</v>
      </c>
      <c r="R51" s="198">
        <v>31.3</v>
      </c>
      <c r="S51" s="198">
        <v>25.1</v>
      </c>
      <c r="T51" s="187"/>
      <c r="U51" s="199"/>
      <c r="V51" s="197">
        <v>42</v>
      </c>
      <c r="W51" s="198" t="s">
        <v>98</v>
      </c>
      <c r="X51" s="198">
        <v>13.75</v>
      </c>
      <c r="Y51" s="198">
        <v>15.649999999999999</v>
      </c>
      <c r="Z51" s="198">
        <v>23.35</v>
      </c>
      <c r="AA51" s="198">
        <v>18.3</v>
      </c>
      <c r="AB51" s="198">
        <v>31.3</v>
      </c>
      <c r="AC51" s="198">
        <v>26.450000000000003</v>
      </c>
    </row>
    <row r="52" spans="1:29" ht="12.75" customHeight="1">
      <c r="A52" s="199"/>
      <c r="B52" s="197">
        <v>43</v>
      </c>
      <c r="C52" s="198" t="s">
        <v>99</v>
      </c>
      <c r="D52" s="198">
        <v>18.8</v>
      </c>
      <c r="E52" s="198">
        <v>29.7</v>
      </c>
      <c r="F52" s="198">
        <v>29.9</v>
      </c>
      <c r="G52" s="198">
        <v>11</v>
      </c>
      <c r="H52" s="198">
        <v>53.1</v>
      </c>
      <c r="I52" s="198">
        <v>50.8</v>
      </c>
      <c r="J52" s="187"/>
      <c r="K52" s="199"/>
      <c r="L52" s="197">
        <v>43</v>
      </c>
      <c r="M52" s="198" t="s">
        <v>99</v>
      </c>
      <c r="N52" s="198">
        <v>15.4</v>
      </c>
      <c r="O52" s="198">
        <v>25.6</v>
      </c>
      <c r="P52" s="198">
        <v>26.4</v>
      </c>
      <c r="Q52" s="198">
        <v>11</v>
      </c>
      <c r="R52" s="198">
        <v>58.9</v>
      </c>
      <c r="S52" s="198">
        <v>50.5</v>
      </c>
      <c r="T52" s="187"/>
      <c r="U52" s="199"/>
      <c r="V52" s="197">
        <v>43</v>
      </c>
      <c r="W52" s="198" t="s">
        <v>99</v>
      </c>
      <c r="X52" s="198">
        <v>17.100000000000001</v>
      </c>
      <c r="Y52" s="198">
        <v>27.65</v>
      </c>
      <c r="Z52" s="198">
        <v>28.15</v>
      </c>
      <c r="AA52" s="198">
        <v>11</v>
      </c>
      <c r="AB52" s="198">
        <v>56</v>
      </c>
      <c r="AC52" s="198">
        <v>50.65</v>
      </c>
    </row>
    <row r="53" spans="1:29" ht="12.75" customHeight="1">
      <c r="A53" s="199"/>
      <c r="B53" s="197">
        <v>44</v>
      </c>
      <c r="C53" s="198" t="s">
        <v>100</v>
      </c>
      <c r="D53" s="198">
        <v>13.6</v>
      </c>
      <c r="E53" s="198">
        <v>27.1</v>
      </c>
      <c r="F53" s="198">
        <v>30.3</v>
      </c>
      <c r="G53" s="198">
        <v>11.5</v>
      </c>
      <c r="H53" s="198">
        <v>33.299999999999997</v>
      </c>
      <c r="I53" s="198">
        <v>40.9</v>
      </c>
      <c r="J53" s="187"/>
      <c r="K53" s="199"/>
      <c r="L53" s="197">
        <v>44</v>
      </c>
      <c r="M53" s="198" t="s">
        <v>100</v>
      </c>
      <c r="N53" s="198">
        <v>10.199999999999999</v>
      </c>
      <c r="O53" s="198">
        <v>34.6</v>
      </c>
      <c r="P53" s="198">
        <v>27</v>
      </c>
      <c r="Q53" s="198">
        <v>13.8</v>
      </c>
      <c r="R53" s="198">
        <v>38.5</v>
      </c>
      <c r="S53" s="198">
        <v>42.6</v>
      </c>
      <c r="T53" s="187"/>
      <c r="U53" s="199"/>
      <c r="V53" s="197">
        <v>44</v>
      </c>
      <c r="W53" s="198" t="s">
        <v>100</v>
      </c>
      <c r="X53" s="198">
        <v>11.899999999999999</v>
      </c>
      <c r="Y53" s="198">
        <v>30.85</v>
      </c>
      <c r="Z53" s="198">
        <v>28.65</v>
      </c>
      <c r="AA53" s="198">
        <v>12.65</v>
      </c>
      <c r="AB53" s="198">
        <v>35.9</v>
      </c>
      <c r="AC53" s="198">
        <v>41.75</v>
      </c>
    </row>
    <row r="54" spans="1:29" ht="12.75" customHeight="1">
      <c r="A54" s="199"/>
      <c r="B54" s="197">
        <v>45</v>
      </c>
      <c r="C54" s="198" t="s">
        <v>101</v>
      </c>
      <c r="D54" s="198">
        <v>22.9</v>
      </c>
      <c r="E54" s="198">
        <v>35</v>
      </c>
      <c r="F54" s="198">
        <v>45.1</v>
      </c>
      <c r="G54" s="198">
        <v>20.399999999999999</v>
      </c>
      <c r="H54" s="198">
        <v>67.2</v>
      </c>
      <c r="I54" s="198">
        <v>43.4</v>
      </c>
      <c r="J54" s="187"/>
      <c r="K54" s="199"/>
      <c r="L54" s="197">
        <v>45</v>
      </c>
      <c r="M54" s="198" t="s">
        <v>101</v>
      </c>
      <c r="N54" s="198">
        <v>19.5</v>
      </c>
      <c r="O54" s="198">
        <v>35.6</v>
      </c>
      <c r="P54" s="198">
        <v>33.799999999999997</v>
      </c>
      <c r="Q54" s="198">
        <v>20.399999999999999</v>
      </c>
      <c r="R54" s="198">
        <v>67.2</v>
      </c>
      <c r="S54" s="198">
        <v>42.4</v>
      </c>
      <c r="T54" s="187"/>
      <c r="U54" s="199"/>
      <c r="V54" s="197">
        <v>45</v>
      </c>
      <c r="W54" s="198" t="s">
        <v>101</v>
      </c>
      <c r="X54" s="198">
        <v>21.2</v>
      </c>
      <c r="Y54" s="198">
        <v>35.299999999999997</v>
      </c>
      <c r="Z54" s="198">
        <v>39.450000000000003</v>
      </c>
      <c r="AA54" s="198">
        <v>20.399999999999999</v>
      </c>
      <c r="AB54" s="198">
        <v>67.2</v>
      </c>
      <c r="AC54" s="198">
        <v>42.9</v>
      </c>
    </row>
    <row r="55" spans="1:29" ht="12.75" customHeight="1">
      <c r="A55" s="199"/>
      <c r="B55" s="197">
        <v>46</v>
      </c>
      <c r="C55" s="198" t="s">
        <v>102</v>
      </c>
      <c r="D55" s="198">
        <v>14</v>
      </c>
      <c r="E55" s="198">
        <v>18.8</v>
      </c>
      <c r="F55" s="198">
        <v>33</v>
      </c>
      <c r="G55" s="198">
        <v>20.8</v>
      </c>
      <c r="H55" s="198">
        <v>35.200000000000003</v>
      </c>
      <c r="I55" s="198">
        <v>46.4</v>
      </c>
      <c r="J55" s="187"/>
      <c r="K55" s="199"/>
      <c r="L55" s="197">
        <v>46</v>
      </c>
      <c r="M55" s="198" t="s">
        <v>102</v>
      </c>
      <c r="N55" s="198">
        <v>5.6</v>
      </c>
      <c r="O55" s="198">
        <v>19.3</v>
      </c>
      <c r="P55" s="198">
        <v>34.9</v>
      </c>
      <c r="Q55" s="198">
        <v>21.1</v>
      </c>
      <c r="R55" s="198">
        <v>34.4</v>
      </c>
      <c r="S55" s="198">
        <v>43.5</v>
      </c>
      <c r="T55" s="187"/>
      <c r="U55" s="199"/>
      <c r="V55" s="197">
        <v>46</v>
      </c>
      <c r="W55" s="198" t="s">
        <v>102</v>
      </c>
      <c r="X55" s="198">
        <v>9.8000000000000007</v>
      </c>
      <c r="Y55" s="198">
        <v>19.05</v>
      </c>
      <c r="Z55" s="198">
        <v>33.950000000000003</v>
      </c>
      <c r="AA55" s="198">
        <v>20.950000000000003</v>
      </c>
      <c r="AB55" s="198">
        <v>34.799999999999997</v>
      </c>
      <c r="AC55" s="198">
        <v>44.95</v>
      </c>
    </row>
    <row r="56" spans="1:29" ht="12.75" customHeight="1">
      <c r="A56" s="199"/>
      <c r="B56" s="197">
        <v>47</v>
      </c>
      <c r="C56" s="198" t="s">
        <v>103</v>
      </c>
      <c r="D56" s="198">
        <v>21.4</v>
      </c>
      <c r="E56" s="198">
        <v>40.4</v>
      </c>
      <c r="F56" s="198">
        <v>36.9</v>
      </c>
      <c r="G56" s="198">
        <v>14.4</v>
      </c>
      <c r="H56" s="198">
        <v>42.2</v>
      </c>
      <c r="I56" s="198">
        <v>44.9</v>
      </c>
      <c r="J56" s="187"/>
      <c r="K56" s="199"/>
      <c r="L56" s="197">
        <v>47</v>
      </c>
      <c r="M56" s="198" t="s">
        <v>103</v>
      </c>
      <c r="N56" s="198">
        <v>18.100000000000001</v>
      </c>
      <c r="O56" s="198">
        <v>40.4</v>
      </c>
      <c r="P56" s="198">
        <v>31.4</v>
      </c>
      <c r="Q56" s="198">
        <v>16.8</v>
      </c>
      <c r="R56" s="198">
        <v>42.7</v>
      </c>
      <c r="S56" s="198">
        <v>44.9</v>
      </c>
      <c r="T56" s="187"/>
      <c r="U56" s="199"/>
      <c r="V56" s="197">
        <v>47</v>
      </c>
      <c r="W56" s="198" t="s">
        <v>103</v>
      </c>
      <c r="X56" s="198">
        <v>19.75</v>
      </c>
      <c r="Y56" s="198">
        <v>40.4</v>
      </c>
      <c r="Z56" s="198">
        <v>34.15</v>
      </c>
      <c r="AA56" s="198">
        <v>15.600000000000001</v>
      </c>
      <c r="AB56" s="198">
        <v>42.45</v>
      </c>
      <c r="AC56" s="198">
        <v>44.9</v>
      </c>
    </row>
    <row r="57" spans="1:29" ht="12.75" hidden="1" customHeight="1">
      <c r="A57" s="199"/>
      <c r="B57" s="197" t="s">
        <v>142</v>
      </c>
      <c r="C57" s="198"/>
      <c r="D57" s="198"/>
      <c r="E57" s="198"/>
      <c r="F57" s="198"/>
      <c r="G57" s="198"/>
      <c r="H57" s="198"/>
      <c r="I57" s="198"/>
      <c r="J57" s="187"/>
      <c r="K57" s="199"/>
      <c r="L57" s="197" t="s">
        <v>142</v>
      </c>
      <c r="M57" s="198"/>
      <c r="N57" s="198"/>
      <c r="O57" s="198"/>
      <c r="P57" s="198"/>
      <c r="Q57" s="198"/>
      <c r="R57" s="198"/>
      <c r="S57" s="198"/>
      <c r="T57" s="187"/>
      <c r="U57" s="199"/>
      <c r="V57" s="197" t="s">
        <v>142</v>
      </c>
      <c r="W57" s="198"/>
      <c r="X57" s="198"/>
      <c r="Y57" s="198"/>
      <c r="Z57" s="198"/>
      <c r="AA57" s="198"/>
      <c r="AB57" s="198"/>
      <c r="AC57" s="198"/>
    </row>
    <row r="58" spans="1:29" ht="12.75" hidden="1" customHeight="1">
      <c r="A58" s="199"/>
      <c r="B58" s="197" t="s">
        <v>142</v>
      </c>
      <c r="C58" s="198"/>
      <c r="D58" s="198"/>
      <c r="E58" s="198"/>
      <c r="F58" s="198"/>
      <c r="G58" s="198"/>
      <c r="H58" s="198"/>
      <c r="I58" s="198"/>
      <c r="J58" s="187"/>
      <c r="K58" s="199"/>
      <c r="L58" s="197" t="s">
        <v>142</v>
      </c>
      <c r="M58" s="198"/>
      <c r="N58" s="198"/>
      <c r="O58" s="198"/>
      <c r="P58" s="198"/>
      <c r="Q58" s="198"/>
      <c r="R58" s="198"/>
      <c r="S58" s="198"/>
      <c r="T58" s="187"/>
      <c r="U58" s="199"/>
      <c r="V58" s="197" t="s">
        <v>142</v>
      </c>
      <c r="W58" s="198"/>
      <c r="X58" s="198"/>
      <c r="Y58" s="198"/>
      <c r="Z58" s="198"/>
      <c r="AA58" s="198"/>
      <c r="AB58" s="198"/>
      <c r="AC58" s="198"/>
    </row>
    <row r="59" spans="1:29" ht="12.75" hidden="1" customHeight="1">
      <c r="A59" s="199"/>
      <c r="B59" s="197" t="s">
        <v>142</v>
      </c>
      <c r="C59" s="198"/>
      <c r="D59" s="198"/>
      <c r="E59" s="198"/>
      <c r="F59" s="198"/>
      <c r="G59" s="198"/>
      <c r="H59" s="198"/>
      <c r="I59" s="198"/>
      <c r="J59" s="187"/>
      <c r="K59" s="199"/>
      <c r="L59" s="197" t="s">
        <v>142</v>
      </c>
      <c r="M59" s="198"/>
      <c r="N59" s="198"/>
      <c r="O59" s="198"/>
      <c r="P59" s="198"/>
      <c r="Q59" s="198"/>
      <c r="R59" s="198"/>
      <c r="S59" s="198"/>
      <c r="T59" s="187"/>
      <c r="U59" s="199"/>
      <c r="V59" s="197" t="s">
        <v>142</v>
      </c>
      <c r="W59" s="198"/>
      <c r="X59" s="198"/>
      <c r="Y59" s="198"/>
      <c r="Z59" s="198"/>
      <c r="AA59" s="198"/>
      <c r="AB59" s="198"/>
      <c r="AC59" s="198"/>
    </row>
    <row r="60" spans="1:29" ht="12.75" hidden="1" customHeight="1">
      <c r="A60" s="199"/>
      <c r="B60" s="197" t="s">
        <v>142</v>
      </c>
      <c r="C60" s="198"/>
      <c r="D60" s="198"/>
      <c r="E60" s="198"/>
      <c r="F60" s="198"/>
      <c r="G60" s="198"/>
      <c r="H60" s="198"/>
      <c r="I60" s="198"/>
      <c r="J60" s="187"/>
      <c r="K60" s="199"/>
      <c r="L60" s="197" t="s">
        <v>142</v>
      </c>
      <c r="M60" s="198"/>
      <c r="N60" s="198"/>
      <c r="O60" s="198"/>
      <c r="P60" s="198"/>
      <c r="Q60" s="198"/>
      <c r="R60" s="198"/>
      <c r="S60" s="198"/>
      <c r="T60" s="187"/>
      <c r="U60" s="199"/>
      <c r="V60" s="197" t="s">
        <v>142</v>
      </c>
      <c r="W60" s="198"/>
      <c r="X60" s="198"/>
      <c r="Y60" s="198"/>
      <c r="Z60" s="198"/>
      <c r="AA60" s="198"/>
      <c r="AB60" s="198"/>
      <c r="AC60" s="198"/>
    </row>
    <row r="61" spans="1:29" ht="12.75" hidden="1" customHeight="1">
      <c r="A61" s="199"/>
      <c r="B61" s="197" t="s">
        <v>142</v>
      </c>
      <c r="C61" s="198"/>
      <c r="D61" s="198"/>
      <c r="E61" s="198"/>
      <c r="F61" s="198"/>
      <c r="G61" s="198"/>
      <c r="H61" s="198"/>
      <c r="I61" s="198"/>
      <c r="J61" s="187"/>
      <c r="K61" s="199"/>
      <c r="L61" s="197" t="s">
        <v>142</v>
      </c>
      <c r="M61" s="198"/>
      <c r="N61" s="198"/>
      <c r="O61" s="198"/>
      <c r="P61" s="198"/>
      <c r="Q61" s="198"/>
      <c r="R61" s="198"/>
      <c r="S61" s="198"/>
      <c r="T61" s="187"/>
      <c r="U61" s="199"/>
      <c r="V61" s="197" t="s">
        <v>142</v>
      </c>
      <c r="W61" s="198"/>
      <c r="X61" s="198"/>
      <c r="Y61" s="198"/>
      <c r="Z61" s="198"/>
      <c r="AA61" s="198"/>
      <c r="AB61" s="198"/>
      <c r="AC61" s="198"/>
    </row>
    <row r="62" spans="1:29" ht="12.75" hidden="1" customHeight="1">
      <c r="A62" s="199"/>
      <c r="B62" s="197" t="s">
        <v>142</v>
      </c>
      <c r="C62" s="198"/>
      <c r="D62" s="198"/>
      <c r="E62" s="198"/>
      <c r="F62" s="198"/>
      <c r="G62" s="198"/>
      <c r="H62" s="198"/>
      <c r="I62" s="198"/>
      <c r="J62" s="187"/>
      <c r="K62" s="199"/>
      <c r="L62" s="197" t="s">
        <v>142</v>
      </c>
      <c r="M62" s="198"/>
      <c r="N62" s="198"/>
      <c r="O62" s="198"/>
      <c r="P62" s="198"/>
      <c r="Q62" s="198"/>
      <c r="R62" s="198"/>
      <c r="S62" s="198"/>
      <c r="T62" s="187"/>
      <c r="U62" s="199"/>
      <c r="V62" s="197" t="s">
        <v>142</v>
      </c>
      <c r="W62" s="198"/>
      <c r="X62" s="198"/>
      <c r="Y62" s="198"/>
      <c r="Z62" s="198"/>
      <c r="AA62" s="198"/>
      <c r="AB62" s="198"/>
      <c r="AC62" s="198"/>
    </row>
    <row r="63" spans="1:29" ht="12.75" hidden="1" customHeight="1">
      <c r="A63" s="199"/>
      <c r="B63" s="197" t="s">
        <v>142</v>
      </c>
      <c r="C63" s="198"/>
      <c r="D63" s="198"/>
      <c r="E63" s="198"/>
      <c r="F63" s="198"/>
      <c r="G63" s="198"/>
      <c r="H63" s="198"/>
      <c r="I63" s="198"/>
      <c r="J63" s="187"/>
      <c r="K63" s="199"/>
      <c r="L63" s="197" t="s">
        <v>142</v>
      </c>
      <c r="M63" s="198"/>
      <c r="N63" s="198"/>
      <c r="O63" s="198"/>
      <c r="P63" s="198"/>
      <c r="Q63" s="198"/>
      <c r="R63" s="198"/>
      <c r="S63" s="198"/>
      <c r="T63" s="187"/>
      <c r="U63" s="199"/>
      <c r="V63" s="197" t="s">
        <v>142</v>
      </c>
      <c r="W63" s="198"/>
      <c r="X63" s="198"/>
      <c r="Y63" s="198"/>
      <c r="Z63" s="198"/>
      <c r="AA63" s="198"/>
      <c r="AB63" s="198"/>
      <c r="AC63" s="198"/>
    </row>
    <row r="64" spans="1:29" ht="12.75" customHeight="1" thickBot="1">
      <c r="A64" s="199"/>
      <c r="B64" s="294" t="s">
        <v>143</v>
      </c>
      <c r="C64" s="294"/>
      <c r="D64" s="294"/>
      <c r="E64" s="294"/>
      <c r="F64" s="294"/>
      <c r="G64" s="294"/>
      <c r="H64" s="294"/>
      <c r="I64" s="294"/>
      <c r="J64" s="187"/>
      <c r="K64" s="199"/>
      <c r="L64" s="294" t="s">
        <v>143</v>
      </c>
      <c r="M64" s="294"/>
      <c r="N64" s="294"/>
      <c r="O64" s="294"/>
      <c r="P64" s="294"/>
      <c r="Q64" s="294"/>
      <c r="R64" s="294"/>
      <c r="S64" s="294"/>
      <c r="T64" s="187"/>
      <c r="U64" s="199"/>
      <c r="V64" s="294" t="s">
        <v>143</v>
      </c>
      <c r="W64" s="294"/>
      <c r="X64" s="294"/>
      <c r="Y64" s="294"/>
      <c r="Z64" s="294"/>
      <c r="AA64" s="294"/>
      <c r="AB64" s="294"/>
      <c r="AC64" s="294"/>
    </row>
    <row r="65" spans="1:29" ht="12.75" customHeight="1">
      <c r="A65" s="302" t="s">
        <v>144</v>
      </c>
      <c r="B65" s="200"/>
      <c r="C65" s="201" t="s">
        <v>25</v>
      </c>
      <c r="D65" s="201" t="s">
        <v>135</v>
      </c>
      <c r="E65" s="201" t="s">
        <v>136</v>
      </c>
      <c r="F65" s="201" t="s">
        <v>137</v>
      </c>
      <c r="G65" s="201" t="s">
        <v>138</v>
      </c>
      <c r="H65" s="201" t="s">
        <v>139</v>
      </c>
      <c r="I65" s="201" t="s">
        <v>140</v>
      </c>
      <c r="J65" s="187"/>
      <c r="K65" s="302" t="s">
        <v>144</v>
      </c>
      <c r="L65" s="200"/>
      <c r="M65" s="201" t="s">
        <v>25</v>
      </c>
      <c r="N65" s="201" t="s">
        <v>135</v>
      </c>
      <c r="O65" s="201" t="s">
        <v>136</v>
      </c>
      <c r="P65" s="201" t="s">
        <v>137</v>
      </c>
      <c r="Q65" s="201" t="s">
        <v>138</v>
      </c>
      <c r="R65" s="201" t="s">
        <v>139</v>
      </c>
      <c r="S65" s="201" t="s">
        <v>140</v>
      </c>
      <c r="T65" s="187"/>
      <c r="U65" s="302" t="s">
        <v>144</v>
      </c>
      <c r="V65" s="200"/>
      <c r="W65" s="201" t="s">
        <v>25</v>
      </c>
      <c r="X65" s="201" t="s">
        <v>135</v>
      </c>
      <c r="Y65" s="201" t="s">
        <v>136</v>
      </c>
      <c r="Z65" s="201" t="s">
        <v>137</v>
      </c>
      <c r="AA65" s="201" t="s">
        <v>138</v>
      </c>
      <c r="AB65" s="201" t="s">
        <v>139</v>
      </c>
      <c r="AC65" s="201" t="s">
        <v>140</v>
      </c>
    </row>
    <row r="66" spans="1:29" ht="12.75" customHeight="1">
      <c r="A66" s="296"/>
      <c r="B66" s="197">
        <v>1</v>
      </c>
      <c r="C66" s="198" t="s">
        <v>57</v>
      </c>
      <c r="D66" s="202">
        <f ca="1">IF(AND(ISNUMBER($B66),ISNUMBER(D$5)),IF(D$7=1,(D10)/(SUM(D$10:OFFSET(D$10,$C$5-1,0,1,1))),(1/D10)/SUM(1/D$10:OFFSET(D$10,$C$5-1,0,1,1))),"")</f>
        <v>2.6012265990168978E-2</v>
      </c>
      <c r="E66" s="202">
        <f ca="1">IF(AND(ISNUMBER($B66),ISNUMBER(E$5)),IF(E$7=1,(E10)/(SUM(E$10:OFFSET(E$10,$C$5-1,0,1,1))),(1/E10)/SUM(1/E$10:OFFSET(E$10,$C$5-1,0,1,1))),"")</f>
        <v>7.8952183770960634E-3</v>
      </c>
      <c r="F66" s="202">
        <f ca="1">IF(AND(ISNUMBER($B66),ISNUMBER(F$5)),IF(F$7=1,(F10)/(SUM(F$10:OFFSET(F$10,$C$5-1,0,1,1))),(1/F10)/SUM(1/F$10:OFFSET(F$10,$C$5-1,0,1,1))),"")</f>
        <v>1.9856978674498788E-2</v>
      </c>
      <c r="G66" s="202">
        <f ca="1">IF(AND(ISNUMBER($B66),ISNUMBER(G$5)),IF(G$7=1,(G10)/(SUM(G$10:OFFSET(G$10,$C$5-1,0,1,1))),(1/G10)/SUM(1/G$10:OFFSET(G$10,$C$5-1,0,1,1))),"")</f>
        <v>1.6112531969309469E-2</v>
      </c>
      <c r="H66" s="202">
        <f ca="1">IF(AND(ISNUMBER($B66),ISNUMBER(H$5)),IF(H$7=1,(H10)/(SUM(H$10:OFFSET(H$10,$C$5-1,0,1,1))),(1/H10)/SUM(1/H$10:OFFSET(H$10,$C$5-1,0,1,1))),"")</f>
        <v>1.7679400891079725E-2</v>
      </c>
      <c r="I66" s="202">
        <f ca="1">IF(AND(ISNUMBER($B66),ISNUMBER(I$5)),IF(I$7=1,(I10)/(SUM(I$10:OFFSET(I$10,$C$5-1,0,1,1))),(1/I10)/SUM(1/I$10:OFFSET(I$10,$C$5-1,0,1,1))),"")</f>
        <v>2.4815079933190168E-2</v>
      </c>
      <c r="J66" s="187"/>
      <c r="K66" s="296"/>
      <c r="L66" s="197">
        <v>1</v>
      </c>
      <c r="M66" s="198" t="s">
        <v>57</v>
      </c>
      <c r="N66" s="202">
        <f ca="1">IF(AND(ISNUMBER($L66),ISNUMBER(N$5)),IF(N$7=1,(N10)/(SUM(N$10:OFFSET(N$10,$M$5-1,0,1,1))),(1/N10)/SUM(1/N$10:OFFSET(N$10,$M$5-1,0,1,1))),"")</f>
        <v>2.2890450493042346E-2</v>
      </c>
      <c r="O66" s="202">
        <f ca="1">IF(AND(ISNUMBER($L66),ISNUMBER(O$5)),IF(O$7=1,(O10)/(SUM(O$10:OFFSET(O$10,$M$5-1,0,1,1))),(1/O10)/SUM(1/O$10:OFFSET(O$10,$M$5-1,0,1,1))),"")</f>
        <v>1.1162286355168007E-2</v>
      </c>
      <c r="P66" s="202">
        <f ca="1">IF(AND(ISNUMBER($L66),ISNUMBER(P$5)),IF(P$7=1,(P10)/(SUM(P$10:OFFSET(P$10,$M$5-1,0,1,1))),(1/P10)/SUM(1/P$10:OFFSET(P$10,$M$5-1,0,1,1))),"")</f>
        <v>1.7732215834314613E-2</v>
      </c>
      <c r="Q66" s="202">
        <f ca="1">IF(AND(ISNUMBER($L66),ISNUMBER(Q$5)),IF(Q$7=1,(Q10)/(SUM(Q$10:OFFSET(Q$10,$M$5-1,0,1,1))),(1/Q10)/SUM(1/Q$10:OFFSET(Q$10,$M$5-1,0,1,1))),"")</f>
        <v>1.7578811672330951E-2</v>
      </c>
      <c r="R66" s="202">
        <f ca="1">IF(AND(ISNUMBER($L66),ISNUMBER(R$5)),IF(R$7=1,(R10)/(SUM(R$10:OFFSET(R$10,$M$5-1,0,1,1))),(1/R10)/SUM(1/R$10:OFFSET(R$10,$M$5-1,0,1,1))),"")</f>
        <v>1.8041834794304532E-2</v>
      </c>
      <c r="S66" s="202">
        <f ca="1">IF(AND(ISNUMBER($L66),ISNUMBER(S$5)),IF(S$7=1,(S10)/(SUM(S$10:OFFSET(S$10,$M$5-1,0,1,1))),(1/S10)/SUM(1/S$10:OFFSET(S$10,$M$5-1,0,1,1))),"")</f>
        <v>2.4171976071202764E-2</v>
      </c>
      <c r="T66" s="187"/>
      <c r="U66" s="296"/>
      <c r="V66" s="197">
        <v>1</v>
      </c>
      <c r="W66" s="198" t="s">
        <v>57</v>
      </c>
      <c r="X66" s="202">
        <f ca="1">IF(AND(ISNUMBER($V66),ISNUMBER(X$5)),IF(X$7=1,(X10)/(SUM(X$10:OFFSET(X$10,$W$5-1,0,1,1))),(1/X10)/SUM(1/X$10:OFFSET(X$10,$W$5-1,0,1,1))),"")</f>
        <v>2.45367885657151E-2</v>
      </c>
      <c r="Y66" s="202">
        <f ca="1">IF(AND(ISNUMBER($V66),ISNUMBER(Y$5)),IF(Y$7=1,(Y10)/(SUM(Y$10:OFFSET(Y$10,$W$5-1,0,1,1))),(1/Y10)/SUM(1/Y$10:OFFSET(Y$10,$W$5-1,0,1,1))),"")</f>
        <v>9.5674167340013307E-3</v>
      </c>
      <c r="Z66" s="202">
        <f ca="1">IF(AND(ISNUMBER($V66),ISNUMBER(Z$5)),IF(Z$7=1,(Z10)/(SUM(Z$10:OFFSET(Z$10,$W$5-1,0,1,1))),(1/Z10)/SUM(1/Z$10:OFFSET(Z$10,$W$5-1,0,1,1))),"")</f>
        <v>1.8837835144024713E-2</v>
      </c>
      <c r="AA66" s="202">
        <f ca="1">IF(AND(ISNUMBER($V66),ISNUMBER(AA$5)),IF(AA$7=1,(AA10)/(SUM(AA$10:OFFSET(AA$10,$W$5-1,0,1,1))),(1/AA10)/SUM(1/AA$10:OFFSET(AA$10,$W$5-1,0,1,1))),"")</f>
        <v>1.687763713080169E-2</v>
      </c>
      <c r="AB66" s="202">
        <f ca="1">IF(AND(ISNUMBER($V66),ISNUMBER(AB$5)),IF(AB$7=1,(AB10)/(SUM(AB$10:OFFSET(AB$10,$W$5-1,0,1,1))),(1/AB10)/SUM(1/AB$10:OFFSET(AB$10,$W$5-1,0,1,1))),"")</f>
        <v>1.7862584683185252E-2</v>
      </c>
      <c r="AC66" s="202">
        <f ca="1">IF(AND(ISNUMBER($V66),ISNUMBER(AC$5)),IF(AC$7=1,(AC10)/(SUM(AC$10:OFFSET(AC$10,$W$5-1,0,1,1))),(1/AC10)/SUM(1/AC$10:OFFSET(AC$10,$W$5-1,0,1,1))),"")</f>
        <v>2.4496579631949122E-2</v>
      </c>
    </row>
    <row r="67" spans="1:29" ht="12.75" customHeight="1">
      <c r="A67" s="296"/>
      <c r="B67" s="197">
        <v>2</v>
      </c>
      <c r="C67" s="198" t="s">
        <v>58</v>
      </c>
      <c r="D67" s="202">
        <f ca="1">IF(AND(ISNUMBER($B67),ISNUMBER(D$5)),IF(D$7=1,(D11)/(SUM(D$10:OFFSET(D$10,$C$5-1,0,1,1))),(1/D11)/SUM(1/D$10:OFFSET(D$10,$C$5-1,0,1,1))),"")</f>
        <v>1.7967235271560019E-2</v>
      </c>
      <c r="E67" s="202">
        <f ca="1">IF(AND(ISNUMBER($B67),ISNUMBER(E$5)),IF(E$7=1,(E11)/(SUM(E$10:OFFSET(E$10,$C$5-1,0,1,1))),(1/E11)/SUM(1/E$10:OFFSET(E$10,$C$5-1,0,1,1))),"")</f>
        <v>1.2353694637103252E-2</v>
      </c>
      <c r="F67" s="202">
        <f ca="1">IF(AND(ISNUMBER($B67),ISNUMBER(F$5)),IF(F$7=1,(F11)/(SUM(F$10:OFFSET(F$10,$C$5-1,0,1,1))),(1/F11)/SUM(1/F$10:OFFSET(F$10,$C$5-1,0,1,1))),"")</f>
        <v>1.3344400459711402E-2</v>
      </c>
      <c r="G67" s="202">
        <f ca="1">IF(AND(ISNUMBER($B67),ISNUMBER(G$5)),IF(G$7=1,(G11)/(SUM(G$10:OFFSET(G$10,$C$5-1,0,1,1))),(1/G11)/SUM(1/G$10:OFFSET(G$10,$C$5-1,0,1,1))),"")</f>
        <v>2.1483375959079294E-2</v>
      </c>
      <c r="H67" s="202">
        <f ca="1">IF(AND(ISNUMBER($B67),ISNUMBER(H$5)),IF(H$7=1,(H11)/(SUM(H$10:OFFSET(H$10,$C$5-1,0,1,1))),(1/H11)/SUM(1/H$10:OFFSET(H$10,$C$5-1,0,1,1))),"")</f>
        <v>2.0428476632856199E-2</v>
      </c>
      <c r="I67" s="202">
        <f ca="1">IF(AND(ISNUMBER($B67),ISNUMBER(I$5)),IF(I$7=1,(I11)/(SUM(I$10:OFFSET(I$10,$C$5-1,0,1,1))),(1/I11)/SUM(1/I$10:OFFSET(I$10,$C$5-1,0,1,1))),"")</f>
        <v>2.0854211405392509E-2</v>
      </c>
      <c r="J67" s="187"/>
      <c r="K67" s="296"/>
      <c r="L67" s="197">
        <v>2</v>
      </c>
      <c r="M67" s="198" t="s">
        <v>58</v>
      </c>
      <c r="N67" s="202">
        <f ca="1">IF(AND(ISNUMBER($L67),ISNUMBER(N$5)),IF(N$7=1,(N11)/(SUM(N$10:OFFSET(N$10,$M$5-1,0,1,1))),(1/N11)/SUM(1/N$10:OFFSET(N$10,$M$5-1,0,1,1))),"")</f>
        <v>2.1992785767824995E-2</v>
      </c>
      <c r="O67" s="202">
        <f ca="1">IF(AND(ISNUMBER($L67),ISNUMBER(O$5)),IF(O$7=1,(O11)/(SUM(O$10:OFFSET(O$10,$M$5-1,0,1,1))),(1/O11)/SUM(1/O$10:OFFSET(O$10,$M$5-1,0,1,1))),"")</f>
        <v>1.1782413374899563E-2</v>
      </c>
      <c r="P67" s="202">
        <f ca="1">IF(AND(ISNUMBER($L67),ISNUMBER(P$5)),IF(P$7=1,(P11)/(SUM(P$10:OFFSET(P$10,$M$5-1,0,1,1))),(1/P11)/SUM(1/P$10:OFFSET(P$10,$M$5-1,0,1,1))),"")</f>
        <v>2.1888203920482099E-2</v>
      </c>
      <c r="Q67" s="202">
        <f ca="1">IF(AND(ISNUMBER($L67),ISNUMBER(Q$5)),IF(Q$7=1,(Q11)/(SUM(Q$10:OFFSET(Q$10,$M$5-1,0,1,1))),(1/Q11)/SUM(1/Q$10:OFFSET(Q$10,$M$5-1,0,1,1))),"")</f>
        <v>2.7071369975389666E-2</v>
      </c>
      <c r="R67" s="202">
        <f ca="1">IF(AND(ISNUMBER($L67),ISNUMBER(R$5)),IF(R$7=1,(R11)/(SUM(R$10:OFFSET(R$10,$M$5-1,0,1,1))),(1/R11)/SUM(1/R$10:OFFSET(R$10,$M$5-1,0,1,1))),"")</f>
        <v>2.2123278141088078E-2</v>
      </c>
      <c r="S67" s="202">
        <f ca="1">IF(AND(ISNUMBER($L67),ISNUMBER(S$5)),IF(S$7=1,(S11)/(SUM(S$10:OFFSET(S$10,$M$5-1,0,1,1))),(1/S11)/SUM(1/S$10:OFFSET(S$10,$M$5-1,0,1,1))),"")</f>
        <v>2.1351101600116724E-2</v>
      </c>
      <c r="T67" s="187"/>
      <c r="U67" s="296"/>
      <c r="V67" s="197">
        <v>2</v>
      </c>
      <c r="W67" s="198" t="s">
        <v>58</v>
      </c>
      <c r="X67" s="202">
        <f ca="1">IF(AND(ISNUMBER($V67),ISNUMBER(X$5)),IF(X$7=1,(X11)/(SUM(X$10:OFFSET(X$10,$W$5-1,0,1,1))),(1/X11)/SUM(1/X$10:OFFSET(X$10,$W$5-1,0,1,1))),"")</f>
        <v>1.9869848953792343E-2</v>
      </c>
      <c r="Y67" s="202">
        <f ca="1">IF(AND(ISNUMBER($V67),ISNUMBER(Y$5)),IF(Y$7=1,(Y11)/(SUM(Y$10:OFFSET(Y$10,$W$5-1,0,1,1))),(1/Y11)/SUM(1/Y$10:OFFSET(Y$10,$W$5-1,0,1,1))),"")</f>
        <v>1.2061293133859497E-2</v>
      </c>
      <c r="Z67" s="202">
        <f ca="1">IF(AND(ISNUMBER($V67),ISNUMBER(Z$5)),IF(Z$7=1,(Z11)/(SUM(Z$10:OFFSET(Z$10,$W$5-1,0,1,1))),(1/Z11)/SUM(1/Z$10:OFFSET(Z$10,$W$5-1,0,1,1))),"")</f>
        <v>1.7442439948171028E-2</v>
      </c>
      <c r="AA67" s="202">
        <f ca="1">IF(AND(ISNUMBER($V67),ISNUMBER(AA$5)),IF(AA$7=1,(AA11)/(SUM(AA$10:OFFSET(AA$10,$W$5-1,0,1,1))),(1/AA11)/SUM(1/AA$10:OFFSET(AA$10,$W$5-1,0,1,1))),"")</f>
        <v>2.439919280865897E-2</v>
      </c>
      <c r="AB67" s="202">
        <f ca="1">IF(AND(ISNUMBER($V67),ISNUMBER(AB$5)),IF(AB$7=1,(AB11)/(SUM(AB$10:OFFSET(AB$10,$W$5-1,0,1,1))),(1/AB11)/SUM(1/AB$10:OFFSET(AB$10,$W$5-1,0,1,1))),"")</f>
        <v>2.1285074661853295E-2</v>
      </c>
      <c r="AC67" s="202">
        <f ca="1">IF(AND(ISNUMBER($V67),ISNUMBER(AC$5)),IF(AC$7=1,(AC11)/(SUM(AC$10:OFFSET(AC$10,$W$5-1,0,1,1))),(1/AC11)/SUM(1/AC$10:OFFSET(AC$10,$W$5-1,0,1,1))),"")</f>
        <v>2.1100298680026969E-2</v>
      </c>
    </row>
    <row r="68" spans="1:29" ht="12.75" customHeight="1" thickBot="1">
      <c r="A68" s="297"/>
      <c r="B68" s="197">
        <v>3</v>
      </c>
      <c r="C68" s="198" t="s">
        <v>59</v>
      </c>
      <c r="D68" s="202">
        <f ca="1">IF(AND(ISNUMBER($B68),ISNUMBER(D$5)),IF(D$7=1,(D12)/(SUM(D$10:OFFSET(D$10,$C$5-1,0,1,1))),(1/D12)/SUM(1/D$10:OFFSET(D$10,$C$5-1,0,1,1))),"")</f>
        <v>1.2335713768533742E-2</v>
      </c>
      <c r="E68" s="202">
        <f ca="1">IF(AND(ISNUMBER($B68),ISNUMBER(E$5)),IF(E$7=1,(E12)/(SUM(E$10:OFFSET(E$10,$C$5-1,0,1,1))),(1/E12)/SUM(1/E$10:OFFSET(E$10,$C$5-1,0,1,1))),"")</f>
        <v>1.6997940741277407E-2</v>
      </c>
      <c r="F68" s="202">
        <f ca="1">IF(AND(ISNUMBER($B68),ISNUMBER(F$5)),IF(F$7=1,(F12)/(SUM(F$10:OFFSET(F$10,$C$5-1,0,1,1))),(1/F12)/SUM(1/F$10:OFFSET(F$10,$C$5-1,0,1,1))),"")</f>
        <v>2.0176222704635424E-2</v>
      </c>
      <c r="G68" s="202">
        <f ca="1">IF(AND(ISNUMBER($B68),ISNUMBER(G$5)),IF(G$7=1,(G12)/(SUM(G$10:OFFSET(G$10,$C$5-1,0,1,1))),(1/G12)/SUM(1/G$10:OFFSET(G$10,$C$5-1,0,1,1))),"")</f>
        <v>9.7186700767263462E-3</v>
      </c>
      <c r="H68" s="202">
        <f ca="1">IF(AND(ISNUMBER($B68),ISNUMBER(H$5)),IF(H$7=1,(H12)/(SUM(H$10:OFFSET(H$10,$C$5-1,0,1,1))),(1/H12)/SUM(1/H$10:OFFSET(H$10,$C$5-1,0,1,1))),"")</f>
        <v>2.3698928808417861E-2</v>
      </c>
      <c r="I68" s="202">
        <f ca="1">IF(AND(ISNUMBER($B68),ISNUMBER(I$5)),IF(I$7=1,(I12)/(SUM(I$10:OFFSET(I$10,$C$5-1,0,1,1))),(1/I12)/SUM(1/I$10:OFFSET(I$10,$C$5-1,0,1,1))),"")</f>
        <v>2.1426867096158434E-2</v>
      </c>
      <c r="J68" s="187"/>
      <c r="K68" s="297"/>
      <c r="L68" s="197">
        <v>3</v>
      </c>
      <c r="M68" s="198" t="s">
        <v>59</v>
      </c>
      <c r="N68" s="202">
        <f ca="1">IF(AND(ISNUMBER($L68),ISNUMBER(N$5)),IF(N$7=1,(N12)/(SUM(N$10:OFFSET(N$10,$M$5-1,0,1,1))),(1/N12)/SUM(1/N$10:OFFSET(N$10,$M$5-1,0,1,1))),"")</f>
        <v>1.3913803240868878E-2</v>
      </c>
      <c r="O68" s="202">
        <f ca="1">IF(AND(ISNUMBER($L68),ISNUMBER(O$5)),IF(O$7=1,(O12)/(SUM(O$10:OFFSET(O$10,$M$5-1,0,1,1))),(1/O12)/SUM(1/O$10:OFFSET(O$10,$M$5-1,0,1,1))),"")</f>
        <v>1.2579719543125848E-2</v>
      </c>
      <c r="P68" s="202">
        <f ca="1">IF(AND(ISNUMBER($L68),ISNUMBER(P$5)),IF(P$7=1,(P12)/(SUM(P$10:OFFSET(P$10,$M$5-1,0,1,1))),(1/P12)/SUM(1/P$10:OFFSET(P$10,$M$5-1,0,1,1))),"")</f>
        <v>2.0295075154117895E-2</v>
      </c>
      <c r="Q68" s="202">
        <f ca="1">IF(AND(ISNUMBER($L68),ISNUMBER(Q$5)),IF(Q$7=1,(Q12)/(SUM(Q$10:OFFSET(Q$10,$M$5-1,0,1,1))),(1/Q12)/SUM(1/Q$10:OFFSET(Q$10,$M$5-1,0,1,1))),"")</f>
        <v>9.0237899917965554E-3</v>
      </c>
      <c r="R68" s="202">
        <f ca="1">IF(AND(ISNUMBER($L68),ISNUMBER(R$5)),IF(R$7=1,(R12)/(SUM(R$10:OFFSET(R$10,$M$5-1,0,1,1))),(1/R12)/SUM(1/R$10:OFFSET(R$10,$M$5-1,0,1,1))),"")</f>
        <v>2.1752237836835026E-2</v>
      </c>
      <c r="S68" s="202">
        <f ca="1">IF(AND(ISNUMBER($L68),ISNUMBER(S$5)),IF(S$7=1,(S12)/(SUM(S$10:OFFSET(S$10,$M$5-1,0,1,1))),(1/S12)/SUM(1/S$10:OFFSET(S$10,$M$5-1,0,1,1))),"")</f>
        <v>2.1886095034288216E-2</v>
      </c>
      <c r="T68" s="187"/>
      <c r="U68" s="297"/>
      <c r="V68" s="197">
        <v>3</v>
      </c>
      <c r="W68" s="198" t="s">
        <v>59</v>
      </c>
      <c r="X68" s="202">
        <f ca="1">IF(AND(ISNUMBER($V68),ISNUMBER(X$5)),IF(X$7=1,(X12)/(SUM(X$10:OFFSET(X$10,$W$5-1,0,1,1))),(1/X12)/SUM(1/X$10:OFFSET(X$10,$W$5-1,0,1,1))),"")</f>
        <v>1.308157315463197E-2</v>
      </c>
      <c r="Y68" s="202">
        <f ca="1">IF(AND(ISNUMBER($V68),ISNUMBER(Y$5)),IF(Y$7=1,(Y12)/(SUM(Y$10:OFFSET(Y$10,$W$5-1,0,1,1))),(1/Y12)/SUM(1/Y$10:OFFSET(Y$10,$W$5-1,0,1,1))),"")</f>
        <v>1.4736542362798257E-2</v>
      </c>
      <c r="Z68" s="202">
        <f ca="1">IF(AND(ISNUMBER($V68),ISNUMBER(Z$5)),IF(Z$7=1,(Z12)/(SUM(Z$10:OFFSET(Z$10,$W$5-1,0,1,1))),(1/Z12)/SUM(1/Z$10:OFFSET(Z$10,$W$5-1,0,1,1))),"")</f>
        <v>2.0233230339878398E-2</v>
      </c>
      <c r="AA68" s="202">
        <f ca="1">IF(AND(ISNUMBER($V68),ISNUMBER(AA$5)),IF(AA$7=1,(AA12)/(SUM(AA$10:OFFSET(AA$10,$W$5-1,0,1,1))),(1/AA12)/SUM(1/AA$10:OFFSET(AA$10,$W$5-1,0,1,1))),"")</f>
        <v>9.3560814529444151E-3</v>
      </c>
      <c r="AB68" s="202">
        <f ca="1">IF(AND(ISNUMBER($V68),ISNUMBER(AB$5)),IF(AB$7=1,(AB12)/(SUM(AB$10:OFFSET(AB$10,$W$5-1,0,1,1))),(1/AB12)/SUM(1/AB$10:OFFSET(AB$10,$W$5-1,0,1,1))),"")</f>
        <v>2.2715019104995422E-2</v>
      </c>
      <c r="AC68" s="202">
        <f ca="1">IF(AND(ISNUMBER($V68),ISNUMBER(AC$5)),IF(AC$7=1,(AC12)/(SUM(AC$10:OFFSET(AC$10,$W$5-1,0,1,1))),(1/AC12)/SUM(1/AC$10:OFFSET(AC$10,$W$5-1,0,1,1))),"")</f>
        <v>2.1654301955872431E-2</v>
      </c>
    </row>
    <row r="69" spans="1:29" ht="12.75" customHeight="1">
      <c r="A69" s="203"/>
      <c r="B69" s="197">
        <v>4</v>
      </c>
      <c r="C69" s="198" t="s">
        <v>60</v>
      </c>
      <c r="D69" s="202">
        <f ca="1">IF(AND(ISNUMBER($B69),ISNUMBER(D$5)),IF(D$7=1,(D13)/(SUM(D$10:OFFSET(D$10,$C$5-1,0,1,1))),(1/D13)/SUM(1/D$10:OFFSET(D$10,$C$5-1,0,1,1))),"")</f>
        <v>1.9710325260591958E-2</v>
      </c>
      <c r="E69" s="202">
        <f ca="1">IF(AND(ISNUMBER($B69),ISNUMBER(E$5)),IF(E$7=1,(E13)/(SUM(E$10:OFFSET(E$10,$C$5-1,0,1,1))),(1/E13)/SUM(1/E$10:OFFSET(E$10,$C$5-1,0,1,1))),"")</f>
        <v>1.7555250273778304E-2</v>
      </c>
      <c r="F69" s="202">
        <f ca="1">IF(AND(ISNUMBER($B69),ISNUMBER(F$5)),IF(F$7=1,(F13)/(SUM(F$10:OFFSET(F$10,$C$5-1,0,1,1))),(1/F13)/SUM(1/F$10:OFFSET(F$10,$C$5-1,0,1,1))),"")</f>
        <v>1.9346188226280168E-2</v>
      </c>
      <c r="G69" s="202">
        <f ca="1">IF(AND(ISNUMBER($B69),ISNUMBER(G$5)),IF(G$7=1,(G13)/(SUM(G$10:OFFSET(G$10,$C$5-1,0,1,1))),(1/G13)/SUM(1/G$10:OFFSET(G$10,$C$5-1,0,1,1))),"")</f>
        <v>2.3657289002557556E-2</v>
      </c>
      <c r="H69" s="202">
        <f ca="1">IF(AND(ISNUMBER($B69),ISNUMBER(H$5)),IF(H$7=1,(H13)/(SUM(H$10:OFFSET(H$10,$C$5-1,0,1,1))),(1/H13)/SUM(1/H$10:OFFSET(H$10,$C$5-1,0,1,1))),"")</f>
        <v>1.9764906626220498E-2</v>
      </c>
      <c r="I69" s="202">
        <f ca="1">IF(AND(ISNUMBER($B69),ISNUMBER(I$5)),IF(I$7=1,(I13)/(SUM(I$10:OFFSET(I$10,$C$5-1,0,1,1))),(1/I13)/SUM(1/I$10:OFFSET(I$10,$C$5-1,0,1,1))),"")</f>
        <v>2.9778095919828204E-2</v>
      </c>
      <c r="J69" s="187"/>
      <c r="K69" s="203"/>
      <c r="L69" s="197">
        <v>4</v>
      </c>
      <c r="M69" s="198" t="s">
        <v>60</v>
      </c>
      <c r="N69" s="202">
        <f ca="1">IF(AND(ISNUMBER($L69),ISNUMBER(N$5)),IF(N$7=1,(N13)/(SUM(N$10:OFFSET(N$10,$M$5-1,0,1,1))),(1/N13)/SUM(1/N$10:OFFSET(N$10,$M$5-1,0,1,1))),"")</f>
        <v>2.1992785767824995E-2</v>
      </c>
      <c r="O69" s="202">
        <f ca="1">IF(AND(ISNUMBER($L69),ISNUMBER(O$5)),IF(O$7=1,(O13)/(SUM(O$10:OFFSET(O$10,$M$5-1,0,1,1))),(1/O13)/SUM(1/O$10:OFFSET(O$10,$M$5-1,0,1,1))),"")</f>
        <v>2.5956745254477984E-2</v>
      </c>
      <c r="P69" s="202">
        <f ca="1">IF(AND(ISNUMBER($L69),ISNUMBER(P$5)),IF(P$7=1,(P13)/(SUM(P$10:OFFSET(P$10,$M$5-1,0,1,1))),(1/P13)/SUM(1/P$10:OFFSET(P$10,$M$5-1,0,1,1))),"")</f>
        <v>1.7524416430006236E-2</v>
      </c>
      <c r="Q69" s="202">
        <f ca="1">IF(AND(ISNUMBER($L69),ISNUMBER(Q$5)),IF(Q$7=1,(Q13)/(SUM(Q$10:OFFSET(Q$10,$M$5-1,0,1,1))),(1/Q13)/SUM(1/Q$10:OFFSET(Q$10,$M$5-1,0,1,1))),"")</f>
        <v>2.4493144263447789E-2</v>
      </c>
      <c r="R69" s="202">
        <f ca="1">IF(AND(ISNUMBER($L69),ISNUMBER(R$5)),IF(R$7=1,(R13)/(SUM(R$10:OFFSET(R$10,$M$5-1,0,1,1))),(1/R13)/SUM(1/R$10:OFFSET(R$10,$M$5-1,0,1,1))),"")</f>
        <v>2.2401558369277864E-2</v>
      </c>
      <c r="S69" s="202">
        <f ca="1">IF(AND(ISNUMBER($L69),ISNUMBER(S$5)),IF(S$7=1,(S13)/(SUM(S$10:OFFSET(S$10,$M$5-1,0,1,1))),(1/S13)/SUM(1/S$10:OFFSET(S$10,$M$5-1,0,1,1))),"")</f>
        <v>3.0786440348232091E-2</v>
      </c>
      <c r="T69" s="187"/>
      <c r="U69" s="203"/>
      <c r="V69" s="197">
        <v>4</v>
      </c>
      <c r="W69" s="198" t="s">
        <v>60</v>
      </c>
      <c r="X69" s="202">
        <f ca="1">IF(AND(ISNUMBER($V69),ISNUMBER(X$5)),IF(X$7=1,(X13)/(SUM(X$10:OFFSET(X$10,$W$5-1,0,1,1))),(1/X13)/SUM(1/X$10:OFFSET(X$10,$W$5-1,0,1,1))),"")</f>
        <v>2.0789094634928642E-2</v>
      </c>
      <c r="Y69" s="202">
        <f ca="1">IF(AND(ISNUMBER($V69),ISNUMBER(Y$5)),IF(Y$7=1,(Y13)/(SUM(Y$10:OFFSET(Y$10,$W$5-1,0,1,1))),(1/Y13)/SUM(1/Y$10:OFFSET(Y$10,$W$5-1,0,1,1))),"")</f>
        <v>2.1855425904211568E-2</v>
      </c>
      <c r="Z69" s="202">
        <f ca="1">IF(AND(ISNUMBER($V69),ISNUMBER(Z$5)),IF(Z$7=1,(Z13)/(SUM(Z$10:OFFSET(Z$10,$W$5-1,0,1,1))),(1/Z13)/SUM(1/Z$10:OFFSET(Z$10,$W$5-1,0,1,1))),"")</f>
        <v>1.8472374497491607E-2</v>
      </c>
      <c r="AA69" s="202">
        <f ca="1">IF(AND(ISNUMBER($V69),ISNUMBER(AA$5)),IF(AA$7=1,(AA13)/(SUM(AA$10:OFFSET(AA$10,$W$5-1,0,1,1))),(1/AA13)/SUM(1/AA$10:OFFSET(AA$10,$W$5-1,0,1,1))),"")</f>
        <v>2.4093438512811108E-2</v>
      </c>
      <c r="AB69" s="202">
        <f ca="1">IF(AND(ISNUMBER($V69),ISNUMBER(AB$5)),IF(AB$7=1,(AB13)/(SUM(AB$10:OFFSET(AB$10,$W$5-1,0,1,1))),(1/AB13)/SUM(1/AB$10:OFFSET(AB$10,$W$5-1,0,1,1))),"")</f>
        <v>2.1097540964392033E-2</v>
      </c>
      <c r="AC69" s="202">
        <f ca="1">IF(AND(ISNUMBER($V69),ISNUMBER(AC$5)),IF(AC$7=1,(AC13)/(SUM(AC$10:OFFSET(AC$10,$W$5-1,0,1,1))),(1/AC13)/SUM(1/AC$10:OFFSET(AC$10,$W$5-1,0,1,1))),"")</f>
        <v>3.0277483379901712E-2</v>
      </c>
    </row>
    <row r="70" spans="1:29" ht="12.75" customHeight="1">
      <c r="A70" s="203"/>
      <c r="B70" s="197">
        <v>5</v>
      </c>
      <c r="C70" s="198" t="s">
        <v>61</v>
      </c>
      <c r="D70" s="202">
        <f ca="1">IF(AND(ISNUMBER($B70),ISNUMBER(D$5)),IF(D$7=1,(D14)/(SUM(D$10:OFFSET(D$10,$C$5-1,0,1,1))),(1/D14)/SUM(1/D$10:OFFSET(D$10,$C$5-1,0,1,1))),"")</f>
        <v>1.3006132995084489E-2</v>
      </c>
      <c r="E70" s="202">
        <f ca="1">IF(AND(ISNUMBER($B70),ISNUMBER(E$5)),IF(E$7=1,(E14)/(SUM(E$10:OFFSET(E$10,$C$5-1,0,1,1))),(1/E14)/SUM(1/E$10:OFFSET(E$10,$C$5-1,0,1,1))),"")</f>
        <v>3.4924730703389646E-2</v>
      </c>
      <c r="F70" s="202">
        <f ca="1">IF(AND(ISNUMBER($B70),ISNUMBER(F$5)),IF(F$7=1,(F14)/(SUM(F$10:OFFSET(F$10,$C$5-1,0,1,1))),(1/F14)/SUM(1/F$10:OFFSET(F$10,$C$5-1,0,1,1))),"")</f>
        <v>3.0455880475035117E-2</v>
      </c>
      <c r="G70" s="202">
        <f ca="1">IF(AND(ISNUMBER($B70),ISNUMBER(G$5)),IF(G$7=1,(G14)/(SUM(G$10:OFFSET(G$10,$C$5-1,0,1,1))),(1/G14)/SUM(1/G$10:OFFSET(G$10,$C$5-1,0,1,1))),"")</f>
        <v>1.4450127877237859E-2</v>
      </c>
      <c r="H70" s="202">
        <f ca="1">IF(AND(ISNUMBER($B70),ISNUMBER(H$5)),IF(H$7=1,(H14)/(SUM(H$10:OFFSET(H$10,$C$5-1,0,1,1))),(1/H14)/SUM(1/H$10:OFFSET(H$10,$C$5-1,0,1,1))),"")</f>
        <v>2.4599488103137741E-2</v>
      </c>
      <c r="I70" s="202">
        <f ca="1">IF(AND(ISNUMBER($B70),ISNUMBER(I$5)),IF(I$7=1,(I14)/(SUM(I$10:OFFSET(I$10,$C$5-1,0,1,1))),(1/I14)/SUM(1/I$10:OFFSET(I$10,$C$5-1,0,1,1))),"")</f>
        <v>2.3097112860892388E-2</v>
      </c>
      <c r="J70" s="187"/>
      <c r="K70" s="203"/>
      <c r="L70" s="197">
        <v>5</v>
      </c>
      <c r="M70" s="198" t="s">
        <v>61</v>
      </c>
      <c r="N70" s="202">
        <f ca="1">IF(AND(ISNUMBER($L70),ISNUMBER(N$5)),IF(N$7=1,(N14)/(SUM(N$10:OFFSET(N$10,$M$5-1,0,1,1))),(1/N14)/SUM(1/N$10:OFFSET(N$10,$M$5-1,0,1,1))),"")</f>
        <v>1.4512246391013773E-2</v>
      </c>
      <c r="O70" s="202">
        <f ca="1">IF(AND(ISNUMBER($L70),ISNUMBER(O$5)),IF(O$7=1,(O14)/(SUM(O$10:OFFSET(O$10,$M$5-1,0,1,1))),(1/O14)/SUM(1/O$10:OFFSET(O$10,$M$5-1,0,1,1))),"")</f>
        <v>3.0031865669856779E-2</v>
      </c>
      <c r="P70" s="202">
        <f ca="1">IF(AND(ISNUMBER($L70),ISNUMBER(P$5)),IF(P$7=1,(P14)/(SUM(P$10:OFFSET(P$10,$M$5-1,0,1,1))),(1/P14)/SUM(1/P$10:OFFSET(P$10,$M$5-1,0,1,1))),"")</f>
        <v>2.2442335665304427E-2</v>
      </c>
      <c r="Q70" s="202">
        <f ca="1">IF(AND(ISNUMBER($L70),ISNUMBER(Q$5)),IF(Q$7=1,(Q14)/(SUM(Q$10:OFFSET(Q$10,$M$5-1,0,1,1))),(1/Q14)/SUM(1/Q$10:OFFSET(Q$10,$M$5-1,0,1,1))),"")</f>
        <v>1.6055314660728934E-2</v>
      </c>
      <c r="R70" s="202">
        <f ca="1">IF(AND(ISNUMBER($L70),ISNUMBER(R$5)),IF(R$7=1,(R14)/(SUM(R$10:OFFSET(R$10,$M$5-1,0,1,1))),(1/R14)/SUM(1/R$10:OFFSET(R$10,$M$5-1,0,1,1))),"")</f>
        <v>2.4071239738416586E-2</v>
      </c>
      <c r="S70" s="202">
        <f ca="1">IF(AND(ISNUMBER($L70),ISNUMBER(S$5)),IF(S$7=1,(S14)/(SUM(S$10:OFFSET(S$10,$M$5-1,0,1,1))),(1/S14)/SUM(1/S$10:OFFSET(S$10,$M$5-1,0,1,1))),"")</f>
        <v>1.8189776761830652E-2</v>
      </c>
      <c r="T70" s="187"/>
      <c r="U70" s="203"/>
      <c r="V70" s="197">
        <v>5</v>
      </c>
      <c r="W70" s="198" t="s">
        <v>61</v>
      </c>
      <c r="X70" s="202">
        <f ca="1">IF(AND(ISNUMBER($V70),ISNUMBER(X$5)),IF(X$7=1,(X14)/(SUM(X$10:OFFSET(X$10,$W$5-1,0,1,1))),(1/X14)/SUM(1/X$10:OFFSET(X$10,$W$5-1,0,1,1))),"")</f>
        <v>1.3717974010803253E-2</v>
      </c>
      <c r="Y70" s="202">
        <f ca="1">IF(AND(ISNUMBER($V70),ISNUMBER(Y$5)),IF(Y$7=1,(Y14)/(SUM(Y$10:OFFSET(Y$10,$W$5-1,0,1,1))),(1/Y14)/SUM(1/Y$10:OFFSET(Y$10,$W$5-1,0,1,1))),"")</f>
        <v>3.2420393198156164E-2</v>
      </c>
      <c r="Z70" s="202">
        <f ca="1">IF(AND(ISNUMBER($V70),ISNUMBER(Z$5)),IF(Z$7=1,(Z14)/(SUM(Z$10:OFFSET(Z$10,$W$5-1,0,1,1))),(1/Z14)/SUM(1/Z$10:OFFSET(Z$10,$W$5-1,0,1,1))),"")</f>
        <v>2.6612179806638082E-2</v>
      </c>
      <c r="AA70" s="202">
        <f ca="1">IF(AND(ISNUMBER($V70),ISNUMBER(AA$5)),IF(AA$7=1,(AA14)/(SUM(AA$10:OFFSET(AA$10,$W$5-1,0,1,1))),(1/AA14)/SUM(1/AA$10:OFFSET(AA$10,$W$5-1,0,1,1))),"")</f>
        <v>1.5287714792392836E-2</v>
      </c>
      <c r="AB70" s="202">
        <f ca="1">IF(AND(ISNUMBER($V70),ISNUMBER(AB$5)),IF(AB$7=1,(AB14)/(SUM(AB$10:OFFSET(AB$10,$W$5-1,0,1,1))),(1/AB14)/SUM(1/AB$10:OFFSET(AB$10,$W$5-1,0,1,1))),"")</f>
        <v>2.433249724559881E-2</v>
      </c>
      <c r="AC70" s="202">
        <f ca="1">IF(AND(ISNUMBER($V70),ISNUMBER(AC$5)),IF(AC$7=1,(AC14)/(SUM(AC$10:OFFSET(AC$10,$W$5-1,0,1,1))),(1/AC14)/SUM(1/AC$10:OFFSET(AC$10,$W$5-1,0,1,1))),"")</f>
        <v>2.0666730898930525E-2</v>
      </c>
    </row>
    <row r="71" spans="1:29" ht="12.75" customHeight="1">
      <c r="A71" s="199"/>
      <c r="B71" s="197">
        <v>6</v>
      </c>
      <c r="C71" s="198" t="s">
        <v>62</v>
      </c>
      <c r="D71" s="202">
        <f ca="1">IF(AND(ISNUMBER($B71),ISNUMBER(D$5)),IF(D$7=1,(D15)/(SUM(D$10:OFFSET(D$10,$C$5-1,0,1,1))),(1/D15)/SUM(1/D$10:OFFSET(D$10,$C$5-1,0,1,1))),"")</f>
        <v>1.3810636066945388E-2</v>
      </c>
      <c r="E71" s="202">
        <f ca="1">IF(AND(ISNUMBER($B71),ISNUMBER(E$5)),IF(E$7=1,(E15)/(SUM(E$10:OFFSET(E$10,$C$5-1,0,1,1))),(1/E15)/SUM(1/E$10:OFFSET(E$10,$C$5-1,0,1,1))),"")</f>
        <v>1.31896589358546E-2</v>
      </c>
      <c r="F71" s="202">
        <f ca="1">IF(AND(ISNUMBER($B71),ISNUMBER(F$5)),IF(F$7=1,(F15)/(SUM(F$10:OFFSET(F$10,$C$5-1,0,1,1))),(1/F15)/SUM(1/F$10:OFFSET(F$10,$C$5-1,0,1,1))),"")</f>
        <v>1.9154641808198185E-2</v>
      </c>
      <c r="G71" s="202">
        <f ca="1">IF(AND(ISNUMBER($B71),ISNUMBER(G$5)),IF(G$7=1,(G15)/(SUM(G$10:OFFSET(G$10,$C$5-1,0,1,1))),(1/G15)/SUM(1/G$10:OFFSET(G$10,$C$5-1,0,1,1))),"")</f>
        <v>1.1636828644501284E-2</v>
      </c>
      <c r="H71" s="202">
        <f ca="1">IF(AND(ISNUMBER($B71),ISNUMBER(H$5)),IF(H$7=1,(H15)/(SUM(H$10:OFFSET(H$10,$C$5-1,0,1,1))),(1/H15)/SUM(1/H$10:OFFSET(H$10,$C$5-1,0,1,1))),"")</f>
        <v>1.5783486586406294E-2</v>
      </c>
      <c r="I71" s="202">
        <f ca="1">IF(AND(ISNUMBER($B71),ISNUMBER(I$5)),IF(I$7=1,(I15)/(SUM(I$10:OFFSET(I$10,$C$5-1,0,1,1))),(1/I15)/SUM(1/I$10:OFFSET(I$10,$C$5-1,0,1,1))),"")</f>
        <v>1.8611309949892626E-2</v>
      </c>
      <c r="J71" s="187"/>
      <c r="K71" s="199"/>
      <c r="L71" s="197">
        <v>6</v>
      </c>
      <c r="M71" s="198" t="s">
        <v>62</v>
      </c>
      <c r="N71" s="202">
        <f ca="1">IF(AND(ISNUMBER($L71),ISNUMBER(N$5)),IF(N$7=1,(N15)/(SUM(N$10:OFFSET(N$10,$M$5-1,0,1,1))),(1/N15)/SUM(1/N$10:OFFSET(N$10,$M$5-1,0,1,1))),"")</f>
        <v>2.1244731830143873E-2</v>
      </c>
      <c r="O71" s="202">
        <f ca="1">IF(AND(ISNUMBER($L71),ISNUMBER(O$5)),IF(O$7=1,(O15)/(SUM(O$10:OFFSET(O$10,$M$5-1,0,1,1))),(1/O15)/SUM(1/O$10:OFFSET(O$10,$M$5-1,0,1,1))),"")</f>
        <v>1.2579719543125848E-2</v>
      </c>
      <c r="P71" s="202">
        <f ca="1">IF(AND(ISNUMBER($L71),ISNUMBER(P$5)),IF(P$7=1,(P15)/(SUM(P$10:OFFSET(P$10,$M$5-1,0,1,1))),(1/P15)/SUM(1/P$10:OFFSET(P$10,$M$5-1,0,1,1))),"")</f>
        <v>1.4892290642100162E-2</v>
      </c>
      <c r="Q71" s="202">
        <f ca="1">IF(AND(ISNUMBER($L71),ISNUMBER(Q$5)),IF(Q$7=1,(Q15)/(SUM(Q$10:OFFSET(Q$10,$M$5-1,0,1,1))),(1/Q15)/SUM(1/Q$10:OFFSET(Q$10,$M$5-1,0,1,1))),"")</f>
        <v>1.0664479081214109E-2</v>
      </c>
      <c r="R71" s="202">
        <f ca="1">IF(AND(ISNUMBER($L71),ISNUMBER(R$5)),IF(R$7=1,(R15)/(SUM(R$10:OFFSET(R$10,$M$5-1,0,1,1))),(1/R15)/SUM(1/R$10:OFFSET(R$10,$M$5-1,0,1,1))),"")</f>
        <v>1.5954733082881128E-2</v>
      </c>
      <c r="S71" s="202">
        <f ca="1">IF(AND(ISNUMBER($L71),ISNUMBER(S$5)),IF(S$7=1,(S15)/(SUM(S$10:OFFSET(S$10,$M$5-1,0,1,1))),(1/S15)/SUM(1/S$10:OFFSET(S$10,$M$5-1,0,1,1))),"")</f>
        <v>1.9162492096687904E-2</v>
      </c>
      <c r="T71" s="187"/>
      <c r="U71" s="199"/>
      <c r="V71" s="197">
        <v>6</v>
      </c>
      <c r="W71" s="198" t="s">
        <v>62</v>
      </c>
      <c r="X71" s="202">
        <f ca="1">IF(AND(ISNUMBER($V71),ISNUMBER(X$5)),IF(X$7=1,(X15)/(SUM(X$10:OFFSET(X$10,$W$5-1,0,1,1))),(1/X15)/SUM(1/X$10:OFFSET(X$10,$W$5-1,0,1,1))),"")</f>
        <v>1.7324245529107201E-2</v>
      </c>
      <c r="Y71" s="202">
        <f ca="1">IF(AND(ISNUMBER($V71),ISNUMBER(Y$5)),IF(Y$7=1,(Y15)/(SUM(Y$10:OFFSET(Y$10,$W$5-1,0,1,1))),(1/Y15)/SUM(1/Y$10:OFFSET(Y$10,$W$5-1,0,1,1))),"")</f>
        <v>1.2877470864722167E-2</v>
      </c>
      <c r="Z71" s="202">
        <f ca="1">IF(AND(ISNUMBER($V71),ISNUMBER(Z$5)),IF(Z$7=1,(Z15)/(SUM(Z$10:OFFSET(Z$10,$W$5-1,0,1,1))),(1/Z15)/SUM(1/Z$10:OFFSET(Z$10,$W$5-1,0,1,1))),"")</f>
        <v>1.7110202996777298E-2</v>
      </c>
      <c r="AA71" s="202">
        <f ca="1">IF(AND(ISNUMBER($V71),ISNUMBER(AA$5)),IF(AA$7=1,(AA15)/(SUM(AA$10:OFFSET(AA$10,$W$5-1,0,1,1))),(1/AA15)/SUM(1/AA$10:OFFSET(AA$10,$W$5-1,0,1,1))),"")</f>
        <v>1.1129456368861984E-2</v>
      </c>
      <c r="AB71" s="202">
        <f ca="1">IF(AND(ISNUMBER($V71),ISNUMBER(AB$5)),IF(AB$7=1,(AB15)/(SUM(AB$10:OFFSET(AB$10,$W$5-1,0,1,1))),(1/AB15)/SUM(1/AB$10:OFFSET(AB$10,$W$5-1,0,1,1))),"")</f>
        <v>1.5870039147659339E-2</v>
      </c>
      <c r="AC71" s="202">
        <f ca="1">IF(AND(ISNUMBER($V71),ISNUMBER(AC$5)),IF(AC$7=1,(AC15)/(SUM(AC$10:OFFSET(AC$10,$W$5-1,0,1,1))),(1/AC15)/SUM(1/AC$10:OFFSET(AC$10,$W$5-1,0,1,1))),"")</f>
        <v>1.8884285576645145E-2</v>
      </c>
    </row>
    <row r="72" spans="1:29" ht="12.75" customHeight="1">
      <c r="A72" s="199"/>
      <c r="B72" s="197">
        <v>7</v>
      </c>
      <c r="C72" s="198" t="s">
        <v>63</v>
      </c>
      <c r="D72" s="202">
        <f ca="1">IF(AND(ISNUMBER($B72),ISNUMBER(D$5)),IF(D$7=1,(D16)/(SUM(D$10:OFFSET(D$10,$C$5-1,0,1,1))),(1/D16)/SUM(1/D$10:OFFSET(D$10,$C$5-1,0,1,1))),"")</f>
        <v>2.6950852907340027E-2</v>
      </c>
      <c r="E72" s="202">
        <f ca="1">IF(AND(ISNUMBER($B72),ISNUMBER(E$5)),IF(E$7=1,(E16)/(SUM(E$10:OFFSET(E$10,$C$5-1,0,1,1))),(1/E16)/SUM(1/E$10:OFFSET(E$10,$C$5-1,0,1,1))),"")</f>
        <v>9.8458017408492079E-3</v>
      </c>
      <c r="F72" s="202">
        <f ca="1">IF(AND(ISNUMBER($B72),ISNUMBER(F$5)),IF(F$7=1,(F16)/(SUM(F$10:OFFSET(F$10,$C$5-1,0,1,1))),(1/F16)/SUM(1/F$10:OFFSET(F$10,$C$5-1,0,1,1))),"")</f>
        <v>2.3879453454220403E-2</v>
      </c>
      <c r="G72" s="202">
        <f ca="1">IF(AND(ISNUMBER($B72),ISNUMBER(G$5)),IF(G$7=1,(G16)/(SUM(G$10:OFFSET(G$10,$C$5-1,0,1,1))),(1/G16)/SUM(1/G$10:OFFSET(G$10,$C$5-1,0,1,1))),"")</f>
        <v>2.7493606138107429E-2</v>
      </c>
      <c r="H72" s="202">
        <f ca="1">IF(AND(ISNUMBER($B72),ISNUMBER(H$5)),IF(H$7=1,(H16)/(SUM(H$10:OFFSET(H$10,$C$5-1,0,1,1))),(1/H16)/SUM(1/H$10:OFFSET(H$10,$C$5-1,0,1,1))),"")</f>
        <v>1.8674755901033274E-2</v>
      </c>
      <c r="I72" s="202">
        <f ca="1">IF(AND(ISNUMBER($B72),ISNUMBER(I$5)),IF(I$7=1,(I16)/(SUM(I$10:OFFSET(I$10,$C$5-1,0,1,1))),(1/I16)/SUM(1/I$10:OFFSET(I$10,$C$5-1,0,1,1))),"")</f>
        <v>3.1734669529945123E-2</v>
      </c>
      <c r="J72" s="187"/>
      <c r="K72" s="199"/>
      <c r="L72" s="197">
        <v>7</v>
      </c>
      <c r="M72" s="198" t="s">
        <v>63</v>
      </c>
      <c r="N72" s="202">
        <f ca="1">IF(AND(ISNUMBER($L72),ISNUMBER(N$5)),IF(N$7=1,(N16)/(SUM(N$10:OFFSET(N$10,$M$5-1,0,1,1))),(1/N16)/SUM(1/N$10:OFFSET(N$10,$M$5-1,0,1,1))),"")</f>
        <v>3.3363205620578061E-2</v>
      </c>
      <c r="O72" s="202">
        <f ca="1">IF(AND(ISNUMBER($L72),ISNUMBER(O$5)),IF(O$7=1,(O16)/(SUM(O$10:OFFSET(O$10,$M$5-1,0,1,1))),(1/O16)/SUM(1/O$10:OFFSET(O$10,$M$5-1,0,1,1))),"")</f>
        <v>1.3022667414362674E-2</v>
      </c>
      <c r="P72" s="202">
        <f ca="1">IF(AND(ISNUMBER($L72),ISNUMBER(P$5)),IF(P$7=1,(P16)/(SUM(P$10:OFFSET(P$10,$M$5-1,0,1,1))),(1/P16)/SUM(1/P$10:OFFSET(P$10,$M$5-1,0,1,1))),"")</f>
        <v>2.6667590219574707E-2</v>
      </c>
      <c r="Q72" s="202">
        <f ca="1">IF(AND(ISNUMBER($L72),ISNUMBER(Q$5)),IF(Q$7=1,(Q16)/(SUM(Q$10:OFFSET(Q$10,$M$5-1,0,1,1))),(1/Q16)/SUM(1/Q$10:OFFSET(Q$10,$M$5-1,0,1,1))),"")</f>
        <v>2.7071369975389666E-2</v>
      </c>
      <c r="R72" s="202">
        <f ca="1">IF(AND(ISNUMBER($L72),ISNUMBER(R$5)),IF(R$7=1,(R16)/(SUM(R$10:OFFSET(R$10,$M$5-1,0,1,1))),(1/R16)/SUM(1/R$10:OFFSET(R$10,$M$5-1,0,1,1))),"")</f>
        <v>2.0221696581791199E-2</v>
      </c>
      <c r="S72" s="202">
        <f ca="1">IF(AND(ISNUMBER($L72),ISNUMBER(S$5)),IF(S$7=1,(S16)/(SUM(S$10:OFFSET(S$10,$M$5-1,0,1,1))),(1/S16)/SUM(1/S$10:OFFSET(S$10,$M$5-1,0,1,1))),"")</f>
        <v>3.0397354214289189E-2</v>
      </c>
      <c r="T72" s="187"/>
      <c r="U72" s="199"/>
      <c r="V72" s="197">
        <v>7</v>
      </c>
      <c r="W72" s="198" t="s">
        <v>63</v>
      </c>
      <c r="X72" s="202">
        <f ca="1">IF(AND(ISNUMBER($V72),ISNUMBER(X$5)),IF(X$7=1,(X16)/(SUM(X$10:OFFSET(X$10,$W$5-1,0,1,1))),(1/X16)/SUM(1/X$10:OFFSET(X$10,$W$5-1,0,1,1))),"")</f>
        <v>2.9981551446291652E-2</v>
      </c>
      <c r="Y72" s="202">
        <f ca="1">IF(AND(ISNUMBER($V72),ISNUMBER(Y$5)),IF(Y$7=1,(Y16)/(SUM(Y$10:OFFSET(Y$10,$W$5-1,0,1,1))),(1/Y16)/SUM(1/Y$10:OFFSET(Y$10,$W$5-1,0,1,1))),"")</f>
        <v>1.1471831439347564E-2</v>
      </c>
      <c r="Z72" s="202">
        <f ca="1">IF(AND(ISNUMBER($V72),ISNUMBER(Z$5)),IF(Z$7=1,(Z16)/(SUM(Z$10:OFFSET(Z$10,$W$5-1,0,1,1))),(1/Z16)/SUM(1/Z$10:OFFSET(Z$10,$W$5-1,0,1,1))),"")</f>
        <v>2.5216784610784405E-2</v>
      </c>
      <c r="AA72" s="202">
        <f ca="1">IF(AND(ISNUMBER($V72),ISNUMBER(AA$5)),IF(AA$7=1,(AA16)/(SUM(AA$10:OFFSET(AA$10,$W$5-1,0,1,1))),(1/AA16)/SUM(1/AA$10:OFFSET(AA$10,$W$5-1,0,1,1))),"")</f>
        <v>2.7273283189628818E-2</v>
      </c>
      <c r="AB72" s="202">
        <f ca="1">IF(AND(ISNUMBER($V72),ISNUMBER(AB$5)),IF(AB$7=1,(AB16)/(SUM(AB$10:OFFSET(AB$10,$W$5-1,0,1,1))),(1/AB16)/SUM(1/AB$10:OFFSET(AB$10,$W$5-1,0,1,1))),"")</f>
        <v>1.9456621111605985E-2</v>
      </c>
      <c r="AC72" s="202">
        <f ca="1">IF(AND(ISNUMBER($V72),ISNUMBER(AC$5)),IF(AC$7=1,(AC16)/(SUM(AC$10:OFFSET(AC$10,$W$5-1,0,1,1))),(1/AC16)/SUM(1/AC$10:OFFSET(AC$10,$W$5-1,0,1,1))),"")</f>
        <v>3.1072357645245196E-2</v>
      </c>
    </row>
    <row r="73" spans="1:29" ht="12.75" customHeight="1">
      <c r="A73" s="199"/>
      <c r="B73" s="197">
        <v>8</v>
      </c>
      <c r="C73" s="198" t="s">
        <v>64</v>
      </c>
      <c r="D73" s="202">
        <f ca="1">IF(AND(ISNUMBER($B73),ISNUMBER(D$5)),IF(D$7=1,(D17)/(SUM(D$10:OFFSET(D$10,$C$5-1,0,1,1))),(1/D17)/SUM(1/D$10:OFFSET(D$10,$C$5-1,0,1,1))),"")</f>
        <v>2.0380744487142704E-2</v>
      </c>
      <c r="E73" s="202">
        <f ca="1">IF(AND(ISNUMBER($B73),ISNUMBER(E$5)),IF(E$7=1,(E17)/(SUM(E$10:OFFSET(E$10,$C$5-1,0,1,1))),(1/E17)/SUM(1/E$10:OFFSET(E$10,$C$5-1,0,1,1))),"")</f>
        <v>2.9165865534213693E-2</v>
      </c>
      <c r="F73" s="202">
        <f ca="1">IF(AND(ISNUMBER($B73),ISNUMBER(F$5)),IF(F$7=1,(F17)/(SUM(F$10:OFFSET(F$10,$C$5-1,0,1,1))),(1/F17)/SUM(1/F$10:OFFSET(F$10,$C$5-1,0,1,1))),"")</f>
        <v>2.1580896437236621E-2</v>
      </c>
      <c r="G73" s="202">
        <f ca="1">IF(AND(ISNUMBER($B73),ISNUMBER(G$5)),IF(G$7=1,(G17)/(SUM(G$10:OFFSET(G$10,$C$5-1,0,1,1))),(1/G17)/SUM(1/G$10:OFFSET(G$10,$C$5-1,0,1,1))),"")</f>
        <v>2.289002557544758E-2</v>
      </c>
      <c r="H73" s="202">
        <f ca="1">IF(AND(ISNUMBER($B73),ISNUMBER(H$5)),IF(H$7=1,(H17)/(SUM(H$10:OFFSET(H$10,$C$5-1,0,1,1))),(1/H17)/SUM(1/H$10:OFFSET(H$10,$C$5-1,0,1,1))),"")</f>
        <v>2.6684993838278513E-2</v>
      </c>
      <c r="I73" s="202">
        <f ca="1">IF(AND(ISNUMBER($B73),ISNUMBER(I$5)),IF(I$7=1,(I17)/(SUM(I$10:OFFSET(I$10,$C$5-1,0,1,1))),(1/I17)/SUM(1/I$10:OFFSET(I$10,$C$5-1,0,1,1))),"")</f>
        <v>1.8515867334764971E-2</v>
      </c>
      <c r="J73" s="187"/>
      <c r="K73" s="199"/>
      <c r="L73" s="197">
        <v>8</v>
      </c>
      <c r="M73" s="198" t="s">
        <v>64</v>
      </c>
      <c r="N73" s="202">
        <f ca="1">IF(AND(ISNUMBER($L73),ISNUMBER(N$5)),IF(N$7=1,(N17)/(SUM(N$10:OFFSET(N$10,$M$5-1,0,1,1))),(1/N17)/SUM(1/N$10:OFFSET(N$10,$M$5-1,0,1,1))),"")</f>
        <v>9.7247011898545909E-3</v>
      </c>
      <c r="O73" s="202">
        <f ca="1">IF(AND(ISNUMBER($L73),ISNUMBER(O$5)),IF(O$7=1,(O17)/(SUM(O$10:OFFSET(O$10,$M$5-1,0,1,1))),(1/O17)/SUM(1/O$10:OFFSET(O$10,$M$5-1,0,1,1))),"")</f>
        <v>2.7285588868188462E-2</v>
      </c>
      <c r="P73" s="202">
        <f ca="1">IF(AND(ISNUMBER($L73),ISNUMBER(P$5)),IF(P$7=1,(P17)/(SUM(P$10:OFFSET(P$10,$M$5-1,0,1,1))),(1/P17)/SUM(1/P$10:OFFSET(P$10,$M$5-1,0,1,1))),"")</f>
        <v>2.0433608090323477E-2</v>
      </c>
      <c r="Q73" s="202">
        <f ca="1">IF(AND(ISNUMBER($L73),ISNUMBER(Q$5)),IF(Q$7=1,(Q17)/(SUM(Q$10:OFFSET(Q$10,$M$5-1,0,1,1))),(1/Q17)/SUM(1/Q$10:OFFSET(Q$10,$M$5-1,0,1,1))),"")</f>
        <v>2.3789991796554555E-2</v>
      </c>
      <c r="R73" s="202">
        <f ca="1">IF(AND(ISNUMBER($L73),ISNUMBER(R$5)),IF(R$7=1,(R17)/(SUM(R$10:OFFSET(R$10,$M$5-1,0,1,1))),(1/R17)/SUM(1/R$10:OFFSET(R$10,$M$5-1,0,1,1))),"")</f>
        <v>2.3653819396131905E-2</v>
      </c>
      <c r="S73" s="202">
        <f ca="1">IF(AND(ISNUMBER($L73),ISNUMBER(S$5)),IF(S$7=1,(S17)/(SUM(S$10:OFFSET(S$10,$M$5-1,0,1,1))),(1/S17)/SUM(1/S$10:OFFSET(S$10,$M$5-1,0,1,1))),"")</f>
        <v>1.6438889159087592E-2</v>
      </c>
      <c r="T73" s="187"/>
      <c r="U73" s="199"/>
      <c r="V73" s="197">
        <v>8</v>
      </c>
      <c r="W73" s="198" t="s">
        <v>64</v>
      </c>
      <c r="X73" s="202">
        <f ca="1">IF(AND(ISNUMBER($V73),ISNUMBER(X$5)),IF(X$7=1,(X17)/(SUM(X$10:OFFSET(X$10,$W$5-1,0,1,1))),(1/X17)/SUM(1/X$10:OFFSET(X$10,$W$5-1,0,1,1))),"")</f>
        <v>1.5344331754352092E-2</v>
      </c>
      <c r="Y73" s="202">
        <f ca="1">IF(AND(ISNUMBER($V73),ISNUMBER(Y$5)),IF(Y$7=1,(Y17)/(SUM(Y$10:OFFSET(Y$10,$W$5-1,0,1,1))),(1/Y17)/SUM(1/Y$10:OFFSET(Y$10,$W$5-1,0,1,1))),"")</f>
        <v>2.8203474922032356E-2</v>
      </c>
      <c r="Z73" s="202">
        <f ca="1">IF(AND(ISNUMBER($V73),ISNUMBER(Z$5)),IF(Z$7=1,(Z17)/(SUM(Z$10:OFFSET(Z$10,$W$5-1,0,1,1))),(1/Z17)/SUM(1/Z$10:OFFSET(Z$10,$W$5-1,0,1,1))),"")</f>
        <v>2.1030599023223354E-2</v>
      </c>
      <c r="AA73" s="202">
        <f ca="1">IF(AND(ISNUMBER($V73),ISNUMBER(AA$5)),IF(AA$7=1,(AA17)/(SUM(AA$10:OFFSET(AA$10,$W$5-1,0,1,1))),(1/AA17)/SUM(1/AA$10:OFFSET(AA$10,$W$5-1,0,1,1))),"")</f>
        <v>2.3359628202776254E-2</v>
      </c>
      <c r="AB73" s="202">
        <f ca="1">IF(AND(ISNUMBER($V73),ISNUMBER(AB$5)),IF(AB$7=1,(AB17)/(SUM(AB$10:OFFSET(AB$10,$W$5-1,0,1,1))),(1/AB17)/SUM(1/AB$10:OFFSET(AB$10,$W$5-1,0,1,1))),"")</f>
        <v>2.5152957171991834E-2</v>
      </c>
      <c r="AC73" s="202">
        <f ca="1">IF(AND(ISNUMBER($V73),ISNUMBER(AC$5)),IF(AC$7=1,(AC17)/(SUM(AC$10:OFFSET(AC$10,$W$5-1,0,1,1))),(1/AC17)/SUM(1/AC$10:OFFSET(AC$10,$W$5-1,0,1,1))),"")</f>
        <v>1.7487233837556598E-2</v>
      </c>
    </row>
    <row r="74" spans="1:29" ht="12.75" customHeight="1">
      <c r="A74" s="199"/>
      <c r="B74" s="197">
        <v>9</v>
      </c>
      <c r="C74" s="198" t="s">
        <v>65</v>
      </c>
      <c r="D74" s="202">
        <f ca="1">IF(AND(ISNUMBER($B74),ISNUMBER(D$5)),IF(D$7=1,(D18)/(SUM(D$10:OFFSET(D$10,$C$5-1,0,1,1))),(1/D18)/SUM(1/D$10:OFFSET(D$10,$C$5-1,0,1,1))),"")</f>
        <v>1.8503570652800616E-2</v>
      </c>
      <c r="E74" s="202">
        <f ca="1">IF(AND(ISNUMBER($B74),ISNUMBER(E$5)),IF(E$7=1,(E18)/(SUM(E$10:OFFSET(E$10,$C$5-1,0,1,1))),(1/E18)/SUM(1/E$10:OFFSET(E$10,$C$5-1,0,1,1))),"")</f>
        <v>1.1610615260435388E-2</v>
      </c>
      <c r="F74" s="202">
        <f ca="1">IF(AND(ISNUMBER($B74),ISNUMBER(F$5)),IF(F$7=1,(F18)/(SUM(F$10:OFFSET(F$10,$C$5-1,0,1,1))),(1/F18)/SUM(1/F$10:OFFSET(F$10,$C$5-1,0,1,1))),"")</f>
        <v>1.7749968075596985E-2</v>
      </c>
      <c r="G74" s="202">
        <f ca="1">IF(AND(ISNUMBER($B74),ISNUMBER(G$5)),IF(G$7=1,(G18)/(SUM(G$10:OFFSET(G$10,$C$5-1,0,1,1))),(1/G18)/SUM(1/G$10:OFFSET(G$10,$C$5-1,0,1,1))),"")</f>
        <v>1.0613810741687985E-2</v>
      </c>
      <c r="H74" s="202">
        <f ca="1">IF(AND(ISNUMBER($B74),ISNUMBER(H$5)),IF(H$7=1,(H18)/(SUM(H$10:OFFSET(H$10,$C$5-1,0,1,1))),(1/H18)/SUM(1/H$10:OFFSET(H$10,$C$5-1,0,1,1))),"")</f>
        <v>1.507251872215376E-2</v>
      </c>
      <c r="I74" s="202">
        <f ca="1">IF(AND(ISNUMBER($B74),ISNUMBER(I$5)),IF(I$7=1,(I18)/(SUM(I$10:OFFSET(I$10,$C$5-1,0,1,1))),(1/I18)/SUM(1/I$10:OFFSET(I$10,$C$5-1,0,1,1))),"")</f>
        <v>1.4268670961584348E-2</v>
      </c>
      <c r="J74" s="187"/>
      <c r="K74" s="199"/>
      <c r="L74" s="197">
        <v>9</v>
      </c>
      <c r="M74" s="198" t="s">
        <v>65</v>
      </c>
      <c r="N74" s="202">
        <f ca="1">IF(AND(ISNUMBER($L74),ISNUMBER(N$5)),IF(N$7=1,(N18)/(SUM(N$10:OFFSET(N$10,$M$5-1,0,1,1))),(1/N18)/SUM(1/N$10:OFFSET(N$10,$M$5-1,0,1,1))),"")</f>
        <v>1.5709132691303571E-2</v>
      </c>
      <c r="O74" s="202">
        <f ca="1">IF(AND(ISNUMBER($L74),ISNUMBER(O$5)),IF(O$7=1,(O18)/(SUM(O$10:OFFSET(O$10,$M$5-1,0,1,1))),(1/O18)/SUM(1/O$10:OFFSET(O$10,$M$5-1,0,1,1))),"")</f>
        <v>1.1073696780920642E-2</v>
      </c>
      <c r="P74" s="202">
        <f ca="1">IF(AND(ISNUMBER($L74),ISNUMBER(P$5)),IF(P$7=1,(P18)/(SUM(P$10:OFFSET(P$10,$M$5-1,0,1,1))),(1/P18)/SUM(1/P$10:OFFSET(P$10,$M$5-1,0,1,1))),"")</f>
        <v>1.4268892429175039E-2</v>
      </c>
      <c r="Q74" s="202">
        <f ca="1">IF(AND(ISNUMBER($L74),ISNUMBER(Q$5)),IF(Q$7=1,(Q18)/(SUM(Q$10:OFFSET(Q$10,$M$5-1,0,1,1))),(1/Q18)/SUM(1/Q$10:OFFSET(Q$10,$M$5-1,0,1,1))),"")</f>
        <v>9.7269424586897933E-3</v>
      </c>
      <c r="R74" s="202">
        <f ca="1">IF(AND(ISNUMBER($L74),ISNUMBER(R$5)),IF(R$7=1,(R18)/(SUM(R$10:OFFSET(R$10,$M$5-1,0,1,1))),(1/R18)/SUM(1/R$10:OFFSET(R$10,$M$5-1,0,1,1))),"")</f>
        <v>1.5722832892722971E-2</v>
      </c>
      <c r="S74" s="202">
        <f ca="1">IF(AND(ISNUMBER($L74),ISNUMBER(S$5)),IF(S$7=1,(S18)/(SUM(S$10:OFFSET(S$10,$M$5-1,0,1,1))),(1/S18)/SUM(1/S$10:OFFSET(S$10,$M$5-1,0,1,1))),"")</f>
        <v>1.2742570886630028E-2</v>
      </c>
      <c r="T74" s="187"/>
      <c r="U74" s="199"/>
      <c r="V74" s="197">
        <v>9</v>
      </c>
      <c r="W74" s="198" t="s">
        <v>65</v>
      </c>
      <c r="X74" s="202">
        <f ca="1">IF(AND(ISNUMBER($V74),ISNUMBER(X$5)),IF(X$7=1,(X18)/(SUM(X$10:OFFSET(X$10,$W$5-1,0,1,1))),(1/X18)/SUM(1/X$10:OFFSET(X$10,$W$5-1,0,1,1))),"")</f>
        <v>1.7182823116624696E-2</v>
      </c>
      <c r="Y74" s="202">
        <f ca="1">IF(AND(ISNUMBER($V74),ISNUMBER(Y$5)),IF(Y$7=1,(Y18)/(SUM(Y$10:OFFSET(Y$10,$W$5-1,0,1,1))),(1/Y18)/SUM(1/Y$10:OFFSET(Y$10,$W$5-1,0,1,1))),"")</f>
        <v>1.1335801817537121E-2</v>
      </c>
      <c r="Z74" s="202">
        <f ca="1">IF(AND(ISNUMBER($V74),ISNUMBER(Z$5)),IF(Z$7=1,(Z18)/(SUM(Z$10:OFFSET(Z$10,$W$5-1,0,1,1))),(1/Z18)/SUM(1/Z$10:OFFSET(Z$10,$W$5-1,0,1,1))),"")</f>
        <v>1.6080268447456723E-2</v>
      </c>
      <c r="AA74" s="202">
        <f ca="1">IF(AND(ISNUMBER($V74),ISNUMBER(AA$5)),IF(AA$7=1,(AA18)/(SUM(AA$10:OFFSET(AA$10,$W$5-1,0,1,1))),(1/AA18)/SUM(1/AA$10:OFFSET(AA$10,$W$5-1,0,1,1))),"")</f>
        <v>1.0151042622148844E-2</v>
      </c>
      <c r="AB74" s="202">
        <f ca="1">IF(AND(ISNUMBER($V74),ISNUMBER(AB$5)),IF(AB$7=1,(AB18)/(SUM(AB$10:OFFSET(AB$10,$W$5-1,0,1,1))),(1/AB18)/SUM(1/AB$10:OFFSET(AB$10,$W$5-1,0,1,1))),"")</f>
        <v>1.5401204904006184E-2</v>
      </c>
      <c r="AC74" s="202">
        <f ca="1">IF(AND(ISNUMBER($V74),ISNUMBER(AC$5)),IF(AC$7=1,(AC18)/(SUM(AC$10:OFFSET(AC$10,$W$5-1,0,1,1))),(1/AC18)/SUM(1/AC$10:OFFSET(AC$10,$W$5-1,0,1,1))),"")</f>
        <v>1.3512862510839189E-2</v>
      </c>
    </row>
    <row r="75" spans="1:29" ht="12.75" customHeight="1">
      <c r="A75" s="199"/>
      <c r="B75" s="197">
        <v>10</v>
      </c>
      <c r="C75" s="198" t="s">
        <v>66</v>
      </c>
      <c r="D75" s="202">
        <f ca="1">IF(AND(ISNUMBER($B75),ISNUMBER(D$5)),IF(D$7=1,(D19)/(SUM(D$10:OFFSET(D$10,$C$5-1,0,1,1))),(1/D19)/SUM(1/D$10:OFFSET(D$10,$C$5-1,0,1,1))),"")</f>
        <v>2.4269176001137038E-2</v>
      </c>
      <c r="E75" s="202">
        <f ca="1">IF(AND(ISNUMBER($B75),ISNUMBER(E$5)),IF(E$7=1,(E19)/(SUM(E$10:OFFSET(E$10,$C$5-1,0,1,1))),(1/E19)/SUM(1/E$10:OFFSET(E$10,$C$5-1,0,1,1))),"")</f>
        <v>1.6997940741277407E-2</v>
      </c>
      <c r="F75" s="202">
        <f ca="1">IF(AND(ISNUMBER($B75),ISNUMBER(F$5)),IF(F$7=1,(F19)/(SUM(F$10:OFFSET(F$10,$C$5-1,0,1,1))),(1/F19)/SUM(1/F$10:OFFSET(F$10,$C$5-1,0,1,1))),"")</f>
        <v>1.8899246584088879E-2</v>
      </c>
      <c r="G75" s="202">
        <f ca="1">IF(AND(ISNUMBER($B75),ISNUMBER(G$5)),IF(G$7=1,(G19)/(SUM(G$10:OFFSET(G$10,$C$5-1,0,1,1))),(1/G19)/SUM(1/G$10:OFFSET(G$10,$C$5-1,0,1,1))),"")</f>
        <v>1.304347826086957E-2</v>
      </c>
      <c r="H75" s="202">
        <f ca="1">IF(AND(ISNUMBER($B75),ISNUMBER(H$5)),IF(H$7=1,(H19)/(SUM(H$10:OFFSET(H$10,$C$5-1,0,1,1))),(1/H19)/SUM(1/H$10:OFFSET(H$10,$C$5-1,0,1,1))),"")</f>
        <v>1.9764906626220498E-2</v>
      </c>
      <c r="I75" s="202">
        <f ca="1">IF(AND(ISNUMBER($B75),ISNUMBER(I$5)),IF(I$7=1,(I19)/(SUM(I$10:OFFSET(I$10,$C$5-1,0,1,1))),(1/I19)/SUM(1/I$10:OFFSET(I$10,$C$5-1,0,1,1))),"")</f>
        <v>1.3934621808637556E-2</v>
      </c>
      <c r="J75" s="187"/>
      <c r="K75" s="199"/>
      <c r="L75" s="197">
        <v>10</v>
      </c>
      <c r="M75" s="198" t="s">
        <v>66</v>
      </c>
      <c r="N75" s="202">
        <f ca="1">IF(AND(ISNUMBER($L75),ISNUMBER(N$5)),IF(N$7=1,(N19)/(SUM(N$10:OFFSET(N$10,$M$5-1,0,1,1))),(1/N19)/SUM(1/N$10:OFFSET(N$10,$M$5-1,0,1,1))),"")</f>
        <v>2.7079552544056633E-2</v>
      </c>
      <c r="O75" s="202">
        <f ca="1">IF(AND(ISNUMBER($L75),ISNUMBER(O$5)),IF(O$7=1,(O19)/(SUM(O$10:OFFSET(O$10,$M$5-1,0,1,1))),(1/O19)/SUM(1/O$10:OFFSET(O$10,$M$5-1,0,1,1))),"")</f>
        <v>1.621189208726782E-2</v>
      </c>
      <c r="P75" s="202">
        <f ca="1">IF(AND(ISNUMBER($L75),ISNUMBER(P$5)),IF(P$7=1,(P19)/(SUM(P$10:OFFSET(P$10,$M$5-1,0,1,1))),(1/P19)/SUM(1/P$10:OFFSET(P$10,$M$5-1,0,1,1))),"")</f>
        <v>1.7801482302417401E-2</v>
      </c>
      <c r="Q75" s="202">
        <f ca="1">IF(AND(ISNUMBER($L75),ISNUMBER(Q$5)),IF(Q$7=1,(Q19)/(SUM(Q$10:OFFSET(Q$10,$M$5-1,0,1,1))),(1/Q19)/SUM(1/Q$10:OFFSET(Q$10,$M$5-1,0,1,1))),"")</f>
        <v>1.1953591937185046E-2</v>
      </c>
      <c r="R75" s="202">
        <f ca="1">IF(AND(ISNUMBER($L75),ISNUMBER(R$5)),IF(R$7=1,(R19)/(SUM(R$10:OFFSET(R$10,$M$5-1,0,1,1))),(1/R19)/SUM(1/R$10:OFFSET(R$10,$M$5-1,0,1,1))),"")</f>
        <v>2.1520337646676869E-2</v>
      </c>
      <c r="S75" s="202">
        <f ca="1">IF(AND(ISNUMBER($L75),ISNUMBER(S$5)),IF(S$7=1,(S19)/(SUM(S$10:OFFSET(S$10,$M$5-1,0,1,1))),(1/S19)/SUM(1/S$10:OFFSET(S$10,$M$5-1,0,1,1))),"")</f>
        <v>1.2158941685715676E-2</v>
      </c>
      <c r="T75" s="187"/>
      <c r="U75" s="199"/>
      <c r="V75" s="197">
        <v>10</v>
      </c>
      <c r="W75" s="198" t="s">
        <v>66</v>
      </c>
      <c r="X75" s="202">
        <f ca="1">IF(AND(ISNUMBER($V75),ISNUMBER(X$5)),IF(X$7=1,(X19)/(SUM(X$10:OFFSET(X$10,$W$5-1,0,1,1))),(1/X19)/SUM(1/X$10:OFFSET(X$10,$W$5-1,0,1,1))),"")</f>
        <v>2.5597456659333908E-2</v>
      </c>
      <c r="Y75" s="202">
        <f ca="1">IF(AND(ISNUMBER($V75),ISNUMBER(Y$5)),IF(Y$7=1,(Y19)/(SUM(Y$10:OFFSET(Y$10,$W$5-1,0,1,1))),(1/Y19)/SUM(1/Y$10:OFFSET(Y$10,$W$5-1,0,1,1))),"")</f>
        <v>1.6595613860874343E-2</v>
      </c>
      <c r="Z75" s="202">
        <f ca="1">IF(AND(ISNUMBER($V75),ISNUMBER(Z$5)),IF(Z$7=1,(Z19)/(SUM(Z$10:OFFSET(Z$10,$W$5-1,0,1,1))),(1/Z19)/SUM(1/Z$10:OFFSET(Z$10,$W$5-1,0,1,1))),"")</f>
        <v>1.8372703412073484E-2</v>
      </c>
      <c r="AA75" s="202">
        <f ca="1">IF(AND(ISNUMBER($V75),ISNUMBER(AA$5)),IF(AA$7=1,(AA19)/(SUM(AA$10:OFFSET(AA$10,$W$5-1,0,1,1))),(1/AA19)/SUM(1/AA$10:OFFSET(AA$10,$W$5-1,0,1,1))),"")</f>
        <v>1.2474775270592552E-2</v>
      </c>
      <c r="AB75" s="202">
        <f ca="1">IF(AND(ISNUMBER($V75),ISNUMBER(AB$5)),IF(AB$7=1,(AB19)/(SUM(AB$10:OFFSET(AB$10,$W$5-1,0,1,1))),(1/AB19)/SUM(1/AB$10:OFFSET(AB$10,$W$5-1,0,1,1))),"")</f>
        <v>2.0652148432921531E-2</v>
      </c>
      <c r="AC75" s="202">
        <f ca="1">IF(AND(ISNUMBER($V75),ISNUMBER(AC$5)),IF(AC$7=1,(AC19)/(SUM(AC$10:OFFSET(AC$10,$W$5-1,0,1,1))),(1/AC19)/SUM(1/AC$10:OFFSET(AC$10,$W$5-1,0,1,1))),"")</f>
        <v>1.3055207630792943E-2</v>
      </c>
    </row>
    <row r="76" spans="1:29" ht="12.75" customHeight="1">
      <c r="A76" s="199"/>
      <c r="B76" s="197">
        <v>11</v>
      </c>
      <c r="C76" s="198" t="s">
        <v>67</v>
      </c>
      <c r="D76" s="202">
        <f ca="1">IF(AND(ISNUMBER($B76),ISNUMBER(D$5)),IF(D$7=1,(D20)/(SUM(D$10:OFFSET(D$10,$C$5-1,0,1,1))),(1/D20)/SUM(1/D$10:OFFSET(D$10,$C$5-1,0,1,1))),"")</f>
        <v>1.1263043006052548E-2</v>
      </c>
      <c r="E76" s="202">
        <f ca="1">IF(AND(ISNUMBER($B76),ISNUMBER(E$5)),IF(E$7=1,(E20)/(SUM(E$10:OFFSET(E$10,$C$5-1,0,1,1))),(1/E20)/SUM(1/E$10:OFFSET(E$10,$C$5-1,0,1,1))),"")</f>
        <v>1.4675817689190331E-2</v>
      </c>
      <c r="F76" s="202">
        <f ca="1">IF(AND(ISNUMBER($B76),ISNUMBER(F$5)),IF(F$7=1,(F20)/(SUM(F$10:OFFSET(F$10,$C$5-1,0,1,1))),(1/F20)/SUM(1/F$10:OFFSET(F$10,$C$5-1,0,1,1))),"")</f>
        <v>2.0048525092580767E-2</v>
      </c>
      <c r="G76" s="202">
        <f ca="1">IF(AND(ISNUMBER($B76),ISNUMBER(G$5)),IF(G$7=1,(G20)/(SUM(G$10:OFFSET(G$10,$C$5-1,0,1,1))),(1/G20)/SUM(1/G$10:OFFSET(G$10,$C$5-1,0,1,1))),"")</f>
        <v>1.4833759590792845E-2</v>
      </c>
      <c r="H76" s="202">
        <f ca="1">IF(AND(ISNUMBER($B76),ISNUMBER(H$5)),IF(H$7=1,(H20)/(SUM(H$10:OFFSET(H$10,$C$5-1,0,1,1))),(1/H20)/SUM(1/H$10:OFFSET(H$10,$C$5-1,0,1,1))),"")</f>
        <v>2.2703573798464313E-2</v>
      </c>
      <c r="I76" s="202">
        <f ca="1">IF(AND(ISNUMBER($B76),ISNUMBER(I$5)),IF(I$7=1,(I20)/(SUM(I$10:OFFSET(I$10,$C$5-1,0,1,1))),(1/I20)/SUM(1/I$10:OFFSET(I$10,$C$5-1,0,1,1))),"")</f>
        <v>1.7322834645669291E-2</v>
      </c>
      <c r="J76" s="187"/>
      <c r="K76" s="199"/>
      <c r="L76" s="197">
        <v>11</v>
      </c>
      <c r="M76" s="198" t="s">
        <v>67</v>
      </c>
      <c r="N76" s="202">
        <f ca="1">IF(AND(ISNUMBER($L76),ISNUMBER(N$5)),IF(N$7=1,(N20)/(SUM(N$10:OFFSET(N$10,$M$5-1,0,1,1))),(1/N20)/SUM(1/N$10:OFFSET(N$10,$M$5-1,0,1,1))),"")</f>
        <v>1.2567306153042856E-2</v>
      </c>
      <c r="O76" s="202">
        <f ca="1">IF(AND(ISNUMBER($L76),ISNUMBER(O$5)),IF(O$7=1,(O20)/(SUM(O$10:OFFSET(O$10,$M$5-1,0,1,1))),(1/O20)/SUM(1/O$10:OFFSET(O$10,$M$5-1,0,1,1))),"")</f>
        <v>1.5857533790278357E-2</v>
      </c>
      <c r="P76" s="202">
        <f ca="1">IF(AND(ISNUMBER($L76),ISNUMBER(P$5)),IF(P$7=1,(P20)/(SUM(P$10:OFFSET(P$10,$M$5-1,0,1,1))),(1/P20)/SUM(1/P$10:OFFSET(P$10,$M$5-1,0,1,1))),"")</f>
        <v>1.5515688855025283E-2</v>
      </c>
      <c r="Q76" s="202">
        <f ca="1">IF(AND(ISNUMBER($L76),ISNUMBER(Q$5)),IF(Q$7=1,(Q20)/(SUM(Q$10:OFFSET(Q$10,$M$5-1,0,1,1))),(1/Q20)/SUM(1/Q$10:OFFSET(Q$10,$M$5-1,0,1,1))),"")</f>
        <v>1.6406890894175553E-2</v>
      </c>
      <c r="R76" s="202">
        <f ca="1">IF(AND(ISNUMBER($L76),ISNUMBER(R$5)),IF(R$7=1,(R20)/(SUM(R$10:OFFSET(R$10,$M$5-1,0,1,1))),(1/R20)/SUM(1/R$10:OFFSET(R$10,$M$5-1,0,1,1))),"")</f>
        <v>2.2216038217151339E-2</v>
      </c>
      <c r="S76" s="202">
        <f ca="1">IF(AND(ISNUMBER($L76),ISNUMBER(S$5)),IF(S$7=1,(S20)/(SUM(S$10:OFFSET(S$10,$M$5-1,0,1,1))),(1/S20)/SUM(1/S$10:OFFSET(S$10,$M$5-1,0,1,1))),"")</f>
        <v>1.8870677496230729E-2</v>
      </c>
      <c r="T76" s="187"/>
      <c r="U76" s="199"/>
      <c r="V76" s="197">
        <v>11</v>
      </c>
      <c r="W76" s="198" t="s">
        <v>67</v>
      </c>
      <c r="X76" s="202">
        <f ca="1">IF(AND(ISNUMBER($V76),ISNUMBER(X$5)),IF(X$7=1,(X20)/(SUM(X$10:OFFSET(X$10,$W$5-1,0,1,1))),(1/X20)/SUM(1/X$10:OFFSET(X$10,$W$5-1,0,1,1))),"")</f>
        <v>1.1879482648530653E-2</v>
      </c>
      <c r="Y76" s="202">
        <f ca="1">IF(AND(ISNUMBER($V76),ISNUMBER(Y$5)),IF(Y$7=1,(Y20)/(SUM(Y$10:OFFSET(Y$10,$W$5-1,0,1,1))),(1/Y20)/SUM(1/Y$10:OFFSET(Y$10,$W$5-1,0,1,1))),"")</f>
        <v>1.528066085004004E-2</v>
      </c>
      <c r="Z76" s="202">
        <f ca="1">IF(AND(ISNUMBER($V76),ISNUMBER(Z$5)),IF(Z$7=1,(Z20)/(SUM(Z$10:OFFSET(Z$10,$W$5-1,0,1,1))),(1/Z20)/SUM(1/Z$10:OFFSET(Z$10,$W$5-1,0,1,1))),"")</f>
        <v>1.7874347984982882E-2</v>
      </c>
      <c r="AA76" s="202">
        <f ca="1">IF(AND(ISNUMBER($V76),ISNUMBER(AA$5)),IF(AA$7=1,(AA20)/(SUM(AA$10:OFFSET(AA$10,$W$5-1,0,1,1))),(1/AA20)/SUM(1/AA$10:OFFSET(AA$10,$W$5-1,0,1,1))),"")</f>
        <v>1.5654619947410263E-2</v>
      </c>
      <c r="AB76" s="202">
        <f ca="1">IF(AND(ISNUMBER($V76),ISNUMBER(AB$5)),IF(AB$7=1,(AB20)/(SUM(AB$10:OFFSET(AB$10,$W$5-1,0,1,1))),(1/AB20)/SUM(1/AB$10:OFFSET(AB$10,$W$5-1,0,1,1))),"")</f>
        <v>2.2457160270986185E-2</v>
      </c>
      <c r="AC76" s="202">
        <f ca="1">IF(AND(ISNUMBER($V76),ISNUMBER(AC$5)),IF(AC$7=1,(AC20)/(SUM(AC$10:OFFSET(AC$10,$W$5-1,0,1,1))),(1/AC20)/SUM(1/AC$10:OFFSET(AC$10,$W$5-1,0,1,1))),"")</f>
        <v>1.8089411311301661E-2</v>
      </c>
    </row>
    <row r="77" spans="1:29" ht="12.75" customHeight="1">
      <c r="A77" s="199"/>
      <c r="B77" s="197">
        <v>12</v>
      </c>
      <c r="C77" s="198" t="s">
        <v>68</v>
      </c>
      <c r="D77" s="202">
        <f ca="1">IF(AND(ISNUMBER($B77),ISNUMBER(D$5)),IF(D$7=1,(D21)/(SUM(D$10:OFFSET(D$10,$C$5-1,0,1,1))),(1/D21)/SUM(1/D$10:OFFSET(D$10,$C$5-1,0,1,1))),"")</f>
        <v>1.273796530446419E-2</v>
      </c>
      <c r="E77" s="202">
        <f ca="1">IF(AND(ISNUMBER($B77),ISNUMBER(E$5)),IF(E$7=1,(E21)/(SUM(E$10:OFFSET(E$10,$C$5-1,0,1,1))),(1/E21)/SUM(1/E$10:OFFSET(E$10,$C$5-1,0,1,1))),"")</f>
        <v>3.9011667275062902E-3</v>
      </c>
      <c r="F77" s="202">
        <f ca="1">IF(AND(ISNUMBER($B77),ISNUMBER(F$5)),IF(F$7=1,(F21)/(SUM(F$10:OFFSET(F$10,$C$5-1,0,1,1))),(1/F21)/SUM(1/F$10:OFFSET(F$10,$C$5-1,0,1,1))),"")</f>
        <v>1.7877665687651641E-2</v>
      </c>
      <c r="G77" s="202">
        <f ca="1">IF(AND(ISNUMBER($B77),ISNUMBER(G$5)),IF(G$7=1,(G21)/(SUM(G$10:OFFSET(G$10,$C$5-1,0,1,1))),(1/G21)/SUM(1/G$10:OFFSET(G$10,$C$5-1,0,1,1))),"")</f>
        <v>1.0485933503836321E-2</v>
      </c>
      <c r="H77" s="202">
        <f ca="1">IF(AND(ISNUMBER($B77),ISNUMBER(H$5)),IF(H$7=1,(H21)/(SUM(H$10:OFFSET(H$10,$C$5-1,0,1,1))),(1/H21)/SUM(1/H$10:OFFSET(H$10,$C$5-1,0,1,1))),"")</f>
        <v>2.5689638828324965E-2</v>
      </c>
      <c r="I77" s="202">
        <f ca="1">IF(AND(ISNUMBER($B77),ISNUMBER(I$5)),IF(I$7=1,(I21)/(SUM(I$10:OFFSET(I$10,$C$5-1,0,1,1))),(1/I21)/SUM(1/I$10:OFFSET(I$10,$C$5-1,0,1,1))),"")</f>
        <v>1.8706752565020284E-2</v>
      </c>
      <c r="J77" s="187"/>
      <c r="K77" s="199"/>
      <c r="L77" s="197">
        <v>12</v>
      </c>
      <c r="M77" s="198" t="s">
        <v>68</v>
      </c>
      <c r="N77" s="202">
        <f ca="1">IF(AND(ISNUMBER($L77),ISNUMBER(N$5)),IF(N$7=1,(N21)/(SUM(N$10:OFFSET(N$10,$M$5-1,0,1,1))),(1/N21)/SUM(1/N$10:OFFSET(N$10,$M$5-1,0,1,1))),"")</f>
        <v>1.6457186628984694E-3</v>
      </c>
      <c r="O77" s="202">
        <f ca="1">IF(AND(ISNUMBER($L77),ISNUMBER(O$5)),IF(O$7=1,(O21)/(SUM(O$10:OFFSET(O$10,$M$5-1,0,1,1))),(1/O21)/SUM(1/O$10:OFFSET(O$10,$M$5-1,0,1,1))),"")</f>
        <v>8.5045991277470524E-3</v>
      </c>
      <c r="P77" s="202">
        <f ca="1">IF(AND(ISNUMBER($L77),ISNUMBER(P$5)),IF(P$7=1,(P21)/(SUM(P$10:OFFSET(P$10,$M$5-1,0,1,1))),(1/P21)/SUM(1/P$10:OFFSET(P$10,$M$5-1,0,1,1))),"")</f>
        <v>2.5074461453210507E-2</v>
      </c>
      <c r="Q77" s="202">
        <f ca="1">IF(AND(ISNUMBER($L77),ISNUMBER(Q$5)),IF(Q$7=1,(Q21)/(SUM(Q$10:OFFSET(Q$10,$M$5-1,0,1,1))),(1/Q21)/SUM(1/Q$10:OFFSET(Q$10,$M$5-1,0,1,1))),"")</f>
        <v>9.6097503808742525E-3</v>
      </c>
      <c r="R77" s="202">
        <f ca="1">IF(AND(ISNUMBER($L77),ISNUMBER(R$5)),IF(R$7=1,(R21)/(SUM(R$10:OFFSET(R$10,$M$5-1,0,1,1))),(1/R21)/SUM(1/R$10:OFFSET(R$10,$M$5-1,0,1,1))),"")</f>
        <v>2.9219423959927649E-2</v>
      </c>
      <c r="S77" s="202">
        <f ca="1">IF(AND(ISNUMBER($L77),ISNUMBER(S$5)),IF(S$7=1,(S21)/(SUM(S$10:OFFSET(S$10,$M$5-1,0,1,1))),(1/S21)/SUM(1/S$10:OFFSET(S$10,$M$5-1,0,1,1))),"")</f>
        <v>1.9454306697145082E-2</v>
      </c>
      <c r="T77" s="187"/>
      <c r="U77" s="199"/>
      <c r="V77" s="197">
        <v>12</v>
      </c>
      <c r="W77" s="198" t="s">
        <v>68</v>
      </c>
      <c r="X77" s="202">
        <f ca="1">IF(AND(ISNUMBER($V77),ISNUMBER(X$5)),IF(X$7=1,(X21)/(SUM(X$10:OFFSET(X$10,$W$5-1,0,1,1))),(1/X21)/SUM(1/X$10:OFFSET(X$10,$W$5-1,0,1,1))),"")</f>
        <v>7.495387861572912E-3</v>
      </c>
      <c r="Y77" s="202">
        <f ca="1">IF(AND(ISNUMBER($V77),ISNUMBER(Y$5)),IF(Y$7=1,(Y21)/(SUM(Y$10:OFFSET(Y$10,$W$5-1,0,1,1))),(1/Y21)/SUM(1/Y$10:OFFSET(Y$10,$W$5-1,0,1,1))),"")</f>
        <v>6.2573626032804905E-3</v>
      </c>
      <c r="Z77" s="202">
        <f ca="1">IF(AND(ISNUMBER($V77),ISNUMBER(Z$5)),IF(Z$7=1,(Z21)/(SUM(Z$10:OFFSET(Z$10,$W$5-1,0,1,1))),(1/Z21)/SUM(1/Z$10:OFFSET(Z$10,$W$5-1,0,1,1))),"")</f>
        <v>2.1329612279477717E-2</v>
      </c>
      <c r="AA77" s="202">
        <f ca="1">IF(AND(ISNUMBER($V77),ISNUMBER(AA$5)),IF(AA$7=1,(AA21)/(SUM(AA$10:OFFSET(AA$10,$W$5-1,0,1,1))),(1/AA21)/SUM(1/AA$10:OFFSET(AA$10,$W$5-1,0,1,1))),"")</f>
        <v>1.0028740903809698E-2</v>
      </c>
      <c r="AB77" s="202">
        <f ca="1">IF(AND(ISNUMBER($V77),ISNUMBER(AB$5)),IF(AB$7=1,(AB21)/(SUM(AB$10:OFFSET(AB$10,$W$5-1,0,1,1))),(1/AB21)/SUM(1/AB$10:OFFSET(AB$10,$W$5-1,0,1,1))),"")</f>
        <v>2.7473686678074958E-2</v>
      </c>
      <c r="AC77" s="202">
        <f ca="1">IF(AND(ISNUMBER($V77),ISNUMBER(AC$5)),IF(AC$7=1,(AC21)/(SUM(AC$10:OFFSET(AC$10,$W$5-1,0,1,1))),(1/AC21)/SUM(1/AC$10:OFFSET(AC$10,$W$5-1,0,1,1))),"")</f>
        <v>1.9076982368243563E-2</v>
      </c>
    </row>
    <row r="78" spans="1:29" ht="12.75" customHeight="1">
      <c r="A78" s="199"/>
      <c r="B78" s="197">
        <v>13</v>
      </c>
      <c r="C78" s="198" t="s">
        <v>69</v>
      </c>
      <c r="D78" s="202">
        <f ca="1">IF(AND(ISNUMBER($B78),ISNUMBER(D$5)),IF(D$7=1,(D22)/(SUM(D$10:OFFSET(D$10,$C$5-1,0,1,1))),(1/D22)/SUM(1/D$10:OFFSET(D$10,$C$5-1,0,1,1))),"")</f>
        <v>1.6626396818458525E-2</v>
      </c>
      <c r="E78" s="202">
        <f ca="1">IF(AND(ISNUMBER($B78),ISNUMBER(E$5)),IF(E$7=1,(E22)/(SUM(E$10:OFFSET(E$10,$C$5-1,0,1,1))),(1/E22)/SUM(1/E$10:OFFSET(E$10,$C$5-1,0,1,1))),"")</f>
        <v>2.7122397248377065E-2</v>
      </c>
      <c r="F78" s="202">
        <f ca="1">IF(AND(ISNUMBER($B78),ISNUMBER(F$5)),IF(F$7=1,(F22)/(SUM(F$10:OFFSET(F$10,$C$5-1,0,1,1))),(1/F22)/SUM(1/F$10:OFFSET(F$10,$C$5-1,0,1,1))),"")</f>
        <v>1.9026944196143532E-2</v>
      </c>
      <c r="G78" s="202">
        <f ca="1">IF(AND(ISNUMBER($B78),ISNUMBER(G$5)),IF(G$7=1,(G22)/(SUM(G$10:OFFSET(G$10,$C$5-1,0,1,1))),(1/G22)/SUM(1/G$10:OFFSET(G$10,$C$5-1,0,1,1))),"")</f>
        <v>2.0716112531969318E-2</v>
      </c>
      <c r="H78" s="202">
        <f ca="1">IF(AND(ISNUMBER($B78),ISNUMBER(H$5)),IF(H$7=1,(H22)/(SUM(H$10:OFFSET(H$10,$C$5-1,0,1,1))),(1/H22)/SUM(1/H$10:OFFSET(H$10,$C$5-1,0,1,1))),"")</f>
        <v>2.0001895914304676E-2</v>
      </c>
      <c r="I78" s="202">
        <f ca="1">IF(AND(ISNUMBER($B78),ISNUMBER(I$5)),IF(I$7=1,(I22)/(SUM(I$10:OFFSET(I$10,$C$5-1,0,1,1))),(1/I22)/SUM(1/I$10:OFFSET(I$10,$C$5-1,0,1,1))),"")</f>
        <v>1.2598425196850394E-2</v>
      </c>
      <c r="J78" s="187"/>
      <c r="K78" s="199"/>
      <c r="L78" s="197">
        <v>13</v>
      </c>
      <c r="M78" s="198" t="s">
        <v>69</v>
      </c>
      <c r="N78" s="202">
        <f ca="1">IF(AND(ISNUMBER($L78),ISNUMBER(N$5)),IF(N$7=1,(N22)/(SUM(N$10:OFFSET(N$10,$M$5-1,0,1,1))),(1/N22)/SUM(1/N$10:OFFSET(N$10,$M$5-1,0,1,1))),"")</f>
        <v>1.8551737654491834E-2</v>
      </c>
      <c r="O78" s="202">
        <f ca="1">IF(AND(ISNUMBER($L78),ISNUMBER(O$5)),IF(O$7=1,(O22)/(SUM(O$10:OFFSET(O$10,$M$5-1,0,1,1))),(1/O22)/SUM(1/O$10:OFFSET(O$10,$M$5-1,0,1,1))),"")</f>
        <v>2.5868155680230619E-2</v>
      </c>
      <c r="P78" s="202">
        <f ca="1">IF(AND(ISNUMBER($L78),ISNUMBER(P$5)),IF(P$7=1,(P22)/(SUM(P$10:OFFSET(P$10,$M$5-1,0,1,1))),(1/P22)/SUM(1/P$10:OFFSET(P$10,$M$5-1,0,1,1))),"")</f>
        <v>1.8147814642931359E-2</v>
      </c>
      <c r="Q78" s="202">
        <f ca="1">IF(AND(ISNUMBER($L78),ISNUMBER(Q$5)),IF(Q$7=1,(Q22)/(SUM(Q$10:OFFSET(Q$10,$M$5-1,0,1,1))),(1/Q22)/SUM(1/Q$10:OFFSET(Q$10,$M$5-1,0,1,1))),"")</f>
        <v>1.8985116606117427E-2</v>
      </c>
      <c r="R78" s="202">
        <f ca="1">IF(AND(ISNUMBER($L78),ISNUMBER(R$5)),IF(R$7=1,(R22)/(SUM(R$10:OFFSET(R$10,$M$5-1,0,1,1))),(1/R22)/SUM(1/R$10:OFFSET(R$10,$M$5-1,0,1,1))),"")</f>
        <v>1.9804276239506518E-2</v>
      </c>
      <c r="S78" s="202">
        <f ca="1">IF(AND(ISNUMBER($L78),ISNUMBER(S$5)),IF(S$7=1,(S22)/(SUM(S$10:OFFSET(S$10,$M$5-1,0,1,1))),(1/S22)/SUM(1/S$10:OFFSET(S$10,$M$5-1,0,1,1))),"")</f>
        <v>1.4542094256115948E-2</v>
      </c>
      <c r="T78" s="187"/>
      <c r="U78" s="199"/>
      <c r="V78" s="197">
        <v>13</v>
      </c>
      <c r="W78" s="198" t="s">
        <v>69</v>
      </c>
      <c r="X78" s="202">
        <f ca="1">IF(AND(ISNUMBER($V78),ISNUMBER(X$5)),IF(X$7=1,(X22)/(SUM(X$10:OFFSET(X$10,$W$5-1,0,1,1))),(1/X22)/SUM(1/X$10:OFFSET(X$10,$W$5-1,0,1,1))),"")</f>
        <v>1.7536379147830964E-2</v>
      </c>
      <c r="Y78" s="202">
        <f ca="1">IF(AND(ISNUMBER($V78),ISNUMBER(Y$5)),IF(Y$7=1,(Y22)/(SUM(Y$10:OFFSET(Y$10,$W$5-1,0,1,1))),(1/Y22)/SUM(1/Y$10:OFFSET(Y$10,$W$5-1,0,1,1))),"")</f>
        <v>2.6480433045766711E-2</v>
      </c>
      <c r="Z78" s="202">
        <f ca="1">IF(AND(ISNUMBER($V78),ISNUMBER(Z$5)),IF(Z$7=1,(Z22)/(SUM(Z$10:OFFSET(Z$10,$W$5-1,0,1,1))),(1/Z22)/SUM(1/Z$10:OFFSET(Z$10,$W$5-1,0,1,1))),"")</f>
        <v>1.8605269278049098E-2</v>
      </c>
      <c r="AA78" s="202">
        <f ca="1">IF(AND(ISNUMBER($V78),ISNUMBER(AA$5)),IF(AA$7=1,(AA22)/(SUM(AA$10:OFFSET(AA$10,$W$5-1,0,1,1))),(1/AA22)/SUM(1/AA$10:OFFSET(AA$10,$W$5-1,0,1,1))),"")</f>
        <v>1.9812878370941114E-2</v>
      </c>
      <c r="AB78" s="202">
        <f ca="1">IF(AND(ISNUMBER($V78),ISNUMBER(AB$5)),IF(AB$7=1,(AB22)/(SUM(AB$10:OFFSET(AB$10,$W$5-1,0,1,1))),(1/AB22)/SUM(1/AB$10:OFFSET(AB$10,$W$5-1,0,1,1))),"")</f>
        <v>1.9902013643076484E-2</v>
      </c>
      <c r="AC78" s="202">
        <f ca="1">IF(AND(ISNUMBER($V78),ISNUMBER(AC$5)),IF(AC$7=1,(AC22)/(SUM(AC$10:OFFSET(AC$10,$W$5-1,0,1,1))),(1/AC22)/SUM(1/AC$10:OFFSET(AC$10,$W$5-1,0,1,1))),"")</f>
        <v>1.3561036708738795E-2</v>
      </c>
    </row>
    <row r="79" spans="1:29" ht="12.75" customHeight="1">
      <c r="A79" s="199"/>
      <c r="B79" s="197">
        <v>14</v>
      </c>
      <c r="C79" s="198" t="s">
        <v>70</v>
      </c>
      <c r="D79" s="202">
        <f ca="1">IF(AND(ISNUMBER($B79),ISNUMBER(D$5)),IF(D$7=1,(D23)/(SUM(D$10:OFFSET(D$10,$C$5-1,0,1,1))),(1/D23)/SUM(1/D$10:OFFSET(D$10,$C$5-1,0,1,1))),"")</f>
        <v>2.1051163713693453E-2</v>
      </c>
      <c r="E79" s="202">
        <f ca="1">IF(AND(ISNUMBER($B79),ISNUMBER(E$5)),IF(E$7=1,(E23)/(SUM(E$10:OFFSET(E$10,$C$5-1,0,1,1))),(1/E23)/SUM(1/E$10:OFFSET(E$10,$C$5-1,0,1,1))),"")</f>
        <v>3.1395103664217286E-2</v>
      </c>
      <c r="F79" s="202">
        <f ca="1">IF(AND(ISNUMBER($B79),ISNUMBER(F$5)),IF(F$7=1,(F23)/(SUM(F$10:OFFSET(F$10,$C$5-1,0,1,1))),(1/F23)/SUM(1/F$10:OFFSET(F$10,$C$5-1,0,1,1))),"")</f>
        <v>2.4773336738602984E-2</v>
      </c>
      <c r="G79" s="202">
        <f ca="1">IF(AND(ISNUMBER($B79),ISNUMBER(G$5)),IF(G$7=1,(G23)/(SUM(G$10:OFFSET(G$10,$C$5-1,0,1,1))),(1/G23)/SUM(1/G$10:OFFSET(G$10,$C$5-1,0,1,1))),"")</f>
        <v>1.879795396419438E-2</v>
      </c>
      <c r="H79" s="202">
        <f ca="1">IF(AND(ISNUMBER($B79),ISNUMBER(H$5)),IF(H$7=1,(H23)/(SUM(H$10:OFFSET(H$10,$C$5-1,0,1,1))),(1/H23)/SUM(1/H$10:OFFSET(H$10,$C$5-1,0,1,1))),"")</f>
        <v>2.3698928808417861E-2</v>
      </c>
      <c r="I79" s="202">
        <f ca="1">IF(AND(ISNUMBER($B79),ISNUMBER(I$5)),IF(I$7=1,(I23)/(SUM(I$10:OFFSET(I$10,$C$5-1,0,1,1))),(1/I23)/SUM(1/I$10:OFFSET(I$10,$C$5-1,0,1,1))),"")</f>
        <v>2.114053925077547E-2</v>
      </c>
      <c r="J79" s="187"/>
      <c r="K79" s="199"/>
      <c r="L79" s="197">
        <v>14</v>
      </c>
      <c r="M79" s="198" t="s">
        <v>70</v>
      </c>
      <c r="N79" s="202">
        <f ca="1">IF(AND(ISNUMBER($L79),ISNUMBER(N$5)),IF(N$7=1,(N23)/(SUM(N$10:OFFSET(N$10,$M$5-1,0,1,1))),(1/N23)/SUM(1/N$10:OFFSET(N$10,$M$5-1,0,1,1))),"")</f>
        <v>1.8551737654491834E-2</v>
      </c>
      <c r="O79" s="202">
        <f ca="1">IF(AND(ISNUMBER($L79),ISNUMBER(O$5)),IF(O$7=1,(O23)/(SUM(O$10:OFFSET(O$10,$M$5-1,0,1,1))),(1/O23)/SUM(1/O$10:OFFSET(O$10,$M$5-1,0,1,1))),"")</f>
        <v>2.6222513977220079E-2</v>
      </c>
      <c r="P79" s="202">
        <f ca="1">IF(AND(ISNUMBER($L79),ISNUMBER(P$5)),IF(P$7=1,(P23)/(SUM(P$10:OFFSET(P$10,$M$5-1,0,1,1))),(1/P23)/SUM(1/P$10:OFFSET(P$10,$M$5-1,0,1,1))),"")</f>
        <v>2.445106324028538E-2</v>
      </c>
      <c r="Q79" s="202">
        <f ca="1">IF(AND(ISNUMBER($L79),ISNUMBER(Q$5)),IF(Q$7=1,(Q23)/(SUM(Q$10:OFFSET(Q$10,$M$5-1,0,1,1))),(1/Q23)/SUM(1/Q$10:OFFSET(Q$10,$M$5-1,0,1,1))),"")</f>
        <v>2.0039845306457287E-2</v>
      </c>
      <c r="R79" s="202">
        <f ca="1">IF(AND(ISNUMBER($L79),ISNUMBER(R$5)),IF(R$7=1,(R23)/(SUM(R$10:OFFSET(R$10,$M$5-1,0,1,1))),(1/R23)/SUM(1/R$10:OFFSET(R$10,$M$5-1,0,1,1))),"")</f>
        <v>2.2123278141088078E-2</v>
      </c>
      <c r="S79" s="202">
        <f ca="1">IF(AND(ISNUMBER($L79),ISNUMBER(S$5)),IF(S$7=1,(S23)/(SUM(S$10:OFFSET(S$10,$M$5-1,0,1,1))),(1/S23)/SUM(1/S$10:OFFSET(S$10,$M$5-1,0,1,1))),"")</f>
        <v>2.1983366567773943E-2</v>
      </c>
      <c r="T79" s="187"/>
      <c r="U79" s="199"/>
      <c r="V79" s="197">
        <v>14</v>
      </c>
      <c r="W79" s="198" t="s">
        <v>70</v>
      </c>
      <c r="X79" s="202">
        <f ca="1">IF(AND(ISNUMBER($V79),ISNUMBER(X$5)),IF(X$7=1,(X23)/(SUM(X$10:OFFSET(X$10,$W$5-1,0,1,1))),(1/X23)/SUM(1/X$10:OFFSET(X$10,$W$5-1,0,1,1))),"")</f>
        <v>1.9869848953792343E-2</v>
      </c>
      <c r="Y79" s="202">
        <f ca="1">IF(AND(ISNUMBER($V79),ISNUMBER(Y$5)),IF(Y$7=1,(Y23)/(SUM(Y$10:OFFSET(Y$10,$W$5-1,0,1,1))),(1/Y23)/SUM(1/Y$10:OFFSET(Y$10,$W$5-1,0,1,1))),"")</f>
        <v>2.8747593409274137E-2</v>
      </c>
      <c r="Z79" s="202">
        <f ca="1">IF(AND(ISNUMBER($V79),ISNUMBER(Z$5)),IF(Z$7=1,(Z23)/(SUM(Z$10:OFFSET(Z$10,$W$5-1,0,1,1))),(1/Z23)/SUM(1/Z$10:OFFSET(Z$10,$W$5-1,0,1,1))),"")</f>
        <v>2.461875809827568E-2</v>
      </c>
      <c r="AA79" s="202">
        <f ca="1">IF(AND(ISNUMBER($V79),ISNUMBER(AA$5)),IF(AA$7=1,(AA23)/(SUM(AA$10:OFFSET(AA$10,$W$5-1,0,1,1))),(1/AA23)/SUM(1/AA$10:OFFSET(AA$10,$W$5-1,0,1,1))),"")</f>
        <v>1.9445973215923687E-2</v>
      </c>
      <c r="AB79" s="202">
        <f ca="1">IF(AND(ISNUMBER($V79),ISNUMBER(AB$5)),IF(AB$7=1,(AB23)/(SUM(AB$10:OFFSET(AB$10,$W$5-1,0,1,1))),(1/AB23)/SUM(1/AB$10:OFFSET(AB$10,$W$5-1,0,1,1))),"")</f>
        <v>2.2902552802456684E-2</v>
      </c>
      <c r="AC79" s="202">
        <f ca="1">IF(AND(ISNUMBER($V79),ISNUMBER(AC$5)),IF(AC$7=1,(AC23)/(SUM(AC$10:OFFSET(AC$10,$W$5-1,0,1,1))),(1/AC23)/SUM(1/AC$10:OFFSET(AC$10,$W$5-1,0,1,1))),"")</f>
        <v>2.1557953560073218E-2</v>
      </c>
    </row>
    <row r="80" spans="1:29" ht="12.75" customHeight="1">
      <c r="A80" s="199"/>
      <c r="B80" s="197">
        <v>15</v>
      </c>
      <c r="C80" s="198" t="s">
        <v>71</v>
      </c>
      <c r="D80" s="202">
        <f ca="1">IF(AND(ISNUMBER($B80),ISNUMBER(D$5)),IF(D$7=1,(D24)/(SUM(D$10:OFFSET(D$10,$C$5-1,0,1,1))),(1/D24)/SUM(1/D$10:OFFSET(D$10,$C$5-1,0,1,1))),"")</f>
        <v>1.3408384531014938E-6</v>
      </c>
      <c r="E80" s="202">
        <f ca="1">IF(AND(ISNUMBER($B80),ISNUMBER(E$5)),IF(E$7=1,(E24)/(SUM(E$10:OFFSET(E$10,$C$5-1,0,1,1))),(1/E24)/SUM(1/E$10:OFFSET(E$10,$C$5-1,0,1,1))),"")</f>
        <v>9.2884922083483105E-7</v>
      </c>
      <c r="F80" s="202">
        <f ca="1">IF(AND(ISNUMBER($B80),ISNUMBER(F$5)),IF(F$7=1,(F24)/(SUM(F$10:OFFSET(F$10,$C$5-1,0,1,1))),(1/F24)/SUM(1/F$10:OFFSET(F$10,$C$5-1,0,1,1))),"")</f>
        <v>1.5898352700804495E-2</v>
      </c>
      <c r="G80" s="202">
        <f ca="1">IF(AND(ISNUMBER($B80),ISNUMBER(G$5)),IF(G$7=1,(G24)/(SUM(G$10:OFFSET(G$10,$C$5-1,0,1,1))),(1/G24)/SUM(1/G$10:OFFSET(G$10,$C$5-1,0,1,1))),"")</f>
        <v>1.0613810741687985E-2</v>
      </c>
      <c r="H80" s="202">
        <f ca="1">IF(AND(ISNUMBER($B80),ISNUMBER(H$5)),IF(H$7=1,(H24)/(SUM(H$10:OFFSET(H$10,$C$5-1,0,1,1))),(1/H24)/SUM(1/H$10:OFFSET(H$10,$C$5-1,0,1,1))),"")</f>
        <v>1.3840174424116031E-2</v>
      </c>
      <c r="I80" s="202">
        <f ca="1">IF(AND(ISNUMBER($B80),ISNUMBER(I$5)),IF(I$7=1,(I24)/(SUM(I$10:OFFSET(I$10,$C$5-1,0,1,1))),(1/I24)/SUM(1/I$10:OFFSET(I$10,$C$5-1,0,1,1))),"")</f>
        <v>2.1665473633977569E-2</v>
      </c>
      <c r="J80" s="187"/>
      <c r="K80" s="199"/>
      <c r="L80" s="197">
        <v>15</v>
      </c>
      <c r="M80" s="198" t="s">
        <v>71</v>
      </c>
      <c r="N80" s="202">
        <f ca="1">IF(AND(ISNUMBER($L80),ISNUMBER(N$5)),IF(N$7=1,(N24)/(SUM(N$10:OFFSET(N$10,$M$5-1,0,1,1))),(1/N24)/SUM(1/N$10:OFFSET(N$10,$M$5-1,0,1,1))),"")</f>
        <v>1.4961078753622447E-6</v>
      </c>
      <c r="O80" s="202">
        <f ca="1">IF(AND(ISNUMBER($L80),ISNUMBER(O$5)),IF(O$7=1,(O24)/(SUM(O$10:OFFSET(O$10,$M$5-1,0,1,1))),(1/O24)/SUM(1/O$10:OFFSET(O$10,$M$5-1,0,1,1))),"")</f>
        <v>8.8589574247365127E-7</v>
      </c>
      <c r="P80" s="202">
        <f ca="1">IF(AND(ISNUMBER($L80),ISNUMBER(P$5)),IF(P$7=1,(P24)/(SUM(P$10:OFFSET(P$10,$M$5-1,0,1,1))),(1/P24)/SUM(1/P$10:OFFSET(P$10,$M$5-1,0,1,1))),"")</f>
        <v>1.4684491237791787E-2</v>
      </c>
      <c r="Q80" s="202">
        <f ca="1">IF(AND(ISNUMBER($L80),ISNUMBER(Q$5)),IF(Q$7=1,(Q24)/(SUM(Q$10:OFFSET(Q$10,$M$5-1,0,1,1))),(1/Q24)/SUM(1/Q$10:OFFSET(Q$10,$M$5-1,0,1,1))),"")</f>
        <v>9.7269424586897933E-3</v>
      </c>
      <c r="R80" s="202">
        <f ca="1">IF(AND(ISNUMBER($L80),ISNUMBER(R$5)),IF(R$7=1,(R24)/(SUM(R$10:OFFSET(R$10,$M$5-1,0,1,1))),(1/R24)/SUM(1/R$10:OFFSET(R$10,$M$5-1,0,1,1))),"")</f>
        <v>1.3542971105236307E-2</v>
      </c>
      <c r="S80" s="202">
        <f ca="1">IF(AND(ISNUMBER($L80),ISNUMBER(S$5)),IF(S$7=1,(S24)/(SUM(S$10:OFFSET(S$10,$M$5-1,0,1,1))),(1/S24)/SUM(1/S$10:OFFSET(S$10,$M$5-1,0,1,1))),"")</f>
        <v>2.2372452701716842E-2</v>
      </c>
      <c r="T80" s="187"/>
      <c r="U80" s="199"/>
      <c r="V80" s="197">
        <v>15</v>
      </c>
      <c r="W80" s="198" t="s">
        <v>71</v>
      </c>
      <c r="X80" s="202">
        <f ca="1">IF(AND(ISNUMBER($V80),ISNUMBER(X$5)),IF(X$7=1,(X24)/(SUM(X$10:OFFSET(X$10,$W$5-1,0,1,1))),(1/X24)/SUM(1/X$10:OFFSET(X$10,$W$5-1,0,1,1))),"")</f>
        <v>1.4142241248250779E-6</v>
      </c>
      <c r="Y80" s="202">
        <f ca="1">IF(AND(ISNUMBER($V80),ISNUMBER(Y$5)),IF(Y$7=1,(Y24)/(SUM(Y$10:OFFSET(Y$10,$W$5-1,0,1,1))),(1/Y24)/SUM(1/Y$10:OFFSET(Y$10,$W$5-1,0,1,1))),"")</f>
        <v>9.0686414540296958E-7</v>
      </c>
      <c r="Z80" s="202">
        <f ca="1">IF(AND(ISNUMBER($V80),ISNUMBER(Z$5)),IF(Z$7=1,(Z24)/(SUM(Z$10:OFFSET(Z$10,$W$5-1,0,1,1))),(1/Z24)/SUM(1/Z$10:OFFSET(Z$10,$W$5-1,0,1,1))),"")</f>
        <v>1.5316123459251131E-2</v>
      </c>
      <c r="AA80" s="202">
        <f ca="1">IF(AND(ISNUMBER($V80),ISNUMBER(AA$5)),IF(AA$7=1,(AA24)/(SUM(AA$10:OFFSET(AA$10,$W$5-1,0,1,1))),(1/AA24)/SUM(1/AA$10:OFFSET(AA$10,$W$5-1,0,1,1))),"")</f>
        <v>1.0151042622148844E-2</v>
      </c>
      <c r="AB80" s="202">
        <f ca="1">IF(AND(ISNUMBER($V80),ISNUMBER(AB$5)),IF(AB$7=1,(AB24)/(SUM(AB$10:OFFSET(AB$10,$W$5-1,0,1,1))),(1/AB24)/SUM(1/AB$10:OFFSET(AB$10,$W$5-1,0,1,1))),"")</f>
        <v>1.3689959914672162E-2</v>
      </c>
      <c r="AC80" s="202">
        <f ca="1">IF(AND(ISNUMBER($V80),ISNUMBER(AC$5)),IF(AC$7=1,(AC24)/(SUM(AC$10:OFFSET(AC$10,$W$5-1,0,1,1))),(1/AC24)/SUM(1/AC$10:OFFSET(AC$10,$W$5-1,0,1,1))),"")</f>
        <v>2.2015608440119468E-2</v>
      </c>
    </row>
    <row r="81" spans="1:29" ht="12.75" customHeight="1">
      <c r="A81" s="199"/>
      <c r="B81" s="197">
        <v>16</v>
      </c>
      <c r="C81" s="198" t="s">
        <v>72</v>
      </c>
      <c r="D81" s="202">
        <f ca="1">IF(AND(ISNUMBER($B81),ISNUMBER(D$5)),IF(D$7=1,(D25)/(SUM(D$10:OFFSET(D$10,$C$5-1,0,1,1))),(1/D25)/SUM(1/D$10:OFFSET(D$10,$C$5-1,0,1,1))),"")</f>
        <v>2.1453415249623901E-2</v>
      </c>
      <c r="E81" s="202">
        <f ca="1">IF(AND(ISNUMBER($B81),ISNUMBER(E$5)),IF(E$7=1,(E25)/(SUM(E$10:OFFSET(E$10,$C$5-1,0,1,1))),(1/E25)/SUM(1/E$10:OFFSET(E$10,$C$5-1,0,1,1))),"")</f>
        <v>9.6600318966822436E-3</v>
      </c>
      <c r="F81" s="202">
        <f ca="1">IF(AND(ISNUMBER($B81),ISNUMBER(F$5)),IF(F$7=1,(F25)/(SUM(F$10:OFFSET(F$10,$C$5-1,0,1,1))),(1/F25)/SUM(1/F$10:OFFSET(F$10,$C$5-1,0,1,1))),"")</f>
        <v>1.506831822244924E-2</v>
      </c>
      <c r="G81" s="202">
        <f ca="1">IF(AND(ISNUMBER($B81),ISNUMBER(G$5)),IF(G$7=1,(G25)/(SUM(G$10:OFFSET(G$10,$C$5-1,0,1,1))),(1/G25)/SUM(1/G$10:OFFSET(G$10,$C$5-1,0,1,1))),"")</f>
        <v>1.0997442455242971E-2</v>
      </c>
      <c r="H81" s="202">
        <f ca="1">IF(AND(ISNUMBER($B81),ISNUMBER(H$5)),IF(H$7=1,(H25)/(SUM(H$10:OFFSET(H$10,$C$5-1,0,1,1))),(1/H25)/SUM(1/H$10:OFFSET(H$10,$C$5-1,0,1,1))),"")</f>
        <v>1.7774196606313398E-2</v>
      </c>
      <c r="I81" s="202">
        <f ca="1">IF(AND(ISNUMBER($B81),ISNUMBER(I$5)),IF(I$7=1,(I25)/(SUM(I$10:OFFSET(I$10,$C$5-1,0,1,1))),(1/I25)/SUM(1/I$10:OFFSET(I$10,$C$5-1,0,1,1))),"")</f>
        <v>1.8515867334764971E-2</v>
      </c>
      <c r="J81" s="187"/>
      <c r="K81" s="199"/>
      <c r="L81" s="197">
        <v>16</v>
      </c>
      <c r="M81" s="198" t="s">
        <v>72</v>
      </c>
      <c r="N81" s="202">
        <f ca="1">IF(AND(ISNUMBER($L81),ISNUMBER(N$5)),IF(N$7=1,(N25)/(SUM(N$10:OFFSET(N$10,$M$5-1,0,1,1))),(1/N25)/SUM(1/N$10:OFFSET(N$10,$M$5-1,0,1,1))),"")</f>
        <v>1.870134844202806E-2</v>
      </c>
      <c r="O81" s="202">
        <f ca="1">IF(AND(ISNUMBER($L81),ISNUMBER(O$5)),IF(O$7=1,(O25)/(SUM(O$10:OFFSET(O$10,$M$5-1,0,1,1))),(1/O25)/SUM(1/O$10:OFFSET(O$10,$M$5-1,0,1,1))),"")</f>
        <v>9.2133157217259738E-3</v>
      </c>
      <c r="P81" s="202">
        <f ca="1">IF(AND(ISNUMBER($L81),ISNUMBER(P$5)),IF(P$7=1,(P25)/(SUM(P$10:OFFSET(P$10,$M$5-1,0,1,1))),(1/P25)/SUM(1/P$10:OFFSET(P$10,$M$5-1,0,1,1))),"")</f>
        <v>1.3784027152455497E-2</v>
      </c>
      <c r="Q81" s="202">
        <f ca="1">IF(AND(ISNUMBER($L81),ISNUMBER(Q$5)),IF(Q$7=1,(Q25)/(SUM(Q$10:OFFSET(Q$10,$M$5-1,0,1,1))),(1/Q25)/SUM(1/Q$10:OFFSET(Q$10,$M$5-1,0,1,1))),"")</f>
        <v>1.0078518692136412E-2</v>
      </c>
      <c r="R81" s="202">
        <f ca="1">IF(AND(ISNUMBER($L81),ISNUMBER(R$5)),IF(R$7=1,(R25)/(SUM(R$10:OFFSET(R$10,$M$5-1,0,1,1))),(1/R25)/SUM(1/R$10:OFFSET(R$10,$M$5-1,0,1,1))),"")</f>
        <v>1.7392514261861697E-2</v>
      </c>
      <c r="S81" s="202">
        <f ca="1">IF(AND(ISNUMBER($L81),ISNUMBER(S$5)),IF(S$7=1,(S25)/(SUM(S$10:OFFSET(S$10,$M$5-1,0,1,1))),(1/S25)/SUM(1/S$10:OFFSET(S$10,$M$5-1,0,1,1))),"")</f>
        <v>1.9113856329945042E-2</v>
      </c>
      <c r="T81" s="187"/>
      <c r="U81" s="199"/>
      <c r="V81" s="197">
        <v>16</v>
      </c>
      <c r="W81" s="198" t="s">
        <v>72</v>
      </c>
      <c r="X81" s="202">
        <f ca="1">IF(AND(ISNUMBER($V81),ISNUMBER(X$5)),IF(X$7=1,(X25)/(SUM(X$10:OFFSET(X$10,$W$5-1,0,1,1))),(1/X25)/SUM(1/X$10:OFFSET(X$10,$W$5-1,0,1,1))),"")</f>
        <v>2.0152693778757357E-2</v>
      </c>
      <c r="Y81" s="202">
        <f ca="1">IF(AND(ISNUMBER($V81),ISNUMBER(Y$5)),IF(Y$7=1,(Y25)/(SUM(Y$10:OFFSET(Y$10,$W$5-1,0,1,1))),(1/Y25)/SUM(1/Y$10:OFFSET(Y$10,$W$5-1,0,1,1))),"")</f>
        <v>9.4313871121908845E-3</v>
      </c>
      <c r="Z81" s="202">
        <f ca="1">IF(AND(ISNUMBER($V81),ISNUMBER(Z$5)),IF(Z$7=1,(Z25)/(SUM(Z$10:OFFSET(Z$10,$W$5-1,0,1,1))),(1/Z25)/SUM(1/Z$10:OFFSET(Z$10,$W$5-1,0,1,1))),"")</f>
        <v>1.4452307385627425E-2</v>
      </c>
      <c r="AA81" s="202">
        <f ca="1">IF(AND(ISNUMBER($V81),ISNUMBER(AA$5)),IF(AA$7=1,(AA25)/(SUM(AA$10:OFFSET(AA$10,$W$5-1,0,1,1))),(1/AA25)/SUM(1/AA$10:OFFSET(AA$10,$W$5-1,0,1,1))),"")</f>
        <v>1.051794777716627E-2</v>
      </c>
      <c r="AB81" s="202">
        <f ca="1">IF(AND(ISNUMBER($V81),ISNUMBER(AB$5)),IF(AB$7=1,(AB25)/(SUM(AB$10:OFFSET(AB$10,$W$5-1,0,1,1))),(1/AB25)/SUM(1/AB$10:OFFSET(AB$10,$W$5-1,0,1,1))),"")</f>
        <v>1.758128413699336E-2</v>
      </c>
      <c r="AC81" s="202">
        <f ca="1">IF(AND(ISNUMBER($V81),ISNUMBER(AC$5)),IF(AC$7=1,(AC25)/(SUM(AC$10:OFFSET(AC$10,$W$5-1,0,1,1))),(1/AC25)/SUM(1/AC$10:OFFSET(AC$10,$W$5-1,0,1,1))),"")</f>
        <v>1.8812024279795735E-2</v>
      </c>
    </row>
    <row r="82" spans="1:29" ht="14.25" customHeight="1">
      <c r="A82" s="199"/>
      <c r="B82" s="197">
        <v>17</v>
      </c>
      <c r="C82" s="198" t="s">
        <v>73</v>
      </c>
      <c r="D82" s="202">
        <f ca="1">IF(AND(ISNUMBER($B82),ISNUMBER(D$5)),IF(D$7=1,(D26)/(SUM(D$10:OFFSET(D$10,$C$5-1,0,1,1))),(1/D26)/SUM(1/D$10:OFFSET(D$10,$C$5-1,0,1,1))),"")</f>
        <v>3.1911955183815552E-2</v>
      </c>
      <c r="E82" s="202">
        <f ca="1">IF(AND(ISNUMBER($B82),ISNUMBER(E$5)),IF(E$7=1,(E26)/(SUM(E$10:OFFSET(E$10,$C$5-1,0,1,1))),(1/E26)/SUM(1/E$10:OFFSET(E$10,$C$5-1,0,1,1))),"")</f>
        <v>1.9598718559614935E-2</v>
      </c>
      <c r="F82" s="202">
        <f ca="1">IF(AND(ISNUMBER($B82),ISNUMBER(F$5)),IF(F$7=1,(F26)/(SUM(F$10:OFFSET(F$10,$C$5-1,0,1,1))),(1/F26)/SUM(1/F$10:OFFSET(F$10,$C$5-1,0,1,1))),"")</f>
        <v>1.9218490614225515E-2</v>
      </c>
      <c r="G82" s="202">
        <f ca="1">IF(AND(ISNUMBER($B82),ISNUMBER(G$5)),IF(G$7=1,(G26)/(SUM(G$10:OFFSET(G$10,$C$5-1,0,1,1))),(1/G26)/SUM(1/G$10:OFFSET(G$10,$C$5-1,0,1,1))),"")</f>
        <v>1.2020460358056272E-2</v>
      </c>
      <c r="H82" s="202">
        <f ca="1">IF(AND(ISNUMBER($B82),ISNUMBER(H$5)),IF(H$7=1,(H26)/(SUM(H$10:OFFSET(H$10,$C$5-1,0,1,1))),(1/H26)/SUM(1/H$10:OFFSET(H$10,$C$5-1,0,1,1))),"")</f>
        <v>2.2940563086548491E-2</v>
      </c>
      <c r="I82" s="202">
        <f ca="1">IF(AND(ISNUMBER($B82),ISNUMBER(I$5)),IF(I$7=1,(I26)/(SUM(I$10:OFFSET(I$10,$C$5-1,0,1,1))),(1/I26)/SUM(1/I$10:OFFSET(I$10,$C$5-1,0,1,1))),"")</f>
        <v>2.4481030780243378E-2</v>
      </c>
      <c r="J82" s="187"/>
      <c r="K82" s="199"/>
      <c r="L82" s="197">
        <v>17</v>
      </c>
      <c r="M82" s="198" t="s">
        <v>73</v>
      </c>
      <c r="N82" s="202">
        <f ca="1">IF(AND(ISNUMBER($L82),ISNUMBER(N$5)),IF(N$7=1,(N26)/(SUM(N$10:OFFSET(N$10,$M$5-1,0,1,1))),(1/N26)/SUM(1/N$10:OFFSET(N$10,$M$5-1,0,1,1))),"")</f>
        <v>3.5906589008693875E-2</v>
      </c>
      <c r="O82" s="202">
        <f ca="1">IF(AND(ISNUMBER($L82),ISNUMBER(O$5)),IF(O$7=1,(O26)/(SUM(O$10:OFFSET(O$10,$M$5-1,0,1,1))),(1/O26)/SUM(1/O$10:OFFSET(O$10,$M$5-1,0,1,1))),"")</f>
        <v>1.9223937611678232E-2</v>
      </c>
      <c r="P82" s="202">
        <f ca="1">IF(AND(ISNUMBER($L82),ISNUMBER(P$5)),IF(P$7=1,(P26)/(SUM(P$10:OFFSET(P$10,$M$5-1,0,1,1))),(1/P26)/SUM(1/P$10:OFFSET(P$10,$M$5-1,0,1,1))),"")</f>
        <v>1.7940015238622983E-2</v>
      </c>
      <c r="Q82" s="202">
        <f ca="1">IF(AND(ISNUMBER($L82),ISNUMBER(Q$5)),IF(Q$7=1,(Q26)/(SUM(Q$10:OFFSET(Q$10,$M$5-1,0,1,1))),(1/Q26)/SUM(1/Q$10:OFFSET(Q$10,$M$5-1,0,1,1))),"")</f>
        <v>1.3828665182233683E-2</v>
      </c>
      <c r="R82" s="202">
        <f ca="1">IF(AND(ISNUMBER($L82),ISNUMBER(R$5)),IF(R$7=1,(R26)/(SUM(R$10:OFFSET(R$10,$M$5-1,0,1,1))),(1/R26)/SUM(1/R$10:OFFSET(R$10,$M$5-1,0,1,1))),"")</f>
        <v>1.8598395250684106E-2</v>
      </c>
      <c r="S82" s="202">
        <f ca="1">IF(AND(ISNUMBER($L82),ISNUMBER(S$5)),IF(S$7=1,(S26)/(SUM(S$10:OFFSET(S$10,$M$5-1,0,1,1))),(1/S26)/SUM(1/S$10:OFFSET(S$10,$M$5-1,0,1,1))),"")</f>
        <v>2.533923447303147E-2</v>
      </c>
      <c r="T82" s="187"/>
      <c r="U82" s="199"/>
      <c r="V82" s="197">
        <v>17</v>
      </c>
      <c r="W82" s="198" t="s">
        <v>73</v>
      </c>
      <c r="X82" s="202">
        <f ca="1">IF(AND(ISNUMBER($V82),ISNUMBER(X$5)),IF(X$7=1,(X26)/(SUM(X$10:OFFSET(X$10,$W$5-1,0,1,1))),(1/X26)/SUM(1/X$10:OFFSET(X$10,$W$5-1,0,1,1))),"")</f>
        <v>3.3799956583319357E-2</v>
      </c>
      <c r="Y82" s="202">
        <f ca="1">IF(AND(ISNUMBER($V82),ISNUMBER(Y$5)),IF(Y$7=1,(Y26)/(SUM(Y$10:OFFSET(Y$10,$W$5-1,0,1,1))),(1/Y26)/SUM(1/Y$10:OFFSET(Y$10,$W$5-1,0,1,1))),"")</f>
        <v>1.9406892711623547E-2</v>
      </c>
      <c r="Z82" s="202">
        <f ca="1">IF(AND(ISNUMBER($V82),ISNUMBER(Z$5)),IF(Z$7=1,(Z26)/(SUM(Z$10:OFFSET(Z$10,$W$5-1,0,1,1))),(1/Z26)/SUM(1/Z$10:OFFSET(Z$10,$W$5-1,0,1,1))),"")</f>
        <v>1.8605269278049098E-2</v>
      </c>
      <c r="AA82" s="202">
        <f ca="1">IF(AND(ISNUMBER($V82),ISNUMBER(AA$5)),IF(AA$7=1,(AA26)/(SUM(AA$10:OFFSET(AA$10,$W$5-1,0,1,1))),(1/AA26)/SUM(1/AA$10:OFFSET(AA$10,$W$5-1,0,1,1))),"")</f>
        <v>1.2963982143949126E-2</v>
      </c>
      <c r="AB82" s="202">
        <f ca="1">IF(AND(ISNUMBER($V82),ISNUMBER(AB$5)),IF(AB$7=1,(AB26)/(SUM(AB$10:OFFSET(AB$10,$W$5-1,0,1,1))),(1/AB26)/SUM(1/AB$10:OFFSET(AB$10,$W$5-1,0,1,1))),"")</f>
        <v>2.0745915281652164E-2</v>
      </c>
      <c r="AC82" s="202">
        <f ca="1">IF(AND(ISNUMBER($V82),ISNUMBER(AC$5)),IF(AC$7=1,(AC26)/(SUM(AC$10:OFFSET(AC$10,$W$5-1,0,1,1))),(1/AC26)/SUM(1/AC$10:OFFSET(AC$10,$W$5-1,0,1,1))),"")</f>
        <v>2.4906060314095764E-2</v>
      </c>
    </row>
    <row r="83" spans="1:29" ht="14.25" customHeight="1">
      <c r="A83" s="199"/>
      <c r="B83" s="197">
        <v>18</v>
      </c>
      <c r="C83" s="198" t="s">
        <v>74</v>
      </c>
      <c r="D83" s="202">
        <f ca="1">IF(AND(ISNUMBER($B83),ISNUMBER(D$5)),IF(D$7=1,(D27)/(SUM(D$10:OFFSET(D$10,$C$5-1,0,1,1))),(1/D27)/SUM(1/D$10:OFFSET(D$10,$C$5-1,0,1,1))),"")</f>
        <v>3.0168865194783609E-2</v>
      </c>
      <c r="E83" s="202">
        <f ca="1">IF(AND(ISNUMBER($B83),ISNUMBER(E$5)),IF(E$7=1,(E27)/(SUM(E$10:OFFSET(E$10,$C$5-1,0,1,1))),(1/E27)/SUM(1/E$10:OFFSET(E$10,$C$5-1,0,1,1))),"")</f>
        <v>2.1827956689618528E-2</v>
      </c>
      <c r="F83" s="202">
        <f ca="1">IF(AND(ISNUMBER($B83),ISNUMBER(F$5)),IF(F$7=1,(F27)/(SUM(F$10:OFFSET(F$10,$C$5-1,0,1,1))),(1/F27)/SUM(1/F$10:OFFSET(F$10,$C$5-1,0,1,1))),"")</f>
        <v>2.681649853147746E-2</v>
      </c>
      <c r="G83" s="202">
        <f ca="1">IF(AND(ISNUMBER($B83),ISNUMBER(G$5)),IF(G$7=1,(G27)/(SUM(G$10:OFFSET(G$10,$C$5-1,0,1,1))),(1/G27)/SUM(1/G$10:OFFSET(G$10,$C$5-1,0,1,1))),"")</f>
        <v>3.6061381074168813E-2</v>
      </c>
      <c r="H83" s="202">
        <f ca="1">IF(AND(ISNUMBER($B83),ISNUMBER(H$5)),IF(H$7=1,(H27)/(SUM(H$10:OFFSET(H$10,$C$5-1,0,1,1))),(1/H27)/SUM(1/H$10:OFFSET(H$10,$C$5-1,0,1,1))),"")</f>
        <v>3.0761209593326389E-2</v>
      </c>
      <c r="I83" s="202">
        <f ca="1">IF(AND(ISNUMBER($B83),ISNUMBER(I$5)),IF(I$7=1,(I27)/(SUM(I$10:OFFSET(I$10,$C$5-1,0,1,1))),(1/I27)/SUM(1/I$10:OFFSET(I$10,$C$5-1,0,1,1))),"")</f>
        <v>2.0615604867573373E-2</v>
      </c>
      <c r="J83" s="187"/>
      <c r="K83" s="199"/>
      <c r="L83" s="197">
        <v>18</v>
      </c>
      <c r="M83" s="198" t="s">
        <v>74</v>
      </c>
      <c r="N83" s="202">
        <f ca="1">IF(AND(ISNUMBER($L83),ISNUMBER(N$5)),IF(N$7=1,(N27)/(SUM(N$10:OFFSET(N$10,$M$5-1,0,1,1))),(1/N27)/SUM(1/N$10:OFFSET(N$10,$M$5-1,0,1,1))),"")</f>
        <v>3.3662427195650504E-2</v>
      </c>
      <c r="O83" s="202">
        <f ca="1">IF(AND(ISNUMBER($L83),ISNUMBER(O$5)),IF(O$7=1,(O27)/(SUM(O$10:OFFSET(O$10,$M$5-1,0,1,1))),(1/O27)/SUM(1/O$10:OFFSET(O$10,$M$5-1,0,1,1))),"")</f>
        <v>2.6311103551467444E-2</v>
      </c>
      <c r="P83" s="202">
        <f ca="1">IF(AND(ISNUMBER($L83),ISNUMBER(P$5)),IF(P$7=1,(P27)/(SUM(P$10:OFFSET(P$10,$M$5-1,0,1,1))),(1/P27)/SUM(1/P$10:OFFSET(P$10,$M$5-1,0,1,1))),"")</f>
        <v>3.1793308859181274E-2</v>
      </c>
      <c r="Q83" s="202">
        <f ca="1">IF(AND(ISNUMBER($L83),ISNUMBER(Q$5)),IF(Q$7=1,(Q27)/(SUM(Q$10:OFFSET(Q$10,$M$5-1,0,1,1))),(1/Q27)/SUM(1/Q$10:OFFSET(Q$10,$M$5-1,0,1,1))),"")</f>
        <v>3.3048165943982188E-2</v>
      </c>
      <c r="R83" s="202">
        <f ca="1">IF(AND(ISNUMBER($L83),ISNUMBER(R$5)),IF(R$7=1,(R27)/(SUM(R$10:OFFSET(R$10,$M$5-1,0,1,1))),(1/R27)/SUM(1/R$10:OFFSET(R$10,$M$5-1,0,1,1))),"")</f>
        <v>2.7549742590788923E-2</v>
      </c>
      <c r="S83" s="202">
        <f ca="1">IF(AND(ISNUMBER($L83),ISNUMBER(S$5)),IF(S$7=1,(S27)/(SUM(S$10:OFFSET(S$10,$M$5-1,0,1,1))),(1/S27)/SUM(1/S$10:OFFSET(S$10,$M$5-1,0,1,1))),"")</f>
        <v>2.0037935898059436E-2</v>
      </c>
      <c r="T83" s="187"/>
      <c r="U83" s="199"/>
      <c r="V83" s="197">
        <v>18</v>
      </c>
      <c r="W83" s="198" t="s">
        <v>74</v>
      </c>
      <c r="X83" s="202">
        <f ca="1">IF(AND(ISNUMBER($V83),ISNUMBER(X$5)),IF(X$7=1,(X27)/(SUM(X$10:OFFSET(X$10,$W$5-1,0,1,1))),(1/X27)/SUM(1/X$10:OFFSET(X$10,$W$5-1,0,1,1))),"")</f>
        <v>3.182004280856425E-2</v>
      </c>
      <c r="Y83" s="202">
        <f ca="1">IF(AND(ISNUMBER($V83),ISNUMBER(Y$5)),IF(Y$7=1,(Y27)/(SUM(Y$10:OFFSET(Y$10,$W$5-1,0,1,1))),(1/Y27)/SUM(1/Y$10:OFFSET(Y$10,$W$5-1,0,1,1))),"")</f>
        <v>2.4122586267718994E-2</v>
      </c>
      <c r="Z83" s="202">
        <f ca="1">IF(AND(ISNUMBER($V83),ISNUMBER(Z$5)),IF(Z$7=1,(Z27)/(SUM(Z$10:OFFSET(Z$10,$W$5-1,0,1,1))),(1/Z27)/SUM(1/Z$10:OFFSET(Z$10,$W$5-1,0,1,1))),"")</f>
        <v>2.9203628027509212E-2</v>
      </c>
      <c r="AA83" s="202">
        <f ca="1">IF(AND(ISNUMBER($V83),ISNUMBER(AA$5)),IF(AA$7=1,(AA27)/(SUM(AA$10:OFFSET(AA$10,$W$5-1,0,1,1))),(1/AA27)/SUM(1/AA$10:OFFSET(AA$10,$W$5-1,0,1,1))),"")</f>
        <v>3.4489084571638233E-2</v>
      </c>
      <c r="AB83" s="202">
        <f ca="1">IF(AND(ISNUMBER($V83),ISNUMBER(AB$5)),IF(AB$7=1,(AB27)/(SUM(AB$10:OFFSET(AB$10,$W$5-1,0,1,1))),(1/AB27)/SUM(1/AB$10:OFFSET(AB$10,$W$5-1,0,1,1))),"")</f>
        <v>2.9138048243043665E-2</v>
      </c>
      <c r="AC83" s="202">
        <f ca="1">IF(AND(ISNUMBER($V83),ISNUMBER(AC$5)),IF(AC$7=1,(AC27)/(SUM(AC$10:OFFSET(AC$10,$W$5-1,0,1,1))),(1/AC27)/SUM(1/AC$10:OFFSET(AC$10,$W$5-1,0,1,1))),"")</f>
        <v>2.0329511513633294E-2</v>
      </c>
    </row>
    <row r="84" spans="1:29" ht="14.25" customHeight="1">
      <c r="A84" s="199"/>
      <c r="B84" s="197">
        <v>19</v>
      </c>
      <c r="C84" s="198" t="s">
        <v>75</v>
      </c>
      <c r="D84" s="202">
        <f ca="1">IF(AND(ISNUMBER($B84),ISNUMBER(D$5)),IF(D$7=1,(D28)/(SUM(D$10:OFFSET(D$10,$C$5-1,0,1,1))),(1/D28)/SUM(1/D$10:OFFSET(D$10,$C$5-1,0,1,1))),"")</f>
        <v>4.2906830499247805E-3</v>
      </c>
      <c r="E84" s="202">
        <f ca="1">IF(AND(ISNUMBER($B84),ISNUMBER(E$5)),IF(E$7=1,(E28)/(SUM(E$10:OFFSET(E$10,$C$5-1,0,1,1))),(1/E28)/SUM(1/E$10:OFFSET(E$10,$C$5-1,0,1,1))),"")</f>
        <v>3.0652024287549421E-3</v>
      </c>
      <c r="F84" s="202">
        <f ca="1">IF(AND(ISNUMBER($B84),ISNUMBER(F$5)),IF(F$7=1,(F28)/(SUM(F$10:OFFSET(F$10,$C$5-1,0,1,1))),(1/F28)/SUM(1/F$10:OFFSET(F$10,$C$5-1,0,1,1))),"")</f>
        <v>1.7813816881624311E-2</v>
      </c>
      <c r="G84" s="202">
        <f ca="1">IF(AND(ISNUMBER($B84),ISNUMBER(G$5)),IF(G$7=1,(G28)/(SUM(G$10:OFFSET(G$10,$C$5-1,0,1,1))),(1/G28)/SUM(1/G$10:OFFSET(G$10,$C$5-1,0,1,1))),"")</f>
        <v>1.189258312020461E-2</v>
      </c>
      <c r="H84" s="202">
        <f ca="1">IF(AND(ISNUMBER($B84),ISNUMBER(H$5)),IF(H$7=1,(H28)/(SUM(H$10:OFFSET(H$10,$C$5-1,0,1,1))),(1/H28)/SUM(1/H$10:OFFSET(H$10,$C$5-1,0,1,1))),"")</f>
        <v>1.6778841596359846E-2</v>
      </c>
      <c r="I84" s="202">
        <f ca="1">IF(AND(ISNUMBER($B84),ISNUMBER(I$5)),IF(I$7=1,(I28)/(SUM(I$10:OFFSET(I$10,$C$5-1,0,1,1))),(1/I28)/SUM(1/I$10:OFFSET(I$10,$C$5-1,0,1,1))),"")</f>
        <v>1.9327129563350035E-2</v>
      </c>
      <c r="J84" s="187"/>
      <c r="K84" s="199"/>
      <c r="L84" s="197">
        <v>19</v>
      </c>
      <c r="M84" s="198" t="s">
        <v>75</v>
      </c>
      <c r="N84" s="202">
        <f ca="1">IF(AND(ISNUMBER($L84),ISNUMBER(N$5)),IF(N$7=1,(N28)/(SUM(N$10:OFFSET(N$10,$M$5-1,0,1,1))),(1/N28)/SUM(1/N$10:OFFSET(N$10,$M$5-1,0,1,1))),"")</f>
        <v>6.8820962266663253E-3</v>
      </c>
      <c r="O84" s="202">
        <f ca="1">IF(AND(ISNUMBER($L84),ISNUMBER(O$5)),IF(O$7=1,(O28)/(SUM(O$10:OFFSET(O$10,$M$5-1,0,1,1))),(1/O28)/SUM(1/O$10:OFFSET(O$10,$M$5-1,0,1,1))),"")</f>
        <v>6.6442180685523846E-3</v>
      </c>
      <c r="P84" s="202">
        <f ca="1">IF(AND(ISNUMBER($L84),ISNUMBER(P$5)),IF(P$7=1,(P28)/(SUM(P$10:OFFSET(P$10,$M$5-1,0,1,1))),(1/P28)/SUM(1/P$10:OFFSET(P$10,$M$5-1,0,1,1))),"")</f>
        <v>1.9671676941192769E-2</v>
      </c>
      <c r="Q84" s="202">
        <f ca="1">IF(AND(ISNUMBER($L84),ISNUMBER(Q$5)),IF(Q$7=1,(Q28)/(SUM(Q$10:OFFSET(Q$10,$M$5-1,0,1,1))),(1/Q28)/SUM(1/Q$10:OFFSET(Q$10,$M$5-1,0,1,1))),"")</f>
        <v>1.3711473104418141E-2</v>
      </c>
      <c r="R84" s="202">
        <f ca="1">IF(AND(ISNUMBER($L84),ISNUMBER(R$5)),IF(R$7=1,(R28)/(SUM(R$10:OFFSET(R$10,$M$5-1,0,1,1))),(1/R28)/SUM(1/R$10:OFFSET(R$10,$M$5-1,0,1,1))),"")</f>
        <v>1.7392514261861697E-2</v>
      </c>
      <c r="S84" s="202">
        <f ca="1">IF(AND(ISNUMBER($L84),ISNUMBER(S$5)),IF(S$7=1,(S28)/(SUM(S$10:OFFSET(S$10,$M$5-1,0,1,1))),(1/S28)/SUM(1/S$10:OFFSET(S$10,$M$5-1,0,1,1))),"")</f>
        <v>2.0037935898059436E-2</v>
      </c>
      <c r="T84" s="187"/>
      <c r="U84" s="199"/>
      <c r="V84" s="197">
        <v>19</v>
      </c>
      <c r="W84" s="198" t="s">
        <v>75</v>
      </c>
      <c r="X84" s="202">
        <f ca="1">IF(AND(ISNUMBER($V84),ISNUMBER(X$5)),IF(X$7=1,(X28)/(SUM(X$10:OFFSET(X$10,$W$5-1,0,1,1))),(1/X28)/SUM(1/X$10:OFFSET(X$10,$W$5-1,0,1,1))),"")</f>
        <v>5.5154740868178032E-3</v>
      </c>
      <c r="Y84" s="202">
        <f ca="1">IF(AND(ISNUMBER($V84),ISNUMBER(Y$5)),IF(Y$7=1,(Y28)/(SUM(Y$10:OFFSET(Y$10,$W$5-1,0,1,1))),(1/Y28)/SUM(1/Y$10:OFFSET(Y$10,$W$5-1,0,1,1))),"")</f>
        <v>4.8970663851760363E-3</v>
      </c>
      <c r="Z84" s="202">
        <f ca="1">IF(AND(ISNUMBER($V84),ISNUMBER(Z$5)),IF(Z$7=1,(Z28)/(SUM(Z$10:OFFSET(Z$10,$W$5-1,0,1,1))),(1/Z28)/SUM(1/Z$10:OFFSET(Z$10,$W$5-1,0,1,1))),"")</f>
        <v>1.8704940363467218E-2</v>
      </c>
      <c r="AA84" s="202">
        <f ca="1">IF(AND(ISNUMBER($V84),ISNUMBER(AA$5)),IF(AA$7=1,(AA28)/(SUM(AA$10:OFFSET(AA$10,$W$5-1,0,1,1))),(1/AA28)/SUM(1/AA$10:OFFSET(AA$10,$W$5-1,0,1,1))),"")</f>
        <v>1.2841680425609982E-2</v>
      </c>
      <c r="AB84" s="202">
        <f ca="1">IF(AND(ISNUMBER($V84),ISNUMBER(AB$5)),IF(AB$7=1,(AB28)/(SUM(AB$10:OFFSET(AB$10,$W$5-1,0,1,1))),(1/AB28)/SUM(1/AB$10:OFFSET(AB$10,$W$5-1,0,1,1))),"")</f>
        <v>1.7089008181157547E-2</v>
      </c>
      <c r="AC84" s="202">
        <f ca="1">IF(AND(ISNUMBER($V84),ISNUMBER(AC$5)),IF(AC$7=1,(AC28)/(SUM(AC$10:OFFSET(AC$10,$W$5-1,0,1,1))),(1/AC28)/SUM(1/AC$10:OFFSET(AC$10,$W$5-1,0,1,1))),"")</f>
        <v>1.9679159841988626E-2</v>
      </c>
    </row>
    <row r="85" spans="1:29" ht="14.25" customHeight="1">
      <c r="A85" s="199"/>
      <c r="B85" s="197">
        <v>20</v>
      </c>
      <c r="C85" s="198" t="s">
        <v>76</v>
      </c>
      <c r="D85" s="202">
        <f ca="1">IF(AND(ISNUMBER($B85),ISNUMBER(D$5)),IF(D$7=1,(D29)/(SUM(D$10:OFFSET(D$10,$C$5-1,0,1,1))),(1/D29)/SUM(1/D$10:OFFSET(D$10,$C$5-1,0,1,1))),"")</f>
        <v>1.4481055293496133E-2</v>
      </c>
      <c r="E85" s="202">
        <f ca="1">IF(AND(ISNUMBER($B85),ISNUMBER(E$5)),IF(E$7=1,(E29)/(SUM(E$10:OFFSET(E$10,$C$5-1,0,1,1))),(1/E29)/SUM(1/E$10:OFFSET(E$10,$C$5-1,0,1,1))),"")</f>
        <v>1.9320063793364487E-2</v>
      </c>
      <c r="F85" s="202">
        <f ca="1">IF(AND(ISNUMBER($B85),ISNUMBER(F$5)),IF(F$7=1,(F29)/(SUM(F$10:OFFSET(F$10,$C$5-1,0,1,1))),(1/F29)/SUM(1/F$10:OFFSET(F$10,$C$5-1,0,1,1))),"")</f>
        <v>2.3815604648193076E-2</v>
      </c>
      <c r="G85" s="202">
        <f ca="1">IF(AND(ISNUMBER($B85),ISNUMBER(G$5)),IF(G$7=1,(G29)/(SUM(G$10:OFFSET(G$10,$C$5-1,0,1,1))),(1/G29)/SUM(1/G$10:OFFSET(G$10,$C$5-1,0,1,1))),"")</f>
        <v>2.289002557544758E-2</v>
      </c>
      <c r="H85" s="202">
        <f ca="1">IF(AND(ISNUMBER($B85),ISNUMBER(H$5)),IF(H$7=1,(H29)/(SUM(H$10:OFFSET(H$10,$C$5-1,0,1,1))),(1/H29)/SUM(1/H$10:OFFSET(H$10,$C$5-1,0,1,1))),"")</f>
        <v>1.9006540904351128E-2</v>
      </c>
      <c r="I85" s="202">
        <f ca="1">IF(AND(ISNUMBER($B85),ISNUMBER(I$5)),IF(I$7=1,(I29)/(SUM(I$10:OFFSET(I$10,$C$5-1,0,1,1))),(1/I29)/SUM(1/I$10:OFFSET(I$10,$C$5-1,0,1,1))),"")</f>
        <v>2.3956096397041281E-2</v>
      </c>
      <c r="J85" s="187"/>
      <c r="K85" s="199"/>
      <c r="L85" s="197">
        <v>20</v>
      </c>
      <c r="M85" s="198" t="s">
        <v>76</v>
      </c>
      <c r="N85" s="202">
        <f ca="1">IF(AND(ISNUMBER($L85),ISNUMBER(N$5)),IF(N$7=1,(N29)/(SUM(N$10:OFFSET(N$10,$M$5-1,0,1,1))),(1/N29)/SUM(1/N$10:OFFSET(N$10,$M$5-1,0,1,1))),"")</f>
        <v>1.6157965053912243E-2</v>
      </c>
      <c r="O85" s="202">
        <f ca="1">IF(AND(ISNUMBER($L85),ISNUMBER(O$5)),IF(O$7=1,(O29)/(SUM(O$10:OFFSET(O$10,$M$5-1,0,1,1))),(1/O29)/SUM(1/O$10:OFFSET(O$10,$M$5-1,0,1,1))),"")</f>
        <v>2.0287012502646612E-2</v>
      </c>
      <c r="P85" s="202">
        <f ca="1">IF(AND(ISNUMBER($L85),ISNUMBER(P$5)),IF(P$7=1,(P29)/(SUM(P$10:OFFSET(P$10,$M$5-1,0,1,1))),(1/P29)/SUM(1/P$10:OFFSET(P$10,$M$5-1,0,1,1))),"")</f>
        <v>2.1403338643762555E-2</v>
      </c>
      <c r="Q85" s="202">
        <f ca="1">IF(AND(ISNUMBER($L85),ISNUMBER(Q$5)),IF(Q$7=1,(Q29)/(SUM(Q$10:OFFSET(Q$10,$M$5-1,0,1,1))),(1/Q29)/SUM(1/Q$10:OFFSET(Q$10,$M$5-1,0,1,1))),"")</f>
        <v>1.8164772061408648E-2</v>
      </c>
      <c r="R85" s="202">
        <f ca="1">IF(AND(ISNUMBER($L85),ISNUMBER(R$5)),IF(R$7=1,(R29)/(SUM(R$10:OFFSET(R$10,$M$5-1,0,1,1))),(1/R29)/SUM(1/R$10:OFFSET(R$10,$M$5-1,0,1,1))),"")</f>
        <v>1.8830295440842262E-2</v>
      </c>
      <c r="S85" s="202">
        <f ca="1">IF(AND(ISNUMBER($L85),ISNUMBER(S$5)),IF(S$7=1,(S29)/(SUM(S$10:OFFSET(S$10,$M$5-1,0,1,1))),(1/S29)/SUM(1/S$10:OFFSET(S$10,$M$5-1,0,1,1))),"")</f>
        <v>2.499878410583143E-2</v>
      </c>
      <c r="T85" s="187"/>
      <c r="U85" s="199"/>
      <c r="V85" s="197">
        <v>20</v>
      </c>
      <c r="W85" s="198" t="s">
        <v>76</v>
      </c>
      <c r="X85" s="202">
        <f ca="1">IF(AND(ISNUMBER($V85),ISNUMBER(X$5)),IF(X$7=1,(X29)/(SUM(X$10:OFFSET(X$10,$W$5-1,0,1,1))),(1/X29)/SUM(1/X$10:OFFSET(X$10,$W$5-1,0,1,1))),"")</f>
        <v>1.527362054811084E-2</v>
      </c>
      <c r="Y85" s="202">
        <f ca="1">IF(AND(ISNUMBER($V85),ISNUMBER(Y$5)),IF(Y$7=1,(Y29)/(SUM(Y$10:OFFSET(Y$10,$W$5-1,0,1,1))),(1/Y29)/SUM(1/Y$10:OFFSET(Y$10,$W$5-1,0,1,1))),"")</f>
        <v>1.9814981577054885E-2</v>
      </c>
      <c r="Z85" s="202">
        <f ca="1">IF(AND(ISNUMBER($V85),ISNUMBER(Z$5)),IF(Z$7=1,(Z29)/(SUM(Z$10:OFFSET(Z$10,$W$5-1,0,1,1))),(1/Z29)/SUM(1/Z$10:OFFSET(Z$10,$W$5-1,0,1,1))),"")</f>
        <v>2.2658560085052647E-2</v>
      </c>
      <c r="AA85" s="202">
        <f ca="1">IF(AND(ISNUMBER($V85),ISNUMBER(AA$5)),IF(AA$7=1,(AA29)/(SUM(AA$10:OFFSET(AA$10,$W$5-1,0,1,1))),(1/AA29)/SUM(1/AA$10:OFFSET(AA$10,$W$5-1,0,1,1))),"")</f>
        <v>2.0424386962636827E-2</v>
      </c>
      <c r="AB85" s="202">
        <f ca="1">IF(AND(ISNUMBER($V85),ISNUMBER(AB$5)),IF(AB$7=1,(AB29)/(SUM(AB$10:OFFSET(AB$10,$W$5-1,0,1,1))),(1/AB29)/SUM(1/AB$10:OFFSET(AB$10,$W$5-1,0,1,1))),"")</f>
        <v>1.8917461731404857E-2</v>
      </c>
      <c r="AC85" s="202">
        <f ca="1">IF(AND(ISNUMBER($V85),ISNUMBER(AC$5)),IF(AC$7=1,(AC29)/(SUM(AC$10:OFFSET(AC$10,$W$5-1,0,1,1))),(1/AC29)/SUM(1/AC$10:OFFSET(AC$10,$W$5-1,0,1,1))),"")</f>
        <v>2.4472492532999317E-2</v>
      </c>
    </row>
    <row r="86" spans="1:29" ht="14.25" customHeight="1">
      <c r="A86" s="199"/>
      <c r="B86" s="197">
        <v>21</v>
      </c>
      <c r="C86" s="198" t="s">
        <v>77</v>
      </c>
      <c r="D86" s="202">
        <f ca="1">IF(AND(ISNUMBER($B86),ISNUMBER(D$5)),IF(D$7=1,(D30)/(SUM(D$10:OFFSET(D$10,$C$5-1,0,1,1))),(1/D30)/SUM(1/D$10:OFFSET(D$10,$C$5-1,0,1,1))),"")</f>
        <v>3.6202638233740335E-2</v>
      </c>
      <c r="E86" s="202">
        <f ca="1">IF(AND(ISNUMBER($B86),ISNUMBER(E$5)),IF(E$7=1,(E30)/(SUM(E$10:OFFSET(E$10,$C$5-1,0,1,1))),(1/E30)/SUM(1/E$10:OFFSET(E$10,$C$5-1,0,1,1))),"")</f>
        <v>2.0991992390867183E-2</v>
      </c>
      <c r="F86" s="202">
        <f ca="1">IF(AND(ISNUMBER($B86),ISNUMBER(F$5)),IF(F$7=1,(F30)/(SUM(F$10:OFFSET(F$10,$C$5-1,0,1,1))),(1/F30)/SUM(1/F$10:OFFSET(F$10,$C$5-1,0,1,1))),"")</f>
        <v>2.1836291661345934E-2</v>
      </c>
      <c r="G86" s="202">
        <f ca="1">IF(AND(ISNUMBER($B86),ISNUMBER(G$5)),IF(G$7=1,(G30)/(SUM(G$10:OFFSET(G$10,$C$5-1,0,1,1))),(1/G30)/SUM(1/G$10:OFFSET(G$10,$C$5-1,0,1,1))),"")</f>
        <v>1.9948849104859345E-2</v>
      </c>
      <c r="H86" s="202">
        <f ca="1">IF(AND(ISNUMBER($B86),ISNUMBER(H$5)),IF(H$7=1,(H30)/(SUM(H$10:OFFSET(H$10,$C$5-1,0,1,1))),(1/H30)/SUM(1/H$10:OFFSET(H$10,$C$5-1,0,1,1))),"")</f>
        <v>1.6067873732107309E-2</v>
      </c>
      <c r="I86" s="202">
        <f ca="1">IF(AND(ISNUMBER($B86),ISNUMBER(I$5)),IF(I$7=1,(I30)/(SUM(I$10:OFFSET(I$10,$C$5-1,0,1,1))),(1/I30)/SUM(1/I$10:OFFSET(I$10,$C$5-1,0,1,1))),"")</f>
        <v>2.6914817465998567E-2</v>
      </c>
      <c r="J86" s="187"/>
      <c r="K86" s="199"/>
      <c r="L86" s="197">
        <v>21</v>
      </c>
      <c r="M86" s="198" t="s">
        <v>77</v>
      </c>
      <c r="N86" s="202">
        <f ca="1">IF(AND(ISNUMBER($L86),ISNUMBER(N$5)),IF(N$7=1,(N30)/(SUM(N$10:OFFSET(N$10,$M$5-1,0,1,1))),(1/N30)/SUM(1/N$10:OFFSET(N$10,$M$5-1,0,1,1))),"")</f>
        <v>4.0394912634780608E-2</v>
      </c>
      <c r="O86" s="202">
        <f ca="1">IF(AND(ISNUMBER($L86),ISNUMBER(O$5)),IF(O$7=1,(O30)/(SUM(O$10:OFFSET(O$10,$M$5-1,0,1,1))),(1/O30)/SUM(1/O$10:OFFSET(O$10,$M$5-1,0,1,1))),"")</f>
        <v>2.9323149075877859E-2</v>
      </c>
      <c r="P86" s="202">
        <f ca="1">IF(AND(ISNUMBER($L86),ISNUMBER(P$5)),IF(P$7=1,(P30)/(SUM(P$10:OFFSET(P$10,$M$5-1,0,1,1))),(1/P30)/SUM(1/P$10:OFFSET(P$10,$M$5-1,0,1,1))),"")</f>
        <v>2.1749670984276513E-2</v>
      </c>
      <c r="Q86" s="202">
        <f ca="1">IF(AND(ISNUMBER($L86),ISNUMBER(Q$5)),IF(Q$7=1,(Q30)/(SUM(Q$10:OFFSET(Q$10,$M$5-1,0,1,1))),(1/Q30)/SUM(1/Q$10:OFFSET(Q$10,$M$5-1,0,1,1))),"")</f>
        <v>2.6602601664127506E-2</v>
      </c>
      <c r="R86" s="202">
        <f ca="1">IF(AND(ISNUMBER($L86),ISNUMBER(R$5)),IF(R$7=1,(R30)/(SUM(R$10:OFFSET(R$10,$M$5-1,0,1,1))),(1/R30)/SUM(1/R$10:OFFSET(R$10,$M$5-1,0,1,1))),"")</f>
        <v>1.5954733082881128E-2</v>
      </c>
      <c r="S86" s="202">
        <f ca="1">IF(AND(ISNUMBER($L86),ISNUMBER(S$5)),IF(S$7=1,(S30)/(SUM(S$10:OFFSET(S$10,$M$5-1,0,1,1))),(1/S30)/SUM(1/S$10:OFFSET(S$10,$M$5-1,0,1,1))),"")</f>
        <v>2.7819658576917469E-2</v>
      </c>
      <c r="T86" s="187"/>
      <c r="U86" s="199"/>
      <c r="V86" s="197">
        <v>21</v>
      </c>
      <c r="W86" s="198" t="s">
        <v>77</v>
      </c>
      <c r="X86" s="202">
        <f ca="1">IF(AND(ISNUMBER($V86),ISNUMBER(X$5)),IF(X$7=1,(X30)/(SUM(X$10:OFFSET(X$10,$W$5-1,0,1,1))),(1/X30)/SUM(1/X$10:OFFSET(X$10,$W$5-1,0,1,1))),"")</f>
        <v>3.8184051370277097E-2</v>
      </c>
      <c r="Y86" s="202">
        <f ca="1">IF(AND(ISNUMBER($V86),ISNUMBER(Y$5)),IF(Y$7=1,(Y30)/(SUM(Y$10:OFFSET(Y$10,$W$5-1,0,1,1))),(1/Y30)/SUM(1/Y$10:OFFSET(Y$10,$W$5-1,0,1,1))),"")</f>
        <v>2.5256166449472706E-2</v>
      </c>
      <c r="Z86" s="202">
        <f ca="1">IF(AND(ISNUMBER($V86),ISNUMBER(Z$5)),IF(Z$7=1,(Z30)/(SUM(Z$10:OFFSET(Z$10,$W$5-1,0,1,1))),(1/Z30)/SUM(1/Z$10:OFFSET(Z$10,$W$5-1,0,1,1))),"")</f>
        <v>2.1794744011428942E-2</v>
      </c>
      <c r="AA86" s="202">
        <f ca="1">IF(AND(ISNUMBER($V86),ISNUMBER(AA$5)),IF(AA$7=1,(AA30)/(SUM(AA$10:OFFSET(AA$10,$W$5-1,0,1,1))),(1/AA30)/SUM(1/AA$10:OFFSET(AA$10,$W$5-1,0,1,1))),"")</f>
        <v>2.3420779061945823E-2</v>
      </c>
      <c r="AB86" s="202">
        <f ca="1">IF(AND(ISNUMBER($V86),ISNUMBER(AB$5)),IF(AB$7=1,(AB30)/(SUM(AB$10:OFFSET(AB$10,$W$5-1,0,1,1))),(1/AB30)/SUM(1/AB$10:OFFSET(AB$10,$W$5-1,0,1,1))),"")</f>
        <v>1.6010689420755286E-2</v>
      </c>
      <c r="AC86" s="202">
        <f ca="1">IF(AND(ISNUMBER($V86),ISNUMBER(AC$5)),IF(AC$7=1,(AC30)/(SUM(AC$10:OFFSET(AC$10,$W$5-1,0,1,1))),(1/AC30)/SUM(1/AC$10:OFFSET(AC$10,$W$5-1,0,1,1))),"")</f>
        <v>2.7362944406975613E-2</v>
      </c>
    </row>
    <row r="87" spans="1:29" ht="14.25" customHeight="1">
      <c r="A87" s="199"/>
      <c r="B87" s="197">
        <v>22</v>
      </c>
      <c r="C87" s="198" t="s">
        <v>78</v>
      </c>
      <c r="D87" s="202">
        <f ca="1">IF(AND(ISNUMBER($B87),ISNUMBER(D$5)),IF(D$7=1,(D31)/(SUM(D$10:OFFSET(D$10,$C$5-1,0,1,1))),(1/D31)/SUM(1/D$10:OFFSET(D$10,$C$5-1,0,1,1))),"")</f>
        <v>2.413509215582689E-2</v>
      </c>
      <c r="E87" s="202">
        <f ca="1">IF(AND(ISNUMBER($B87),ISNUMBER(E$5)),IF(E$7=1,(E31)/(SUM(E$10:OFFSET(E$10,$C$5-1,0,1,1))),(1/E31)/SUM(1/E$10:OFFSET(E$10,$C$5-1,0,1,1))),"")</f>
        <v>2.6286432949625717E-2</v>
      </c>
      <c r="F87" s="202">
        <f ca="1">IF(AND(ISNUMBER($B87),ISNUMBER(F$5)),IF(F$7=1,(F31)/(SUM(F$10:OFFSET(F$10,$C$5-1,0,1,1))),(1/F31)/SUM(1/F$10:OFFSET(F$10,$C$5-1,0,1,1))),"")</f>
        <v>2.1517047631209298E-2</v>
      </c>
      <c r="G87" s="202">
        <f ca="1">IF(AND(ISNUMBER($B87),ISNUMBER(G$5)),IF(G$7=1,(G31)/(SUM(G$10:OFFSET(G$10,$C$5-1,0,1,1))),(1/G31)/SUM(1/G$10:OFFSET(G$10,$C$5-1,0,1,1))),"")</f>
        <v>2.3017902813299244E-2</v>
      </c>
      <c r="H87" s="202">
        <f ca="1">IF(AND(ISNUMBER($B87),ISNUMBER(H$5)),IF(H$7=1,(H31)/(SUM(H$10:OFFSET(H$10,$C$5-1,0,1,1))),(1/H31)/SUM(1/H$10:OFFSET(H$10,$C$5-1,0,1,1))),"")</f>
        <v>1.7442411602995544E-2</v>
      </c>
      <c r="I87" s="202">
        <f ca="1">IF(AND(ISNUMBER($B87),ISNUMBER(I$5)),IF(I$7=1,(I31)/(SUM(I$10:OFFSET(I$10,$C$5-1,0,1,1))),(1/I31)/SUM(1/I$10:OFFSET(I$10,$C$5-1,0,1,1))),"")</f>
        <v>1.7179670722977811E-2</v>
      </c>
      <c r="J87" s="187"/>
      <c r="K87" s="199"/>
      <c r="L87" s="197">
        <v>22</v>
      </c>
      <c r="M87" s="198" t="s">
        <v>78</v>
      </c>
      <c r="N87" s="202">
        <f ca="1">IF(AND(ISNUMBER($L87),ISNUMBER(N$5)),IF(N$7=1,(N31)/(SUM(N$10:OFFSET(N$10,$M$5-1,0,1,1))),(1/N31)/SUM(1/N$10:OFFSET(N$10,$M$5-1,0,1,1))),"")</f>
        <v>2.1843174980288774E-2</v>
      </c>
      <c r="O87" s="202">
        <f ca="1">IF(AND(ISNUMBER($L87),ISNUMBER(O$5)),IF(O$7=1,(O31)/(SUM(O$10:OFFSET(O$10,$M$5-1,0,1,1))),(1/O31)/SUM(1/O$10:OFFSET(O$10,$M$5-1,0,1,1))),"")</f>
        <v>2.5070849512004334E-2</v>
      </c>
      <c r="P87" s="202">
        <f ca="1">IF(AND(ISNUMBER($L87),ISNUMBER(P$5)),IF(P$7=1,(P31)/(SUM(P$10:OFFSET(P$10,$M$5-1,0,1,1))),(1/P31)/SUM(1/P$10:OFFSET(P$10,$M$5-1,0,1,1))),"")</f>
        <v>1.7593682898109027E-2</v>
      </c>
      <c r="Q87" s="202">
        <f ca="1">IF(AND(ISNUMBER($L87),ISNUMBER(Q$5)),IF(Q$7=1,(Q31)/(SUM(Q$10:OFFSET(Q$10,$M$5-1,0,1,1))),(1/Q31)/SUM(1/Q$10:OFFSET(Q$10,$M$5-1,0,1,1))),"")</f>
        <v>2.3789991796554555E-2</v>
      </c>
      <c r="R87" s="202">
        <f ca="1">IF(AND(ISNUMBER($L87),ISNUMBER(R$5)),IF(R$7=1,(R31)/(SUM(R$10:OFFSET(R$10,$M$5-1,0,1,1))),(1/R31)/SUM(1/R$10:OFFSET(R$10,$M$5-1,0,1,1))),"")</f>
        <v>1.7299754185798433E-2</v>
      </c>
      <c r="S87" s="202">
        <f ca="1">IF(AND(ISNUMBER($L87),ISNUMBER(S$5)),IF(S$7=1,(S31)/(SUM(S$10:OFFSET(S$10,$M$5-1,0,1,1))),(1/S31)/SUM(1/S$10:OFFSET(S$10,$M$5-1,0,1,1))),"")</f>
        <v>1.7071154126744811E-2</v>
      </c>
      <c r="T87" s="187"/>
      <c r="U87" s="199"/>
      <c r="V87" s="197">
        <v>22</v>
      </c>
      <c r="W87" s="198" t="s">
        <v>78</v>
      </c>
      <c r="X87" s="202">
        <f ca="1">IF(AND(ISNUMBER($V87),ISNUMBER(X$5)),IF(X$7=1,(X31)/(SUM(X$10:OFFSET(X$10,$W$5-1,0,1,1))),(1/X31)/SUM(1/X$10:OFFSET(X$10,$W$5-1,0,1,1))),"")</f>
        <v>2.3051853234648766E-2</v>
      </c>
      <c r="Y87" s="202">
        <f ca="1">IF(AND(ISNUMBER($V87),ISNUMBER(Y$5)),IF(Y$7=1,(Y31)/(SUM(Y$10:OFFSET(Y$10,$W$5-1,0,1,1))),(1/Y31)/SUM(1/Y$10:OFFSET(Y$10,$W$5-1,0,1,1))),"")</f>
        <v>2.5664255314904041E-2</v>
      </c>
      <c r="Z87" s="202">
        <f ca="1">IF(AND(ISNUMBER($V87),ISNUMBER(Z$5)),IF(Z$7=1,(Z31)/(SUM(Z$10:OFFSET(Z$10,$W$5-1,0,1,1))),(1/Z31)/SUM(1/Z$10:OFFSET(Z$10,$W$5-1,0,1,1))),"")</f>
        <v>1.9635203827369673E-2</v>
      </c>
      <c r="AA87" s="202">
        <f ca="1">IF(AND(ISNUMBER($V87),ISNUMBER(AA$5)),IF(AA$7=1,(AA31)/(SUM(AA$10:OFFSET(AA$10,$W$5-1,0,1,1))),(1/AA31)/SUM(1/AA$10:OFFSET(AA$10,$W$5-1,0,1,1))),"")</f>
        <v>2.3420779061945823E-2</v>
      </c>
      <c r="AB87" s="202">
        <f ca="1">IF(AND(ISNUMBER($V87),ISNUMBER(AB$5)),IF(AB$7=1,(AB31)/(SUM(AB$10:OFFSET(AB$10,$W$5-1,0,1,1))),(1/AB31)/SUM(1/AB$10:OFFSET(AB$10,$W$5-1,0,1,1))),"")</f>
        <v>1.7370308727349439E-2</v>
      </c>
      <c r="AC87" s="202">
        <f ca="1">IF(AND(ISNUMBER($V87),ISNUMBER(AC$5)),IF(AC$7=1,(AC31)/(SUM(AC$10:OFFSET(AC$10,$W$5-1,0,1,1))),(1/AC31)/SUM(1/AC$10:OFFSET(AC$10,$W$5-1,0,1,1))),"")</f>
        <v>1.7125927353309561E-2</v>
      </c>
    </row>
    <row r="88" spans="1:29" ht="14.25" customHeight="1">
      <c r="A88" s="199"/>
      <c r="B88" s="197">
        <v>23</v>
      </c>
      <c r="C88" s="198" t="s">
        <v>79</v>
      </c>
      <c r="D88" s="202">
        <f ca="1">IF(AND(ISNUMBER($B88),ISNUMBER(D$5)),IF(D$7=1,(D32)/(SUM(D$10:OFFSET(D$10,$C$5-1,0,1,1))),(1/D32)/SUM(1/D$10:OFFSET(D$10,$C$5-1,0,1,1))),"")</f>
        <v>1.1263043006052548E-2</v>
      </c>
      <c r="E88" s="202">
        <f ca="1">IF(AND(ISNUMBER($B88),ISNUMBER(E$5)),IF(E$7=1,(E32)/(SUM(E$10:OFFSET(E$10,$C$5-1,0,1,1))),(1/E32)/SUM(1/E$10:OFFSET(E$10,$C$5-1,0,1,1))),"")</f>
        <v>1.1610615260435388E-2</v>
      </c>
      <c r="F88" s="202">
        <f ca="1">IF(AND(ISNUMBER($B88),ISNUMBER(F$5)),IF(F$7=1,(F32)/(SUM(F$10:OFFSET(F$10,$C$5-1,0,1,1))),(1/F32)/SUM(1/F$10:OFFSET(F$10,$C$5-1,0,1,1))),"")</f>
        <v>1.5834503894777169E-2</v>
      </c>
      <c r="G88" s="202">
        <f ca="1">IF(AND(ISNUMBER($B88),ISNUMBER(G$5)),IF(G$7=1,(G32)/(SUM(G$10:OFFSET(G$10,$C$5-1,0,1,1))),(1/G32)/SUM(1/G$10:OFFSET(G$10,$C$5-1,0,1,1))),"")</f>
        <v>9.2071611253196975E-3</v>
      </c>
      <c r="H88" s="202">
        <f ca="1">IF(AND(ISNUMBER($B88),ISNUMBER(H$5)),IF(H$7=1,(H32)/(SUM(H$10:OFFSET(H$10,$C$5-1,0,1,1))),(1/H32)/SUM(1/H$10:OFFSET(H$10,$C$5-1,0,1,1))),"")</f>
        <v>1.6447056593041999E-2</v>
      </c>
      <c r="I88" s="202">
        <f ca="1">IF(AND(ISNUMBER($B88),ISNUMBER(I$5)),IF(I$7=1,(I32)/(SUM(I$10:OFFSET(I$10,$C$5-1,0,1,1))),(1/I32)/SUM(1/I$10:OFFSET(I$10,$C$5-1,0,1,1))),"")</f>
        <v>1.3505130040563113E-2</v>
      </c>
      <c r="J88" s="187"/>
      <c r="K88" s="199"/>
      <c r="L88" s="197">
        <v>23</v>
      </c>
      <c r="M88" s="198" t="s">
        <v>79</v>
      </c>
      <c r="N88" s="202">
        <f ca="1">IF(AND(ISNUMBER($L88),ISNUMBER(N$5)),IF(N$7=1,(N32)/(SUM(N$10:OFFSET(N$10,$M$5-1,0,1,1))),(1/N32)/SUM(1/N$10:OFFSET(N$10,$M$5-1,0,1,1))),"")</f>
        <v>1.2567306153042856E-2</v>
      </c>
      <c r="O88" s="202">
        <f ca="1">IF(AND(ISNUMBER($L88),ISNUMBER(O$5)),IF(O$7=1,(O32)/(SUM(O$10:OFFSET(O$10,$M$5-1,0,1,1))),(1/O32)/SUM(1/O$10:OFFSET(O$10,$M$5-1,0,1,1))),"")</f>
        <v>1.4794458899309975E-2</v>
      </c>
      <c r="P88" s="202">
        <f ca="1">IF(AND(ISNUMBER($L88),ISNUMBER(P$5)),IF(P$7=1,(P32)/(SUM(P$10:OFFSET(P$10,$M$5-1,0,1,1))),(1/P32)/SUM(1/P$10:OFFSET(P$10,$M$5-1,0,1,1))),"")</f>
        <v>1.7524416430006236E-2</v>
      </c>
      <c r="Q88" s="202">
        <f ca="1">IF(AND(ISNUMBER($L88),ISNUMBER(Q$5)),IF(Q$7=1,(Q32)/(SUM(Q$10:OFFSET(Q$10,$M$5-1,0,1,1))),(1/Q32)/SUM(1/Q$10:OFFSET(Q$10,$M$5-1,0,1,1))),"")</f>
        <v>8.4378296027188566E-3</v>
      </c>
      <c r="R88" s="202">
        <f ca="1">IF(AND(ISNUMBER($L88),ISNUMBER(R$5)),IF(R$7=1,(R32)/(SUM(R$10:OFFSET(R$10,$M$5-1,0,1,1))),(1/R32)/SUM(1/R$10:OFFSET(R$10,$M$5-1,0,1,1))),"")</f>
        <v>1.9340475859190208E-2</v>
      </c>
      <c r="S88" s="202">
        <f ca="1">IF(AND(ISNUMBER($L88),ISNUMBER(S$5)),IF(S$7=1,(S32)/(SUM(S$10:OFFSET(S$10,$M$5-1,0,1,1))),(1/S32)/SUM(1/S$10:OFFSET(S$10,$M$5-1,0,1,1))),"")</f>
        <v>1.4153008122173048E-2</v>
      </c>
      <c r="T88" s="187"/>
      <c r="U88" s="199"/>
      <c r="V88" s="197">
        <v>23</v>
      </c>
      <c r="W88" s="198" t="s">
        <v>79</v>
      </c>
      <c r="X88" s="202">
        <f ca="1">IF(AND(ISNUMBER($V88),ISNUMBER(X$5)),IF(X$7=1,(X32)/(SUM(X$10:OFFSET(X$10,$W$5-1,0,1,1))),(1/X32)/SUM(1/X$10:OFFSET(X$10,$W$5-1,0,1,1))),"")</f>
        <v>1.1879482648530653E-2</v>
      </c>
      <c r="Y88" s="202">
        <f ca="1">IF(AND(ISNUMBER($V88),ISNUMBER(Y$5)),IF(Y$7=1,(Y32)/(SUM(Y$10:OFFSET(Y$10,$W$5-1,0,1,1))),(1/Y32)/SUM(1/Y$10:OFFSET(Y$10,$W$5-1,0,1,1))),"")</f>
        <v>1.3240216522883356E-2</v>
      </c>
      <c r="Z88" s="202">
        <f ca="1">IF(AND(ISNUMBER($V88),ISNUMBER(Z$5)),IF(Z$7=1,(Z32)/(SUM(Z$10:OFFSET(Z$10,$W$5-1,0,1,1))),(1/Z32)/SUM(1/Z$10:OFFSET(Z$10,$W$5-1,0,1,1))),"")</f>
        <v>1.6645071264826068E-2</v>
      </c>
      <c r="AA88" s="202">
        <f ca="1">IF(AND(ISNUMBER($V88),ISNUMBER(AA$5)),IF(AA$7=1,(AA32)/(SUM(AA$10:OFFSET(AA$10,$W$5-1,0,1,1))),(1/AA32)/SUM(1/AA$10:OFFSET(AA$10,$W$5-1,0,1,1))),"")</f>
        <v>8.8057237204182733E-3</v>
      </c>
      <c r="AB88" s="202">
        <f ca="1">IF(AND(ISNUMBER($V88),ISNUMBER(AB$5)),IF(AB$7=1,(AB32)/(SUM(AB$10:OFFSET(AB$10,$W$5-1,0,1,1))),(1/AB32)/SUM(1/AB$10:OFFSET(AB$10,$W$5-1,0,1,1))),"")</f>
        <v>1.790946810755057E-2</v>
      </c>
      <c r="AC88" s="202">
        <f ca="1">IF(AND(ISNUMBER($V88),ISNUMBER(AC$5)),IF(AC$7=1,(AC32)/(SUM(AC$10:OFFSET(AC$10,$W$5-1,0,1,1))),(1/AC32)/SUM(1/AC$10:OFFSET(AC$10,$W$5-1,0,1,1))),"")</f>
        <v>1.3825994797186623E-2</v>
      </c>
    </row>
    <row r="89" spans="1:29" ht="14.25" customHeight="1">
      <c r="A89" s="199"/>
      <c r="B89" s="197">
        <v>24</v>
      </c>
      <c r="C89" s="198" t="s">
        <v>80</v>
      </c>
      <c r="D89" s="202">
        <f ca="1">IF(AND(ISNUMBER($B89),ISNUMBER(D$5)),IF(D$7=1,(D33)/(SUM(D$10:OFFSET(D$10,$C$5-1,0,1,1))),(1/D33)/SUM(1/D$10:OFFSET(D$10,$C$5-1,0,1,1))),"")</f>
        <v>4.6124842786691385E-2</v>
      </c>
      <c r="E89" s="202">
        <f ca="1">IF(AND(ISNUMBER($B89),ISNUMBER(E$5)),IF(E$7=1,(E33)/(SUM(E$10:OFFSET(E$10,$C$5-1,0,1,1))),(1/E33)/SUM(1/E$10:OFFSET(E$10,$C$5-1,0,1,1))),"")</f>
        <v>4.78357348729938E-2</v>
      </c>
      <c r="F89" s="202">
        <f ca="1">IF(AND(ISNUMBER($B89),ISNUMBER(F$5)),IF(F$7=1,(F33)/(SUM(F$10:OFFSET(F$10,$C$5-1,0,1,1))),(1/F33)/SUM(1/F$10:OFFSET(F$10,$C$5-1,0,1,1))),"")</f>
        <v>2.4517941514493678E-2</v>
      </c>
      <c r="G89" s="202">
        <f ca="1">IF(AND(ISNUMBER($B89),ISNUMBER(G$5)),IF(G$7=1,(G33)/(SUM(G$10:OFFSET(G$10,$C$5-1,0,1,1))),(1/G33)/SUM(1/G$10:OFFSET(G$10,$C$5-1,0,1,1))),"")</f>
        <v>3.0562659846547328E-2</v>
      </c>
      <c r="H89" s="202">
        <f ca="1">IF(AND(ISNUMBER($B89),ISNUMBER(H$5)),IF(H$7=1,(H33)/(SUM(H$10:OFFSET(H$10,$C$5-1,0,1,1))),(1/H33)/SUM(1/H$10:OFFSET(H$10,$C$5-1,0,1,1))),"")</f>
        <v>3.1519575315195759E-2</v>
      </c>
      <c r="I89" s="202">
        <f ca="1">IF(AND(ISNUMBER($B89),ISNUMBER(I$5)),IF(I$7=1,(I33)/(SUM(I$10:OFFSET(I$10,$C$5-1,0,1,1))),(1/I33)/SUM(1/I$10:OFFSET(I$10,$C$5-1,0,1,1))),"")</f>
        <v>2.0901932712956334E-2</v>
      </c>
      <c r="J89" s="187"/>
      <c r="K89" s="199"/>
      <c r="L89" s="197">
        <v>24</v>
      </c>
      <c r="M89" s="198" t="s">
        <v>80</v>
      </c>
      <c r="N89" s="202">
        <f ca="1">IF(AND(ISNUMBER($L89),ISNUMBER(N$5)),IF(N$7=1,(N33)/(SUM(N$10:OFFSET(N$10,$M$5-1,0,1,1))),(1/N33)/SUM(1/N$10:OFFSET(N$10,$M$5-1,0,1,1))),"")</f>
        <v>4.6379344136229586E-2</v>
      </c>
      <c r="O89" s="202">
        <f ca="1">IF(AND(ISNUMBER($L89),ISNUMBER(O$5)),IF(O$7=1,(O33)/(SUM(O$10:OFFSET(O$10,$M$5-1,0,1,1))),(1/O33)/SUM(1/O$10:OFFSET(O$10,$M$5-1,0,1,1))),"")</f>
        <v>4.9344392855782383E-2</v>
      </c>
      <c r="P89" s="202">
        <f ca="1">IF(AND(ISNUMBER($L89),ISNUMBER(P$5)),IF(P$7=1,(P33)/(SUM(P$10:OFFSET(P$10,$M$5-1,0,1,1))),(1/P33)/SUM(1/P$10:OFFSET(P$10,$M$5-1,0,1,1))),"")</f>
        <v>1.3368428343838749E-2</v>
      </c>
      <c r="Q89" s="202">
        <f ca="1">IF(AND(ISNUMBER($L89),ISNUMBER(Q$5)),IF(Q$7=1,(Q33)/(SUM(Q$10:OFFSET(Q$10,$M$5-1,0,1,1))),(1/Q33)/SUM(1/Q$10:OFFSET(Q$10,$M$5-1,0,1,1))),"")</f>
        <v>2.5196296730341031E-2</v>
      </c>
      <c r="R89" s="202">
        <f ca="1">IF(AND(ISNUMBER($L89),ISNUMBER(R$5)),IF(R$7=1,(R33)/(SUM(R$10:OFFSET(R$10,$M$5-1,0,1,1))),(1/R33)/SUM(1/R$10:OFFSET(R$10,$M$5-1,0,1,1))),"")</f>
        <v>2.8894763693706228E-2</v>
      </c>
      <c r="S89" s="202">
        <f ca="1">IF(AND(ISNUMBER($L89),ISNUMBER(S$5)),IF(S$7=1,(S33)/(SUM(S$10:OFFSET(S$10,$M$5-1,0,1,1))),(1/S33)/SUM(1/S$10:OFFSET(S$10,$M$5-1,0,1,1))),"")</f>
        <v>2.0962015466173826E-2</v>
      </c>
      <c r="T89" s="187"/>
      <c r="U89" s="199"/>
      <c r="V89" s="197">
        <v>24</v>
      </c>
      <c r="W89" s="198" t="s">
        <v>80</v>
      </c>
      <c r="X89" s="202">
        <f ca="1">IF(AND(ISNUMBER($V89),ISNUMBER(X$5)),IF(X$7=1,(X33)/(SUM(X$10:OFFSET(X$10,$W$5-1,0,1,1))),(1/X33)/SUM(1/X$10:OFFSET(X$10,$W$5-1,0,1,1))),"")</f>
        <v>4.6245128881780048E-2</v>
      </c>
      <c r="Y89" s="202">
        <f ca="1">IF(AND(ISNUMBER($V89),ISNUMBER(Y$5)),IF(Y$7=1,(Y33)/(SUM(Y$10:OFFSET(Y$10,$W$5-1,0,1,1))),(1/Y33)/SUM(1/Y$10:OFFSET(Y$10,$W$5-1,0,1,1))),"")</f>
        <v>4.8607918193599171E-2</v>
      </c>
      <c r="Z89" s="202">
        <f ca="1">IF(AND(ISNUMBER($V89),ISNUMBER(Z$5)),IF(Z$7=1,(Z33)/(SUM(Z$10:OFFSET(Z$10,$W$5-1,0,1,1))),(1/Z33)/SUM(1/Z$10:OFFSET(Z$10,$W$5-1,0,1,1))),"")</f>
        <v>1.9170072095418447E-2</v>
      </c>
      <c r="AA89" s="202">
        <f ca="1">IF(AND(ISNUMBER($V89),ISNUMBER(AA$5)),IF(AA$7=1,(AA33)/(SUM(AA$10:OFFSET(AA$10,$W$5-1,0,1,1))),(1/AA33)/SUM(1/AA$10:OFFSET(AA$10,$W$5-1,0,1,1))),"")</f>
        <v>2.7762490062985389E-2</v>
      </c>
      <c r="AB89" s="202">
        <f ca="1">IF(AND(ISNUMBER($V89),ISNUMBER(AB$5)),IF(AB$7=1,(AB33)/(SUM(AB$10:OFFSET(AB$10,$W$5-1,0,1,1))),(1/AB33)/SUM(1/AB$10:OFFSET(AB$10,$W$5-1,0,1,1))),"")</f>
        <v>3.0192925291263266E-2</v>
      </c>
      <c r="AC89" s="202">
        <f ca="1">IF(AND(ISNUMBER($V89),ISNUMBER(AC$5)),IF(AC$7=1,(AC33)/(SUM(AC$10:OFFSET(AC$10,$W$5-1,0,1,1))),(1/AC33)/SUM(1/AC$10:OFFSET(AC$10,$W$5-1,0,1,1))),"")</f>
        <v>2.0931688987378357E-2</v>
      </c>
    </row>
    <row r="90" spans="1:29" ht="14.25" customHeight="1">
      <c r="A90" s="199"/>
      <c r="B90" s="197">
        <v>25</v>
      </c>
      <c r="C90" s="198" t="s">
        <v>81</v>
      </c>
      <c r="D90" s="202">
        <f ca="1">IF(AND(ISNUMBER($B90),ISNUMBER(D$5)),IF(D$7=1,(D34)/(SUM(D$10:OFFSET(D$10,$C$5-1,0,1,1))),(1/D34)/SUM(1/D$10:OFFSET(D$10,$C$5-1,0,1,1))),"")</f>
        <v>2.8962110586992267E-2</v>
      </c>
      <c r="E90" s="202">
        <f ca="1">IF(AND(ISNUMBER($B90),ISNUMBER(E$5)),IF(E$7=1,(E34)/(SUM(E$10:OFFSET(E$10,$C$5-1,0,1,1))),(1/E34)/SUM(1/E$10:OFFSET(E$10,$C$5-1,0,1,1))),"")</f>
        <v>7.8952183770960634E-3</v>
      </c>
      <c r="F90" s="202">
        <f ca="1">IF(AND(ISNUMBER($B90),ISNUMBER(F$5)),IF(F$7=1,(F34)/(SUM(F$10:OFFSET(F$10,$C$5-1,0,1,1))),(1/F34)/SUM(1/F$10:OFFSET(F$10,$C$5-1,0,1,1))),"")</f>
        <v>2.9945090026816498E-2</v>
      </c>
      <c r="G90" s="202">
        <f ca="1">IF(AND(ISNUMBER($B90),ISNUMBER(G$5)),IF(G$7=1,(G34)/(SUM(G$10:OFFSET(G$10,$C$5-1,0,1,1))),(1/G34)/SUM(1/G$10:OFFSET(G$10,$C$5-1,0,1,1))),"")</f>
        <v>3.4782608695652188E-2</v>
      </c>
      <c r="H90" s="202">
        <f ca="1">IF(AND(ISNUMBER($B90),ISNUMBER(H$5)),IF(H$7=1,(H34)/(SUM(H$10:OFFSET(H$10,$C$5-1,0,1,1))),(1/H34)/SUM(1/H$10:OFFSET(H$10,$C$5-1,0,1,1))),"")</f>
        <v>2.0665465920940377E-2</v>
      </c>
      <c r="I90" s="202">
        <f ca="1">IF(AND(ISNUMBER($B90),ISNUMBER(I$5)),IF(I$7=1,(I34)/(SUM(I$10:OFFSET(I$10,$C$5-1,0,1,1))),(1/I34)/SUM(1/I$10:OFFSET(I$10,$C$5-1,0,1,1))),"")</f>
        <v>2.2953948938200908E-2</v>
      </c>
      <c r="J90" s="187"/>
      <c r="K90" s="199"/>
      <c r="L90" s="197">
        <v>25</v>
      </c>
      <c r="M90" s="198" t="s">
        <v>81</v>
      </c>
      <c r="N90" s="202">
        <f ca="1">IF(AND(ISNUMBER($L90),ISNUMBER(N$5)),IF(N$7=1,(N34)/(SUM(N$10:OFFSET(N$10,$M$5-1,0,1,1))),(1/N34)/SUM(1/N$10:OFFSET(N$10,$M$5-1,0,1,1))),"")</f>
        <v>1.870134844202806E-2</v>
      </c>
      <c r="O90" s="202">
        <f ca="1">IF(AND(ISNUMBER($L90),ISNUMBER(O$5)),IF(O$7=1,(O34)/(SUM(O$10:OFFSET(O$10,$M$5-1,0,1,1))),(1/O34)/SUM(1/O$10:OFFSET(O$10,$M$5-1,0,1,1))),"")</f>
        <v>7.530113811026036E-3</v>
      </c>
      <c r="P90" s="202">
        <f ca="1">IF(AND(ISNUMBER($L90),ISNUMBER(P$5)),IF(P$7=1,(P34)/(SUM(P$10:OFFSET(P$10,$M$5-1,0,1,1))),(1/P34)/SUM(1/P$10:OFFSET(P$10,$M$5-1,0,1,1))),"")</f>
        <v>3.1724042391078483E-2</v>
      </c>
      <c r="Q90" s="202">
        <f ca="1">IF(AND(ISNUMBER($L90),ISNUMBER(Q$5)),IF(Q$7=1,(Q34)/(SUM(Q$10:OFFSET(Q$10,$M$5-1,0,1,1))),(1/Q34)/SUM(1/Q$10:OFFSET(Q$10,$M$5-1,0,1,1))),"")</f>
        <v>3.1876245165826794E-2</v>
      </c>
      <c r="R90" s="202">
        <f ca="1">IF(AND(ISNUMBER($L90),ISNUMBER(R$5)),IF(R$7=1,(R34)/(SUM(R$10:OFFSET(R$10,$M$5-1,0,1,1))),(1/R34)/SUM(1/R$10:OFFSET(R$10,$M$5-1,0,1,1))),"")</f>
        <v>1.9804276239506518E-2</v>
      </c>
      <c r="S90" s="202">
        <f ca="1">IF(AND(ISNUMBER($L90),ISNUMBER(S$5)),IF(S$7=1,(S34)/(SUM(S$10:OFFSET(S$10,$M$5-1,0,1,1))),(1/S34)/SUM(1/S$10:OFFSET(S$10,$M$5-1,0,1,1))),"")</f>
        <v>2.3734254170517E-2</v>
      </c>
      <c r="T90" s="187"/>
      <c r="U90" s="199"/>
      <c r="V90" s="197">
        <v>25</v>
      </c>
      <c r="W90" s="198" t="s">
        <v>81</v>
      </c>
      <c r="X90" s="202">
        <f ca="1">IF(AND(ISNUMBER($V90),ISNUMBER(X$5)),IF(X$7=1,(X34)/(SUM(X$10:OFFSET(X$10,$W$5-1,0,1,1))),(1/X34)/SUM(1/X$10:OFFSET(X$10,$W$5-1,0,1,1))),"")</f>
        <v>2.4112521328267578E-2</v>
      </c>
      <c r="Y90" s="202">
        <f ca="1">IF(AND(ISNUMBER($V90),ISNUMBER(Y$5)),IF(Y$7=1,(Y34)/(SUM(Y$10:OFFSET(Y$10,$W$5-1,0,1,1))),(1/Y34)/SUM(1/Y$10:OFFSET(Y$10,$W$5-1,0,1,1))),"")</f>
        <v>7.7083452359252413E-3</v>
      </c>
      <c r="Z90" s="202">
        <f ca="1">IF(AND(ISNUMBER($V90),ISNUMBER(Z$5)),IF(Z$7=1,(Z34)/(SUM(Z$10:OFFSET(Z$10,$W$5-1,0,1,1))),(1/Z34)/SUM(1/Z$10:OFFSET(Z$10,$W$5-1,0,1,1))),"")</f>
        <v>3.0798365394199129E-2</v>
      </c>
      <c r="AA90" s="202">
        <f ca="1">IF(AND(ISNUMBER($V90),ISNUMBER(AA$5)),IF(AA$7=1,(AA34)/(SUM(AA$10:OFFSET(AA$10,$W$5-1,0,1,1))),(1/AA34)/SUM(1/AA$10:OFFSET(AA$10,$W$5-1,0,1,1))),"")</f>
        <v>3.3266067388246806E-2</v>
      </c>
      <c r="AB90" s="202">
        <f ca="1">IF(AND(ISNUMBER($V90),ISNUMBER(AB$5)),IF(AB$7=1,(AB34)/(SUM(AB$10:OFFSET(AB$10,$W$5-1,0,1,1))),(1/AB34)/SUM(1/AB$10:OFFSET(AB$10,$W$5-1,0,1,1))),"")</f>
        <v>2.0230197613633694E-2</v>
      </c>
      <c r="AC90" s="202">
        <f ca="1">IF(AND(ISNUMBER($V90),ISNUMBER(AC$5)),IF(AC$7=1,(AC34)/(SUM(AC$10:OFFSET(AC$10,$W$5-1,0,1,1))),(1/AC34)/SUM(1/AC$10:OFFSET(AC$10,$W$5-1,0,1,1))),"")</f>
        <v>2.3340398882358605E-2</v>
      </c>
    </row>
    <row r="91" spans="1:29" ht="14.25" customHeight="1">
      <c r="A91" s="199"/>
      <c r="B91" s="197">
        <v>26</v>
      </c>
      <c r="C91" s="198" t="s">
        <v>82</v>
      </c>
      <c r="D91" s="202">
        <f ca="1">IF(AND(ISNUMBER($B91),ISNUMBER(D$5)),IF(D$7=1,(D35)/(SUM(D$10:OFFSET(D$10,$C$5-1,0,1,1))),(1/D35)/SUM(1/D$10:OFFSET(D$10,$C$5-1,0,1,1))),"")</f>
        <v>1.0190372243571352E-2</v>
      </c>
      <c r="E91" s="202">
        <f ca="1">IF(AND(ISNUMBER($B91),ISNUMBER(E$5)),IF(E$7=1,(E35)/(SUM(E$10:OFFSET(E$10,$C$5-1,0,1,1))),(1/E35)/SUM(1/E$10:OFFSET(E$10,$C$5-1,0,1,1))),"")</f>
        <v>2.210661145586898E-2</v>
      </c>
      <c r="F91" s="202">
        <f ca="1">IF(AND(ISNUMBER($B91),ISNUMBER(F$5)),IF(F$7=1,(F35)/(SUM(F$10:OFFSET(F$10,$C$5-1,0,1,1))),(1/F35)/SUM(1/F$10:OFFSET(F$10,$C$5-1,0,1,1))),"")</f>
        <v>2.215553569148257E-2</v>
      </c>
      <c r="G91" s="202">
        <f ca="1">IF(AND(ISNUMBER($B91),ISNUMBER(G$5)),IF(G$7=1,(G35)/(SUM(G$10:OFFSET(G$10,$C$5-1,0,1,1))),(1/G35)/SUM(1/G$10:OFFSET(G$10,$C$5-1,0,1,1))),"")</f>
        <v>3.7340153452685439E-2</v>
      </c>
      <c r="H91" s="202">
        <f ca="1">IF(AND(ISNUMBER($B91),ISNUMBER(H$5)),IF(H$7=1,(H35)/(SUM(H$10:OFFSET(H$10,$C$5-1,0,1,1))),(1/H35)/SUM(1/H$10:OFFSET(H$10,$C$5-1,0,1,1))),"")</f>
        <v>3.1946156033747279E-2</v>
      </c>
      <c r="I91" s="202">
        <f ca="1">IF(AND(ISNUMBER($B91),ISNUMBER(I$5)),IF(I$7=1,(I35)/(SUM(I$10:OFFSET(I$10,$C$5-1,0,1,1))),(1/I35)/SUM(1/I$10:OFFSET(I$10,$C$5-1,0,1,1))),"")</f>
        <v>2.1331424481030783E-2</v>
      </c>
      <c r="J91" s="187"/>
      <c r="K91" s="199"/>
      <c r="L91" s="197">
        <v>26</v>
      </c>
      <c r="M91" s="198" t="s">
        <v>82</v>
      </c>
      <c r="N91" s="202">
        <f ca="1">IF(AND(ISNUMBER($L91),ISNUMBER(N$5)),IF(N$7=1,(N35)/(SUM(N$10:OFFSET(N$10,$M$5-1,0,1,1))),(1/N35)/SUM(1/N$10:OFFSET(N$10,$M$5-1,0,1,1))),"")</f>
        <v>1.1370419852753059E-2</v>
      </c>
      <c r="O91" s="202">
        <f ca="1">IF(AND(ISNUMBER($L91),ISNUMBER(O$5)),IF(O$7=1,(O35)/(SUM(O$10:OFFSET(O$10,$M$5-1,0,1,1))),(1/O35)/SUM(1/O$10:OFFSET(O$10,$M$5-1,0,1,1))),"")</f>
        <v>2.1793035264851823E-2</v>
      </c>
      <c r="P91" s="202">
        <f ca="1">IF(AND(ISNUMBER($L91),ISNUMBER(P$5)),IF(P$7=1,(P35)/(SUM(P$10:OFFSET(P$10,$M$5-1,0,1,1))),(1/P35)/SUM(1/P$10:OFFSET(P$10,$M$5-1,0,1,1))),"")</f>
        <v>2.2580868601510012E-2</v>
      </c>
      <c r="Q91" s="202">
        <f ca="1">IF(AND(ISNUMBER($L91),ISNUMBER(Q$5)),IF(Q$7=1,(Q35)/(SUM(Q$10:OFFSET(Q$10,$M$5-1,0,1,1))),(1/Q35)/SUM(1/Q$10:OFFSET(Q$10,$M$5-1,0,1,1))),"")</f>
        <v>4.2657916324856437E-2</v>
      </c>
      <c r="R91" s="202">
        <f ca="1">IF(AND(ISNUMBER($L91),ISNUMBER(R$5)),IF(R$7=1,(R35)/(SUM(R$10:OFFSET(R$10,$M$5-1,0,1,1))),(1/R35)/SUM(1/R$10:OFFSET(R$10,$M$5-1,0,1,1))),"")</f>
        <v>3.0842725291034739E-2</v>
      </c>
      <c r="S91" s="202">
        <f ca="1">IF(AND(ISNUMBER($L91),ISNUMBER(S$5)),IF(S$7=1,(S35)/(SUM(S$10:OFFSET(S$10,$M$5-1,0,1,1))),(1/S35)/SUM(1/S$10:OFFSET(S$10,$M$5-1,0,1,1))),"")</f>
        <v>2.266426730217402E-2</v>
      </c>
      <c r="T91" s="187"/>
      <c r="U91" s="199"/>
      <c r="V91" s="197">
        <v>26</v>
      </c>
      <c r="W91" s="198" t="s">
        <v>82</v>
      </c>
      <c r="X91" s="202">
        <f ca="1">IF(AND(ISNUMBER($V91),ISNUMBER(X$5)),IF(X$7=1,(X35)/(SUM(X$10:OFFSET(X$10,$W$5-1,0,1,1))),(1/X35)/SUM(1/X$10:OFFSET(X$10,$W$5-1,0,1,1))),"")</f>
        <v>1.0748103348670591E-2</v>
      </c>
      <c r="Y91" s="202">
        <f ca="1">IF(AND(ISNUMBER($V91),ISNUMBER(Y$5)),IF(Y$7=1,(Y35)/(SUM(Y$10:OFFSET(Y$10,$W$5-1,0,1,1))),(1/Y35)/SUM(1/Y$10:OFFSET(Y$10,$W$5-1,0,1,1))),"")</f>
        <v>2.1946112318751865E-2</v>
      </c>
      <c r="Z91" s="202">
        <f ca="1">IF(AND(ISNUMBER($V91),ISNUMBER(Z$5)),IF(Z$7=1,(Z35)/(SUM(Z$10:OFFSET(Z$10,$W$5-1,0,1,1))),(1/Z35)/SUM(1/Z$10:OFFSET(Z$10,$W$5-1,0,1,1))),"")</f>
        <v>2.2359546828798295E-2</v>
      </c>
      <c r="AA91" s="202">
        <f ca="1">IF(AND(ISNUMBER($V91),ISNUMBER(AA$5)),IF(AA$7=1,(AA35)/(SUM(AA$10:OFFSET(AA$10,$W$5-1,0,1,1))),(1/AA35)/SUM(1/AA$10:OFFSET(AA$10,$W$5-1,0,1,1))),"")</f>
        <v>4.0114963615238794E-2</v>
      </c>
      <c r="AB91" s="202">
        <f ca="1">IF(AND(ISNUMBER($V91),ISNUMBER(AB$5)),IF(AB$7=1,(AB35)/(SUM(AB$10:OFFSET(AB$10,$W$5-1,0,1,1))),(1/AB35)/SUM(1/AB$10:OFFSET(AB$10,$W$5-1,0,1,1))),"")</f>
        <v>3.1388452612578811E-2</v>
      </c>
      <c r="AC91" s="202">
        <f ca="1">IF(AND(ISNUMBER($V91),ISNUMBER(AC$5)),IF(AC$7=1,(AC35)/(SUM(AC$10:OFFSET(AC$10,$W$5-1,0,1,1))),(1/AC35)/SUM(1/AC$10:OFFSET(AC$10,$W$5-1,0,1,1))),"")</f>
        <v>2.1991521341169665E-2</v>
      </c>
    </row>
    <row r="92" spans="1:29" ht="14.25" customHeight="1">
      <c r="A92" s="199"/>
      <c r="B92" s="197">
        <v>27</v>
      </c>
      <c r="C92" s="198" t="s">
        <v>83</v>
      </c>
      <c r="D92" s="202">
        <f ca="1">IF(AND(ISNUMBER($B92),ISNUMBER(D$5)),IF(D$7=1,(D36)/(SUM(D$10:OFFSET(D$10,$C$5-1,0,1,1))),(1/D36)/SUM(1/D$10:OFFSET(D$10,$C$5-1,0,1,1))),"")</f>
        <v>2.3464672929276141E-2</v>
      </c>
      <c r="E92" s="202">
        <f ca="1">IF(AND(ISNUMBER($B92),ISNUMBER(E$5)),IF(E$7=1,(E36)/(SUM(E$10:OFFSET(E$10,$C$5-1,0,1,1))),(1/E36)/SUM(1/E$10:OFFSET(E$10,$C$5-1,0,1,1))),"")</f>
        <v>2.5543353572957853E-2</v>
      </c>
      <c r="F92" s="202">
        <f ca="1">IF(AND(ISNUMBER($B92),ISNUMBER(F$5)),IF(F$7=1,(F36)/(SUM(F$10:OFFSET(F$10,$C$5-1,0,1,1))),(1/F36)/SUM(1/F$10:OFFSET(F$10,$C$5-1,0,1,1))),"")</f>
        <v>2.2921721363810495E-2</v>
      </c>
      <c r="G92" s="202">
        <f ca="1">IF(AND(ISNUMBER($B92),ISNUMBER(G$5)),IF(G$7=1,(G36)/(SUM(G$10:OFFSET(G$10,$C$5-1,0,1,1))),(1/G36)/SUM(1/G$10:OFFSET(G$10,$C$5-1,0,1,1))),"")</f>
        <v>2.0204603580562669E-2</v>
      </c>
      <c r="H92" s="202">
        <f ca="1">IF(AND(ISNUMBER($B92),ISNUMBER(H$5)),IF(H$7=1,(H36)/(SUM(H$10:OFFSET(H$10,$C$5-1,0,1,1))),(1/H36)/SUM(1/H$10:OFFSET(H$10,$C$5-1,0,1,1))),"")</f>
        <v>2.4931273106455591E-2</v>
      </c>
      <c r="I92" s="202">
        <f ca="1">IF(AND(ISNUMBER($B92),ISNUMBER(I$5)),IF(I$7=1,(I36)/(SUM(I$10:OFFSET(I$10,$C$5-1,0,1,1))),(1/I36)/SUM(1/I$10:OFFSET(I$10,$C$5-1,0,1,1))),"")</f>
        <v>1.7227392030541636E-2</v>
      </c>
      <c r="J92" s="187"/>
      <c r="K92" s="199"/>
      <c r="L92" s="197">
        <v>27</v>
      </c>
      <c r="M92" s="198" t="s">
        <v>83</v>
      </c>
      <c r="N92" s="202">
        <f ca="1">IF(AND(ISNUMBER($L92),ISNUMBER(N$5)),IF(N$7=1,(N36)/(SUM(N$10:OFFSET(N$10,$M$5-1,0,1,1))),(1/N36)/SUM(1/N$10:OFFSET(N$10,$M$5-1,0,1,1))),"")</f>
        <v>2.6181887818839282E-2</v>
      </c>
      <c r="O92" s="202">
        <f ca="1">IF(AND(ISNUMBER($L92),ISNUMBER(O$5)),IF(O$7=1,(O36)/(SUM(O$10:OFFSET(O$10,$M$5-1,0,1,1))),(1/O36)/SUM(1/O$10:OFFSET(O$10,$M$5-1,0,1,1))),"")</f>
        <v>2.8082895036414746E-2</v>
      </c>
      <c r="P92" s="202">
        <f ca="1">IF(AND(ISNUMBER($L92),ISNUMBER(P$5)),IF(P$7=1,(P36)/(SUM(P$10:OFFSET(P$10,$M$5-1,0,1,1))),(1/P36)/SUM(1/P$10:OFFSET(P$10,$M$5-1,0,1,1))),"")</f>
        <v>1.9740943409295563E-2</v>
      </c>
      <c r="Q92" s="202">
        <f ca="1">IF(AND(ISNUMBER($L92),ISNUMBER(Q$5)),IF(Q$7=1,(Q36)/(SUM(Q$10:OFFSET(Q$10,$M$5-1,0,1,1))),(1/Q36)/SUM(1/Q$10:OFFSET(Q$10,$M$5-1,0,1,1))),"")</f>
        <v>1.8516348294855271E-2</v>
      </c>
      <c r="R92" s="202">
        <f ca="1">IF(AND(ISNUMBER($L92),ISNUMBER(R$5)),IF(R$7=1,(R36)/(SUM(R$10:OFFSET(R$10,$M$5-1,0,1,1))),(1/R36)/SUM(1/R$10:OFFSET(R$10,$M$5-1,0,1,1))),"")</f>
        <v>2.4395900004638007E-2</v>
      </c>
      <c r="S92" s="202">
        <f ca="1">IF(AND(ISNUMBER($L92),ISNUMBER(S$5)),IF(S$7=1,(S36)/(SUM(S$10:OFFSET(S$10,$M$5-1,0,1,1))),(1/S36)/SUM(1/S$10:OFFSET(S$10,$M$5-1,0,1,1))),"")</f>
        <v>1.780069062788775E-2</v>
      </c>
      <c r="T92" s="187"/>
      <c r="U92" s="199"/>
      <c r="V92" s="197">
        <v>27</v>
      </c>
      <c r="W92" s="198" t="s">
        <v>83</v>
      </c>
      <c r="X92" s="202">
        <f ca="1">IF(AND(ISNUMBER($V92),ISNUMBER(X$5)),IF(X$7=1,(X36)/(SUM(X$10:OFFSET(X$10,$W$5-1,0,1,1))),(1/X36)/SUM(1/X$10:OFFSET(X$10,$W$5-1,0,1,1))),"")</f>
        <v>2.474892218443886E-2</v>
      </c>
      <c r="Y92" s="202">
        <f ca="1">IF(AND(ISNUMBER($V92),ISNUMBER(Y$5)),IF(Y$7=1,(Y36)/(SUM(Y$10:OFFSET(Y$10,$W$5-1,0,1,1))),(1/Y36)/SUM(1/Y$10:OFFSET(Y$10,$W$5-1,0,1,1))),"")</f>
        <v>2.6843178703927901E-2</v>
      </c>
      <c r="Z92" s="202">
        <f ca="1">IF(AND(ISNUMBER($V92),ISNUMBER(Z$5)),IF(Z$7=1,(Z36)/(SUM(Z$10:OFFSET(Z$10,$W$5-1,0,1,1))),(1/Z36)/SUM(1/Z$10:OFFSET(Z$10,$W$5-1,0,1,1))),"")</f>
        <v>2.1396059669756464E-2</v>
      </c>
      <c r="AA92" s="202">
        <f ca="1">IF(AND(ISNUMBER($V92),ISNUMBER(AA$5)),IF(AA$7=1,(AA36)/(SUM(AA$10:OFFSET(AA$10,$W$5-1,0,1,1))),(1/AA36)/SUM(1/AA$10:OFFSET(AA$10,$W$5-1,0,1,1))),"")</f>
        <v>1.9323671497584544E-2</v>
      </c>
      <c r="AB92" s="202">
        <f ca="1">IF(AND(ISNUMBER($V92),ISNUMBER(AB$5)),IF(AB$7=1,(AB36)/(SUM(AB$10:OFFSET(AB$10,$W$5-1,0,1,1))),(1/AB36)/SUM(1/AB$10:OFFSET(AB$10,$W$5-1,0,1,1))),"")</f>
        <v>2.466068121615602E-2</v>
      </c>
      <c r="AC92" s="202">
        <f ca="1">IF(AND(ISNUMBER($V92),ISNUMBER(AC$5)),IF(AC$7=1,(AC36)/(SUM(AC$10:OFFSET(AC$10,$W$5-1,0,1,1))),(1/AC36)/SUM(1/AC$10:OFFSET(AC$10,$W$5-1,0,1,1))),"")</f>
        <v>1.7511320936506404E-2</v>
      </c>
    </row>
    <row r="93" spans="1:29" ht="14.25" customHeight="1">
      <c r="A93" s="187"/>
      <c r="B93" s="197">
        <v>28</v>
      </c>
      <c r="C93" s="198" t="s">
        <v>84</v>
      </c>
      <c r="D93" s="202">
        <f ca="1">IF(AND(ISNUMBER($B93),ISNUMBER(D$5)),IF(D$7=1,(D37)/(SUM(D$10:OFFSET(D$10,$C$5-1,0,1,1))),(1/D37)/SUM(1/D$10:OFFSET(D$10,$C$5-1,0,1,1))),"")</f>
        <v>2.3196505238655844E-2</v>
      </c>
      <c r="E93" s="202">
        <f ca="1">IF(AND(ISNUMBER($B93),ISNUMBER(E$5)),IF(E$7=1,(E37)/(SUM(E$10:OFFSET(E$10,$C$5-1,0,1,1))),(1/E37)/SUM(1/E$10:OFFSET(E$10,$C$5-1,0,1,1))),"")</f>
        <v>1.3654083546272015E-2</v>
      </c>
      <c r="F93" s="202">
        <f ca="1">IF(AND(ISNUMBER($B93),ISNUMBER(F$5)),IF(F$7=1,(F37)/(SUM(F$10:OFFSET(F$10,$C$5-1,0,1,1))),(1/F37)/SUM(1/F$10:OFFSET(F$10,$C$5-1,0,1,1))),"")</f>
        <v>1.5004469416421912E-2</v>
      </c>
      <c r="G93" s="202">
        <f ca="1">IF(AND(ISNUMBER($B93),ISNUMBER(G$5)),IF(G$7=1,(G37)/(SUM(G$10:OFFSET(G$10,$C$5-1,0,1,1))),(1/G37)/SUM(1/G$10:OFFSET(G$10,$C$5-1,0,1,1))),"")</f>
        <v>2.5447570332480827E-2</v>
      </c>
      <c r="H93" s="202">
        <f ca="1">IF(AND(ISNUMBER($B93),ISNUMBER(H$5)),IF(H$7=1,(H37)/(SUM(H$10:OFFSET(H$10,$C$5-1,0,1,1))),(1/H37)/SUM(1/H$10:OFFSET(H$10,$C$5-1,0,1,1))),"")</f>
        <v>2.2703573798464313E-2</v>
      </c>
      <c r="I93" s="202">
        <f ca="1">IF(AND(ISNUMBER($B93),ISNUMBER(I$5)),IF(I$7=1,(I37)/(SUM(I$10:OFFSET(I$10,$C$5-1,0,1,1))),(1/I37)/SUM(1/I$10:OFFSET(I$10,$C$5-1,0,1,1))),"")</f>
        <v>2.0615604867573373E-2</v>
      </c>
      <c r="J93" s="187"/>
      <c r="K93" s="187"/>
      <c r="L93" s="197">
        <v>28</v>
      </c>
      <c r="M93" s="198" t="s">
        <v>84</v>
      </c>
      <c r="N93" s="202">
        <f ca="1">IF(AND(ISNUMBER($L93),ISNUMBER(N$5)),IF(N$7=1,(N37)/(SUM(N$10:OFFSET(N$10,$M$5-1,0,1,1))),(1/N37)/SUM(1/N$10:OFFSET(N$10,$M$5-1,0,1,1))),"")</f>
        <v>2.5882666243766835E-2</v>
      </c>
      <c r="O93" s="202">
        <f ca="1">IF(AND(ISNUMBER($L93),ISNUMBER(O$5)),IF(O$7=1,(O37)/(SUM(O$10:OFFSET(O$10,$M$5-1,0,1,1))),(1/O37)/SUM(1/O$10:OFFSET(O$10,$M$5-1,0,1,1))),"")</f>
        <v>9.3904948702207038E-3</v>
      </c>
      <c r="P93" s="202">
        <f ca="1">IF(AND(ISNUMBER($L93),ISNUMBER(P$5)),IF(P$7=1,(P37)/(SUM(P$10:OFFSET(P$10,$M$5-1,0,1,1))),(1/P37)/SUM(1/P$10:OFFSET(P$10,$M$5-1,0,1,1))),"")</f>
        <v>1.7247350557595069E-2</v>
      </c>
      <c r="Q93" s="202">
        <f ca="1">IF(AND(ISNUMBER($L93),ISNUMBER(Q$5)),IF(Q$7=1,(Q37)/(SUM(Q$10:OFFSET(Q$10,$M$5-1,0,1,1))),(1/Q37)/SUM(1/Q$10:OFFSET(Q$10,$M$5-1,0,1,1))),"")</f>
        <v>2.613383335286535E-2</v>
      </c>
      <c r="R93" s="202">
        <f ca="1">IF(AND(ISNUMBER($L93),ISNUMBER(R$5)),IF(R$7=1,(R37)/(SUM(R$10:OFFSET(R$10,$M$5-1,0,1,1))),(1/R37)/SUM(1/R$10:OFFSET(R$10,$M$5-1,0,1,1))),"")</f>
        <v>2.4071239738416586E-2</v>
      </c>
      <c r="S93" s="202">
        <f ca="1">IF(AND(ISNUMBER($L93),ISNUMBER(S$5)),IF(S$7=1,(S37)/(SUM(S$10:OFFSET(S$10,$M$5-1,0,1,1))),(1/S37)/SUM(1/S$10:OFFSET(S$10,$M$5-1,0,1,1))),"")</f>
        <v>2.1497008900345317E-2</v>
      </c>
      <c r="T93" s="187"/>
      <c r="U93" s="187"/>
      <c r="V93" s="197">
        <v>28</v>
      </c>
      <c r="W93" s="198" t="s">
        <v>84</v>
      </c>
      <c r="X93" s="202">
        <f ca="1">IF(AND(ISNUMBER($V93),ISNUMBER(X$5)),IF(X$7=1,(X37)/(SUM(X$10:OFFSET(X$10,$W$5-1,0,1,1))),(1/X37)/SUM(1/X$10:OFFSET(X$10,$W$5-1,0,1,1))),"")</f>
        <v>2.4466077359473846E-2</v>
      </c>
      <c r="Y93" s="202">
        <f ca="1">IF(AND(ISNUMBER($V93),ISNUMBER(Y$5)),IF(Y$7=1,(Y37)/(SUM(Y$10:OFFSET(Y$10,$W$5-1,0,1,1))),(1/Y37)/SUM(1/Y$10:OFFSET(Y$10,$W$5-1,0,1,1))),"")</f>
        <v>1.1471831439347564E-2</v>
      </c>
      <c r="Z93" s="202">
        <f ca="1">IF(AND(ISNUMBER($V93),ISNUMBER(Z$5)),IF(Z$7=1,(Z37)/(SUM(Z$10:OFFSET(Z$10,$W$5-1,0,1,1))),(1/Z37)/SUM(1/Z$10:OFFSET(Z$10,$W$5-1,0,1,1))),"")</f>
        <v>1.6080268447456719E-2</v>
      </c>
      <c r="AA93" s="202">
        <f ca="1">IF(AND(ISNUMBER($V93),ISNUMBER(AA$5)),IF(AA$7=1,(AA37)/(SUM(AA$10:OFFSET(AA$10,$W$5-1,0,1,1))),(1/AA37)/SUM(1/AA$10:OFFSET(AA$10,$W$5-1,0,1,1))),"")</f>
        <v>2.5805662569559108E-2</v>
      </c>
      <c r="AB93" s="202">
        <f ca="1">IF(AND(ISNUMBER($V93),ISNUMBER(AB$5)),IF(AB$7=1,(AB37)/(SUM(AB$10:OFFSET(AB$10,$W$5-1,0,1,1))),(1/AB37)/SUM(1/AB$10:OFFSET(AB$10,$W$5-1,0,1,1))),"")</f>
        <v>2.3394828758292498E-2</v>
      </c>
      <c r="AC93" s="202">
        <f ca="1">IF(AND(ISNUMBER($V93),ISNUMBER(AC$5)),IF(AC$7=1,(AC37)/(SUM(AC$10:OFFSET(AC$10,$W$5-1,0,1,1))),(1/AC37)/SUM(1/AC$10:OFFSET(AC$10,$W$5-1,0,1,1))),"")</f>
        <v>2.1052124482127368E-2</v>
      </c>
    </row>
    <row r="94" spans="1:29" ht="14.25" customHeight="1">
      <c r="A94" s="187"/>
      <c r="B94" s="197">
        <v>29</v>
      </c>
      <c r="C94" s="198" t="s">
        <v>85</v>
      </c>
      <c r="D94" s="202">
        <f ca="1">IF(AND(ISNUMBER($B94),ISNUMBER(D$5)),IF(D$7=1,(D38)/(SUM(D$10:OFFSET(D$10,$C$5-1,0,1,1))),(1/D38)/SUM(1/D$10:OFFSET(D$10,$C$5-1,0,1,1))),"")</f>
        <v>1.8637654498110764E-2</v>
      </c>
      <c r="E94" s="202">
        <f ca="1">IF(AND(ISNUMBER($B94),ISNUMBER(E$5)),IF(E$7=1,(E38)/(SUM(E$10:OFFSET(E$10,$C$5-1,0,1,1))),(1/E38)/SUM(1/E$10:OFFSET(E$10,$C$5-1,0,1,1))),"")</f>
        <v>2.2849690832536844E-2</v>
      </c>
      <c r="F94" s="202">
        <f ca="1">IF(AND(ISNUMBER($B94),ISNUMBER(F$5)),IF(F$7=1,(F38)/(SUM(F$10:OFFSET(F$10,$C$5-1,0,1,1))),(1/F38)/SUM(1/F$10:OFFSET(F$10,$C$5-1,0,1,1))),"")</f>
        <v>2.1133954795045332E-2</v>
      </c>
      <c r="G94" s="202">
        <f ca="1">IF(AND(ISNUMBER($B94),ISNUMBER(G$5)),IF(G$7=1,(G38)/(SUM(G$10:OFFSET(G$10,$C$5-1,0,1,1))),(1/G38)/SUM(1/G$10:OFFSET(G$10,$C$5-1,0,1,1))),"")</f>
        <v>1.8542199488491055E-2</v>
      </c>
      <c r="H94" s="202">
        <f ca="1">IF(AND(ISNUMBER($B94),ISNUMBER(H$5)),IF(H$7=1,(H38)/(SUM(H$10:OFFSET(H$10,$C$5-1,0,1,1))),(1/H38)/SUM(1/H$10:OFFSET(H$10,$C$5-1,0,1,1))),"")</f>
        <v>2.7585553132998392E-2</v>
      </c>
      <c r="I94" s="202">
        <f ca="1">IF(AND(ISNUMBER($B94),ISNUMBER(I$5)),IF(I$7=1,(I38)/(SUM(I$10:OFFSET(I$10,$C$5-1,0,1,1))),(1/I38)/SUM(1/I$10:OFFSET(I$10,$C$5-1,0,1,1))),"")</f>
        <v>1.8659031257456455E-2</v>
      </c>
      <c r="J94" s="187"/>
      <c r="K94" s="187"/>
      <c r="L94" s="197">
        <v>29</v>
      </c>
      <c r="M94" s="198" t="s">
        <v>85</v>
      </c>
      <c r="N94" s="202">
        <f ca="1">IF(AND(ISNUMBER($L94),ISNUMBER(N$5)),IF(N$7=1,(N38)/(SUM(N$10:OFFSET(N$10,$M$5-1,0,1,1))),(1/N38)/SUM(1/N$10:OFFSET(N$10,$M$5-1,0,1,1))),"")</f>
        <v>1.5709132691303571E-2</v>
      </c>
      <c r="O94" s="202">
        <f ca="1">IF(AND(ISNUMBER($L94),ISNUMBER(O$5)),IF(O$7=1,(O38)/(SUM(O$10:OFFSET(O$10,$M$5-1,0,1,1))),(1/O38)/SUM(1/O$10:OFFSET(O$10,$M$5-1,0,1,1))),"")</f>
        <v>2.2235983136088648E-2</v>
      </c>
      <c r="P94" s="202">
        <f ca="1">IF(AND(ISNUMBER($L94),ISNUMBER(P$5)),IF(P$7=1,(P38)/(SUM(P$10:OFFSET(P$10,$M$5-1,0,1,1))),(1/P38)/SUM(1/P$10:OFFSET(P$10,$M$5-1,0,1,1))),"")</f>
        <v>2.2303802729098848E-2</v>
      </c>
      <c r="Q94" s="202">
        <f ca="1">IF(AND(ISNUMBER($L94),ISNUMBER(Q$5)),IF(Q$7=1,(Q38)/(SUM(Q$10:OFFSET(Q$10,$M$5-1,0,1,1))),(1/Q38)/SUM(1/Q$10:OFFSET(Q$10,$M$5-1,0,1,1))),"")</f>
        <v>2.0274229462088365E-2</v>
      </c>
      <c r="R94" s="202">
        <f ca="1">IF(AND(ISNUMBER($L94),ISNUMBER(R$5)),IF(R$7=1,(R38)/(SUM(R$10:OFFSET(R$10,$M$5-1,0,1,1))),(1/R38)/SUM(1/R$10:OFFSET(R$10,$M$5-1,0,1,1))),"")</f>
        <v>2.6019201335745097E-2</v>
      </c>
      <c r="S94" s="202">
        <f ca="1">IF(AND(ISNUMBER($L94),ISNUMBER(S$5)),IF(S$7=1,(S38)/(SUM(S$10:OFFSET(S$10,$M$5-1,0,1,1))),(1/S38)/SUM(1/S$10:OFFSET(S$10,$M$5-1,0,1,1))),"")</f>
        <v>1.5903895724916104E-2</v>
      </c>
      <c r="T94" s="187"/>
      <c r="U94" s="187"/>
      <c r="V94" s="197">
        <v>29</v>
      </c>
      <c r="W94" s="198" t="s">
        <v>85</v>
      </c>
      <c r="X94" s="202">
        <f ca="1">IF(AND(ISNUMBER($V94),ISNUMBER(X$5)),IF(X$7=1,(X38)/(SUM(X$10:OFFSET(X$10,$W$5-1,0,1,1))),(1/X38)/SUM(1/X$10:OFFSET(X$10,$W$5-1,0,1,1))),"")</f>
        <v>1.7253534322865947E-2</v>
      </c>
      <c r="Y94" s="202">
        <f ca="1">IF(AND(ISNUMBER($V94),ISNUMBER(Y$5)),IF(Y$7=1,(Y38)/(SUM(Y$10:OFFSET(Y$10,$W$5-1,0,1,1))),(1/Y38)/SUM(1/Y$10:OFFSET(Y$10,$W$5-1,0,1,1))),"")</f>
        <v>2.2535574013263796E-2</v>
      </c>
      <c r="Z94" s="202">
        <f ca="1">IF(AND(ISNUMBER($V94),ISNUMBER(Z$5)),IF(Z$7=1,(Z38)/(SUM(Z$10:OFFSET(Z$10,$W$5-1,0,1,1))),(1/Z38)/SUM(1/Z$10:OFFSET(Z$10,$W$5-1,0,1,1))),"")</f>
        <v>2.1695072926010826E-2</v>
      </c>
      <c r="AA94" s="202">
        <f ca="1">IF(AND(ISNUMBER($V94),ISNUMBER(AA$5)),IF(AA$7=1,(AA38)/(SUM(AA$10:OFFSET(AA$10,$W$5-1,0,1,1))),(1/AA38)/SUM(1/AA$10:OFFSET(AA$10,$W$5-1,0,1,1))),"")</f>
        <v>1.9445973215923687E-2</v>
      </c>
      <c r="AB94" s="202">
        <f ca="1">IF(AND(ISNUMBER($V94),ISNUMBER(AB$5)),IF(AB$7=1,(AB38)/(SUM(AB$10:OFFSET(AB$10,$W$5-1,0,1,1))),(1/AB38)/SUM(1/AB$10:OFFSET(AB$10,$W$5-1,0,1,1))),"")</f>
        <v>2.6793877024777882E-2</v>
      </c>
      <c r="AC94" s="202">
        <f ca="1">IF(AND(ISNUMBER($V94),ISNUMBER(AC$5)),IF(AC$7=1,(AC38)/(SUM(AC$10:OFFSET(AC$10,$W$5-1,0,1,1))),(1/AC38)/SUM(1/AC$10:OFFSET(AC$10,$W$5-1,0,1,1))),"")</f>
        <v>1.7294537045958184E-2</v>
      </c>
    </row>
    <row r="95" spans="1:29" ht="14.25" customHeight="1">
      <c r="A95" s="187"/>
      <c r="B95" s="197">
        <v>30</v>
      </c>
      <c r="C95" s="198" t="s">
        <v>86</v>
      </c>
      <c r="D95" s="202">
        <f ca="1">IF(AND(ISNUMBER($B95),ISNUMBER(D$5)),IF(D$7=1,(D39)/(SUM(D$10:OFFSET(D$10,$C$5-1,0,1,1))),(1/D39)/SUM(1/D$10:OFFSET(D$10,$C$5-1,0,1,1))),"")</f>
        <v>2.547593060892838E-3</v>
      </c>
      <c r="E95" s="202">
        <f ca="1">IF(AND(ISNUMBER($B95),ISNUMBER(E$5)),IF(E$7=1,(E39)/(SUM(E$10:OFFSET(E$10,$C$5-1,0,1,1))),(1/E39)/SUM(1/E$10:OFFSET(E$10,$C$5-1,0,1,1))),"")</f>
        <v>2.2849690832536844E-2</v>
      </c>
      <c r="F95" s="202">
        <f ca="1">IF(AND(ISNUMBER($B95),ISNUMBER(F$5)),IF(F$7=1,(F39)/(SUM(F$10:OFFSET(F$10,$C$5-1,0,1,1))),(1/F39)/SUM(1/F$10:OFFSET(F$10,$C$5-1,0,1,1))),"")</f>
        <v>1.9793129868471458E-2</v>
      </c>
      <c r="G95" s="202">
        <f ca="1">IF(AND(ISNUMBER($B95),ISNUMBER(G$5)),IF(G$7=1,(G39)/(SUM(G$10:OFFSET(G$10,$C$5-1,0,1,1))),(1/G39)/SUM(1/G$10:OFFSET(G$10,$C$5-1,0,1,1))),"")</f>
        <v>2.6854219948849116E-2</v>
      </c>
      <c r="H95" s="202">
        <f ca="1">IF(AND(ISNUMBER($B95),ISNUMBER(H$5)),IF(H$7=1,(H39)/(SUM(H$10:OFFSET(H$10,$C$5-1,0,1,1))),(1/H39)/SUM(1/H$10:OFFSET(H$10,$C$5-1,0,1,1))),"")</f>
        <v>1.5736088728789462E-2</v>
      </c>
      <c r="I95" s="202">
        <f ca="1">IF(AND(ISNUMBER($B95),ISNUMBER(I$5)),IF(I$7=1,(I39)/(SUM(I$10:OFFSET(I$10,$C$5-1,0,1,1))),(1/I39)/SUM(1/I$10:OFFSET(I$10,$C$5-1,0,1,1))),"")</f>
        <v>1.9470293486041516E-2</v>
      </c>
      <c r="J95" s="187"/>
      <c r="K95" s="187"/>
      <c r="L95" s="197">
        <v>30</v>
      </c>
      <c r="M95" s="198" t="s">
        <v>86</v>
      </c>
      <c r="N95" s="202">
        <f ca="1">IF(AND(ISNUMBER($L95),ISNUMBER(N$5)),IF(N$7=1,(N39)/(SUM(N$10:OFFSET(N$10,$M$5-1,0,1,1))),(1/N39)/SUM(1/N$10:OFFSET(N$10,$M$5-1,0,1,1))),"")</f>
        <v>2.8426049631882647E-3</v>
      </c>
      <c r="O95" s="202">
        <f ca="1">IF(AND(ISNUMBER($L95),ISNUMBER(O$5)),IF(O$7=1,(O39)/(SUM(O$10:OFFSET(O$10,$M$5-1,0,1,1))),(1/O39)/SUM(1/O$10:OFFSET(O$10,$M$5-1,0,1,1))),"")</f>
        <v>2.3653416324046488E-2</v>
      </c>
      <c r="P95" s="202">
        <f ca="1">IF(AND(ISNUMBER($L95),ISNUMBER(P$5)),IF(P$7=1,(P39)/(SUM(P$10:OFFSET(P$10,$M$5-1,0,1,1))),(1/P39)/SUM(1/P$10:OFFSET(P$10,$M$5-1,0,1,1))),"")</f>
        <v>1.9740943409295563E-2</v>
      </c>
      <c r="Q95" s="202">
        <f ca="1">IF(AND(ISNUMBER($L95),ISNUMBER(Q$5)),IF(Q$7=1,(Q39)/(SUM(Q$10:OFFSET(Q$10,$M$5-1,0,1,1))),(1/Q39)/SUM(1/Q$10:OFFSET(Q$10,$M$5-1,0,1,1))),"")</f>
        <v>2.4610336341263334E-2</v>
      </c>
      <c r="R95" s="202">
        <f ca="1">IF(AND(ISNUMBER($L95),ISNUMBER(R$5)),IF(R$7=1,(R39)/(SUM(R$10:OFFSET(R$10,$M$5-1,0,1,1))),(1/R39)/SUM(1/R$10:OFFSET(R$10,$M$5-1,0,1,1))),"")</f>
        <v>1.7531654375956586E-2</v>
      </c>
      <c r="S95" s="202">
        <f ca="1">IF(AND(ISNUMBER($L95),ISNUMBER(S$5)),IF(S$7=1,(S39)/(SUM(S$10:OFFSET(S$10,$M$5-1,0,1,1))),(1/S39)/SUM(1/S$10:OFFSET(S$10,$M$5-1,0,1,1))),"")</f>
        <v>2.0086571664802294E-2</v>
      </c>
      <c r="T95" s="187"/>
      <c r="U95" s="187"/>
      <c r="V95" s="197">
        <v>30</v>
      </c>
      <c r="W95" s="198" t="s">
        <v>86</v>
      </c>
      <c r="X95" s="202">
        <f ca="1">IF(AND(ISNUMBER($V95),ISNUMBER(X$5)),IF(X$7=1,(X39)/(SUM(X$10:OFFSET(X$10,$W$5-1,0,1,1))),(1/X39)/SUM(1/X$10:OFFSET(X$10,$W$5-1,0,1,1))),"")</f>
        <v>2.6870258371676477E-3</v>
      </c>
      <c r="Y95" s="202">
        <f ca="1">IF(AND(ISNUMBER($V95),ISNUMBER(Y$5)),IF(Y$7=1,(Y39)/(SUM(Y$10:OFFSET(Y$10,$W$5-1,0,1,1))),(1/Y39)/SUM(1/Y$10:OFFSET(Y$10,$W$5-1,0,1,1))),"")</f>
        <v>2.3261065329586168E-2</v>
      </c>
      <c r="Z95" s="202">
        <f ca="1">IF(AND(ISNUMBER($V95),ISNUMBER(Z$5)),IF(Z$7=1,(Z39)/(SUM(Z$10:OFFSET(Z$10,$W$5-1,0,1,1))),(1/Z39)/SUM(1/Z$10:OFFSET(Z$10,$W$5-1,0,1,1))),"")</f>
        <v>1.9768098607927168E-2</v>
      </c>
      <c r="AA95" s="202">
        <f ca="1">IF(AND(ISNUMBER($V95),ISNUMBER(AA$5)),IF(AA$7=1,(AA39)/(SUM(AA$10:OFFSET(AA$10,$W$5-1,0,1,1))),(1/AA39)/SUM(1/AA$10:OFFSET(AA$10,$W$5-1,0,1,1))),"")</f>
        <v>2.5683360851219965E-2</v>
      </c>
      <c r="AB95" s="202">
        <f ca="1">IF(AND(ISNUMBER($V95),ISNUMBER(AB$5)),IF(AB$7=1,(AB39)/(SUM(AB$10:OFFSET(AB$10,$W$5-1,0,1,1))),(1/AB39)/SUM(1/AB$10:OFFSET(AB$10,$W$5-1,0,1,1))),"")</f>
        <v>1.6643615649687048E-2</v>
      </c>
      <c r="AC95" s="202">
        <f ca="1">IF(AND(ISNUMBER($V95),ISNUMBER(AC$5)),IF(AC$7=1,(AC39)/(SUM(AC$10:OFFSET(AC$10,$W$5-1,0,1,1))),(1/AC39)/SUM(1/AC$10:OFFSET(AC$10,$W$5-1,0,1,1))),"")</f>
        <v>1.9775508237787832E-2</v>
      </c>
    </row>
    <row r="96" spans="1:29" ht="14.25" customHeight="1">
      <c r="A96" s="187"/>
      <c r="B96" s="197">
        <v>31</v>
      </c>
      <c r="C96" s="198" t="s">
        <v>87</v>
      </c>
      <c r="D96" s="202">
        <f ca="1">IF(AND(ISNUMBER($B96),ISNUMBER(D$5)),IF(D$7=1,(D40)/(SUM(D$10:OFFSET(D$10,$C$5-1,0,1,1))),(1/D40)/SUM(1/D$10:OFFSET(D$10,$C$5-1,0,1,1))),"")</f>
        <v>3.660488976967078E-2</v>
      </c>
      <c r="E96" s="202">
        <f ca="1">IF(AND(ISNUMBER($B96),ISNUMBER(E$5)),IF(E$7=1,(E40)/(SUM(E$10:OFFSET(E$10,$C$5-1,0,1,1))),(1/E40)/SUM(1/E$10:OFFSET(E$10,$C$5-1,0,1,1))),"")</f>
        <v>3.325280210588695E-2</v>
      </c>
      <c r="F96" s="202">
        <f ca="1">IF(AND(ISNUMBER($B96),ISNUMBER(F$5)),IF(F$7=1,(F40)/(SUM(F$10:OFFSET(F$10,$C$5-1,0,1,1))),(1/F40)/SUM(1/F$10:OFFSET(F$10,$C$5-1,0,1,1))),"")</f>
        <v>1.9090793002170859E-2</v>
      </c>
      <c r="G96" s="202">
        <f ca="1">IF(AND(ISNUMBER($B96),ISNUMBER(G$5)),IF(G$7=1,(G40)/(SUM(G$10:OFFSET(G$10,$C$5-1,0,1,1))),(1/G40)/SUM(1/G$10:OFFSET(G$10,$C$5-1,0,1,1))),"")</f>
        <v>2.6470588235294128E-2</v>
      </c>
      <c r="H96" s="202">
        <f ca="1">IF(AND(ISNUMBER($B96),ISNUMBER(H$5)),IF(H$7=1,(H40)/(SUM(H$10:OFFSET(H$10,$C$5-1,0,1,1))),(1/H40)/SUM(1/H$10:OFFSET(H$10,$C$5-1,0,1,1))),"")</f>
        <v>2.4267703099819894E-2</v>
      </c>
      <c r="I96" s="202">
        <f ca="1">IF(AND(ISNUMBER($B96),ISNUMBER(I$5)),IF(I$7=1,(I40)/(SUM(I$10:OFFSET(I$10,$C$5-1,0,1,1))),(1/I40)/SUM(1/I$10:OFFSET(I$10,$C$5-1,0,1,1))),"")</f>
        <v>3.1018849916487713E-2</v>
      </c>
      <c r="J96" s="187"/>
      <c r="K96" s="187"/>
      <c r="L96" s="197">
        <v>31</v>
      </c>
      <c r="M96" s="198" t="s">
        <v>87</v>
      </c>
      <c r="N96" s="202">
        <f ca="1">IF(AND(ISNUMBER($L96),ISNUMBER(N$5)),IF(N$7=1,(N40)/(SUM(N$10:OFFSET(N$10,$M$5-1,0,1,1))),(1/N40)/SUM(1/N$10:OFFSET(N$10,$M$5-1,0,1,1))),"")</f>
        <v>4.0843744997389284E-2</v>
      </c>
      <c r="O96" s="202">
        <f ca="1">IF(AND(ISNUMBER($L96),ISNUMBER(O$5)),IF(O$7=1,(O40)/(SUM(O$10:OFFSET(O$10,$M$5-1,0,1,1))),(1/O40)/SUM(1/O$10:OFFSET(O$10,$M$5-1,0,1,1))),"")</f>
        <v>2.8525842907651575E-2</v>
      </c>
      <c r="P96" s="202">
        <f ca="1">IF(AND(ISNUMBER($L96),ISNUMBER(P$5)),IF(P$7=1,(P40)/(SUM(P$10:OFFSET(P$10,$M$5-1,0,1,1))),(1/P40)/SUM(1/P$10:OFFSET(P$10,$M$5-1,0,1,1))),"")</f>
        <v>2.4243263835977007E-2</v>
      </c>
      <c r="Q96" s="202">
        <f ca="1">IF(AND(ISNUMBER($L96),ISNUMBER(Q$5)),IF(Q$7=1,(Q40)/(SUM(Q$10:OFFSET(Q$10,$M$5-1,0,1,1))),(1/Q40)/SUM(1/Q$10:OFFSET(Q$10,$M$5-1,0,1,1))),"")</f>
        <v>2.7071369975389666E-2</v>
      </c>
      <c r="R96" s="202">
        <f ca="1">IF(AND(ISNUMBER($L96),ISNUMBER(R$5)),IF(R$7=1,(R40)/(SUM(R$10:OFFSET(R$10,$M$5-1,0,1,1))),(1/R40)/SUM(1/R$10:OFFSET(R$10,$M$5-1,0,1,1))),"")</f>
        <v>2.5277120727238998E-2</v>
      </c>
      <c r="S96" s="202">
        <f ca="1">IF(AND(ISNUMBER($L96),ISNUMBER(S$5)),IF(S$7=1,(S40)/(SUM(S$10:OFFSET(S$10,$M$5-1,0,1,1))),(1/S40)/SUM(1/S$10:OFFSET(S$10,$M$5-1,0,1,1))),"")</f>
        <v>3.2002334516803656E-2</v>
      </c>
      <c r="T96" s="187"/>
      <c r="U96" s="187"/>
      <c r="V96" s="197">
        <v>31</v>
      </c>
      <c r="W96" s="198" t="s">
        <v>87</v>
      </c>
      <c r="X96" s="202">
        <f ca="1">IF(AND(ISNUMBER($V96),ISNUMBER(X$5)),IF(X$7=1,(X40)/(SUM(X$10:OFFSET(X$10,$W$5-1,0,1,1))),(1/X40)/SUM(1/X$10:OFFSET(X$10,$W$5-1,0,1,1))),"")</f>
        <v>3.8608318607724623E-2</v>
      </c>
      <c r="Y96" s="202">
        <f ca="1">IF(AND(ISNUMBER($V96),ISNUMBER(Y$5)),IF(Y$7=1,(Y40)/(SUM(Y$10:OFFSET(Y$10,$W$5-1,0,1,1))),(1/Y40)/SUM(1/Y$10:OFFSET(Y$10,$W$5-1,0,1,1))),"")</f>
        <v>3.0833380943700965E-2</v>
      </c>
      <c r="Z96" s="202">
        <f ca="1">IF(AND(ISNUMBER($V96),ISNUMBER(Z$5)),IF(Z$7=1,(Z40)/(SUM(Z$10:OFFSET(Z$10,$W$5-1,0,1,1))),(1/Z40)/SUM(1/Z$10:OFFSET(Z$10,$W$5-1,0,1,1))),"")</f>
        <v>2.1562178145453331E-2</v>
      </c>
      <c r="AA96" s="202">
        <f ca="1">IF(AND(ISNUMBER($V96),ISNUMBER(AA$5)),IF(AA$7=1,(AA40)/(SUM(AA$10:OFFSET(AA$10,$W$5-1,0,1,1))),(1/AA40)/SUM(1/AA$10:OFFSET(AA$10,$W$5-1,0,1,1))),"")</f>
        <v>2.6784076316272245E-2</v>
      </c>
      <c r="AB96" s="202">
        <f ca="1">IF(AND(ISNUMBER($V96),ISNUMBER(AB$5)),IF(AB$7=1,(AB40)/(SUM(AB$10:OFFSET(AB$10,$W$5-1,0,1,1))),(1/AB40)/SUM(1/AB$10:OFFSET(AB$10,$W$5-1,0,1,1))),"")</f>
        <v>2.4777889777069309E-2</v>
      </c>
      <c r="AC96" s="202">
        <f ca="1">IF(AND(ISNUMBER($V96),ISNUMBER(AC$5)),IF(AC$7=1,(AC40)/(SUM(AC$10:OFFSET(AC$10,$W$5-1,0,1,1))),(1/AC40)/SUM(1/AC$10:OFFSET(AC$10,$W$5-1,0,1,1))),"")</f>
        <v>3.1505925426341647E-2</v>
      </c>
    </row>
    <row r="97" spans="1:29" ht="14.25" customHeight="1">
      <c r="A97" s="199"/>
      <c r="B97" s="197">
        <v>32</v>
      </c>
      <c r="C97" s="198" t="s">
        <v>88</v>
      </c>
      <c r="D97" s="202">
        <f ca="1">IF(AND(ISNUMBER($B97),ISNUMBER(D$5)),IF(D$7=1,(D41)/(SUM(D$10:OFFSET(D$10,$C$5-1,0,1,1))),(1/D41)/SUM(1/D$10:OFFSET(D$10,$C$5-1,0,1,1))),"")</f>
        <v>2.0246660641832556E-2</v>
      </c>
      <c r="E97" s="202">
        <f ca="1">IF(AND(ISNUMBER($B97),ISNUMBER(E$5)),IF(E$7=1,(E41)/(SUM(E$10:OFFSET(E$10,$C$5-1,0,1,1))),(1/E41)/SUM(1/E$10:OFFSET(E$10,$C$5-1,0,1,1))),"")</f>
        <v>2.2478151144202908E-2</v>
      </c>
      <c r="F97" s="202">
        <f ca="1">IF(AND(ISNUMBER($B97),ISNUMBER(F$5)),IF(F$7=1,(F41)/(SUM(F$10:OFFSET(F$10,$C$5-1,0,1,1))),(1/F41)/SUM(1/F$10:OFFSET(F$10,$C$5-1,0,1,1))),"")</f>
        <v>1.9282339420252842E-2</v>
      </c>
      <c r="G97" s="202">
        <f ca="1">IF(AND(ISNUMBER($B97),ISNUMBER(G$5)),IF(G$7=1,(G41)/(SUM(G$10:OFFSET(G$10,$C$5-1,0,1,1))),(1/G41)/SUM(1/G$10:OFFSET(G$10,$C$5-1,0,1,1))),"")</f>
        <v>3.0690537084398992E-2</v>
      </c>
      <c r="H97" s="202">
        <f ca="1">IF(AND(ISNUMBER($B97),ISNUMBER(H$5)),IF(H$7=1,(H41)/(SUM(H$10:OFFSET(H$10,$C$5-1,0,1,1))),(1/H41)/SUM(1/H$10:OFFSET(H$10,$C$5-1,0,1,1))),"")</f>
        <v>1.9433121622902647E-2</v>
      </c>
      <c r="I97" s="202">
        <f ca="1">IF(AND(ISNUMBER($B97),ISNUMBER(I$5)),IF(I$7=1,(I41)/(SUM(I$10:OFFSET(I$10,$C$5-1,0,1,1))),(1/I41)/SUM(1/I$10:OFFSET(I$10,$C$5-1,0,1,1))),"")</f>
        <v>2.0567883560009544E-2</v>
      </c>
      <c r="J97" s="187"/>
      <c r="K97" s="199"/>
      <c r="L97" s="197">
        <v>32</v>
      </c>
      <c r="M97" s="198" t="s">
        <v>88</v>
      </c>
      <c r="N97" s="202">
        <f ca="1">IF(AND(ISNUMBER($L97),ISNUMBER(N$5)),IF(N$7=1,(N41)/(SUM(N$10:OFFSET(N$10,$M$5-1,0,1,1))),(1/N41)/SUM(1/N$10:OFFSET(N$10,$M$5-1,0,1,1))),"")</f>
        <v>2.8725271206955099E-2</v>
      </c>
      <c r="O97" s="202">
        <f ca="1">IF(AND(ISNUMBER($L97),ISNUMBER(O$5)),IF(O$7=1,(O41)/(SUM(O$10:OFFSET(O$10,$M$5-1,0,1,1))),(1/O41)/SUM(1/O$10:OFFSET(O$10,$M$5-1,0,1,1))),"")</f>
        <v>2.5070849512004334E-2</v>
      </c>
      <c r="P97" s="202">
        <f ca="1">IF(AND(ISNUMBER($L97),ISNUMBER(P$5)),IF(P$7=1,(P41)/(SUM(P$10:OFFSET(P$10,$M$5-1,0,1,1))),(1/P41)/SUM(1/P$10:OFFSET(P$10,$M$5-1,0,1,1))),"")</f>
        <v>1.86326799196509E-2</v>
      </c>
      <c r="Q97" s="202">
        <f ca="1">IF(AND(ISNUMBER($L97),ISNUMBER(Q$5)),IF(Q$7=1,(Q41)/(SUM(Q$10:OFFSET(Q$10,$M$5-1,0,1,1))),(1/Q41)/SUM(1/Q$10:OFFSET(Q$10,$M$5-1,0,1,1))),"")</f>
        <v>2.8126098675729523E-2</v>
      </c>
      <c r="R97" s="202">
        <f ca="1">IF(AND(ISNUMBER($L97),ISNUMBER(R$5)),IF(R$7=1,(R41)/(SUM(R$10:OFFSET(R$10,$M$5-1,0,1,1))),(1/R41)/SUM(1/R$10:OFFSET(R$10,$M$5-1,0,1,1))),"")</f>
        <v>2.0221696581791199E-2</v>
      </c>
      <c r="S97" s="202">
        <f ca="1">IF(AND(ISNUMBER($L97),ISNUMBER(S$5)),IF(S$7=1,(S41)/(SUM(S$10:OFFSET(S$10,$M$5-1,0,1,1))),(1/S41)/SUM(1/S$10:OFFSET(S$10,$M$5-1,0,1,1))),"")</f>
        <v>1.9697485530859395E-2</v>
      </c>
      <c r="T97" s="187"/>
      <c r="U97" s="199"/>
      <c r="V97" s="197">
        <v>32</v>
      </c>
      <c r="W97" s="198" t="s">
        <v>88</v>
      </c>
      <c r="X97" s="202">
        <f ca="1">IF(AND(ISNUMBER($V97),ISNUMBER(X$5)),IF(X$7=1,(X41)/(SUM(X$10:OFFSET(X$10,$W$5-1,0,1,1))),(1/X41)/SUM(1/X$10:OFFSET(X$10,$W$5-1,0,1,1))),"")</f>
        <v>2.4253943740750079E-2</v>
      </c>
      <c r="Y97" s="202">
        <f ca="1">IF(AND(ISNUMBER($V97),ISNUMBER(Y$5)),IF(Y$7=1,(Y41)/(SUM(Y$10:OFFSET(Y$10,$W$5-1,0,1,1))),(1/Y41)/SUM(1/Y$10:OFFSET(Y$10,$W$5-1,0,1,1))),"")</f>
        <v>2.3805183816827953E-2</v>
      </c>
      <c r="Z97" s="202">
        <f ca="1">IF(AND(ISNUMBER($V97),ISNUMBER(Z$5)),IF(Z$7=1,(Z41)/(SUM(Z$10:OFFSET(Z$10,$W$5-1,0,1,1))),(1/Z41)/SUM(1/Z$10:OFFSET(Z$10,$W$5-1,0,1,1))),"")</f>
        <v>1.8970729924582205E-2</v>
      </c>
      <c r="AA97" s="202">
        <f ca="1">IF(AND(ISNUMBER($V97),ISNUMBER(AA$5)),IF(AA$7=1,(AA41)/(SUM(AA$10:OFFSET(AA$10,$W$5-1,0,1,1))),(1/AA41)/SUM(1/AA$10:OFFSET(AA$10,$W$5-1,0,1,1))),"")</f>
        <v>2.9352412401394246E-2</v>
      </c>
      <c r="AB97" s="202">
        <f ca="1">IF(AND(ISNUMBER($V97),ISNUMBER(AB$5)),IF(AB$7=1,(AB41)/(SUM(AB$10:OFFSET(AB$10,$W$5-1,0,1,1))),(1/AB41)/SUM(1/AB$10:OFFSET(AB$10,$W$5-1,0,1,1))),"")</f>
        <v>1.983168850652851E-2</v>
      </c>
      <c r="AC97" s="202">
        <f ca="1">IF(AND(ISNUMBER($V97),ISNUMBER(AC$5)),IF(AC$7=1,(AC41)/(SUM(AC$10:OFFSET(AC$10,$W$5-1,0,1,1))),(1/AC41)/SUM(1/AC$10:OFFSET(AC$10,$W$5-1,0,1,1))),"")</f>
        <v>2.0136814722034872E-2</v>
      </c>
    </row>
    <row r="98" spans="1:29" ht="14.25" customHeight="1">
      <c r="A98" s="199"/>
      <c r="B98" s="197">
        <v>33</v>
      </c>
      <c r="C98" s="198" t="s">
        <v>89</v>
      </c>
      <c r="D98" s="202">
        <f ca="1">IF(AND(ISNUMBER($B98),ISNUMBER(D$5)),IF(D$7=1,(D42)/(SUM(D$10:OFFSET(D$10,$C$5-1,0,1,1))),(1/D42)/SUM(1/D$10:OFFSET(D$10,$C$5-1,0,1,1))),"")</f>
        <v>1.6760480663768673E-2</v>
      </c>
      <c r="E98" s="202">
        <f ca="1">IF(AND(ISNUMBER($B98),ISNUMBER(E$5)),IF(E$7=1,(E42)/(SUM(E$10:OFFSET(E$10,$C$5-1,0,1,1))),(1/E42)/SUM(1/E$10:OFFSET(E$10,$C$5-1,0,1,1))),"")</f>
        <v>3.2881262417553014E-2</v>
      </c>
      <c r="F98" s="202">
        <f ca="1">IF(AND(ISNUMBER($B98),ISNUMBER(F$5)),IF(F$7=1,(F42)/(SUM(F$10:OFFSET(F$10,$C$5-1,0,1,1))),(1/F42)/SUM(1/F$10:OFFSET(F$10,$C$5-1,0,1,1))),"")</f>
        <v>1.7494572851487675E-2</v>
      </c>
      <c r="G98" s="202">
        <f ca="1">IF(AND(ISNUMBER($B98),ISNUMBER(G$5)),IF(G$7=1,(G42)/(SUM(G$10:OFFSET(G$10,$C$5-1,0,1,1))),(1/G42)/SUM(1/G$10:OFFSET(G$10,$C$5-1,0,1,1))),"")</f>
        <v>1.8414322250639395E-2</v>
      </c>
      <c r="H98" s="202">
        <f ca="1">IF(AND(ISNUMBER($B98),ISNUMBER(H$5)),IF(H$7=1,(H42)/(SUM(H$10:OFFSET(H$10,$C$5-1,0,1,1))),(1/H42)/SUM(1/H$10:OFFSET(H$10,$C$5-1,0,1,1))),"")</f>
        <v>1.9670110910986825E-2</v>
      </c>
      <c r="I98" s="202">
        <f ca="1">IF(AND(ISNUMBER($B98),ISNUMBER(I$5)),IF(I$7=1,(I42)/(SUM(I$10:OFFSET(I$10,$C$5-1,0,1,1))),(1/I42)/SUM(1/I$10:OFFSET(I$10,$C$5-1,0,1,1))),"")</f>
        <v>2.5721784776902887E-2</v>
      </c>
      <c r="J98" s="187"/>
      <c r="K98" s="199"/>
      <c r="L98" s="197">
        <v>33</v>
      </c>
      <c r="M98" s="198" t="s">
        <v>89</v>
      </c>
      <c r="N98" s="202">
        <f ca="1">IF(AND(ISNUMBER($L98),ISNUMBER(N$5)),IF(N$7=1,(N42)/(SUM(N$10:OFFSET(N$10,$M$5-1,0,1,1))),(1/N42)/SUM(1/N$10:OFFSET(N$10,$M$5-1,0,1,1))),"")</f>
        <v>1.3764192453332651E-2</v>
      </c>
      <c r="O98" s="202">
        <f ca="1">IF(AND(ISNUMBER($L98),ISNUMBER(O$5)),IF(O$7=1,(O42)/(SUM(O$10:OFFSET(O$10,$M$5-1,0,1,1))),(1/O42)/SUM(1/O$10:OFFSET(O$10,$M$5-1,0,1,1))),"")</f>
        <v>2.8171484610662111E-2</v>
      </c>
      <c r="P98" s="202">
        <f ca="1">IF(AND(ISNUMBER($L98),ISNUMBER(P$5)),IF(P$7=1,(P42)/(SUM(P$10:OFFSET(P$10,$M$5-1,0,1,1))),(1/P42)/SUM(1/P$10:OFFSET(P$10,$M$5-1,0,1,1))),"")</f>
        <v>2.154187157996814E-2</v>
      </c>
      <c r="Q98" s="202">
        <f ca="1">IF(AND(ISNUMBER($L98),ISNUMBER(Q$5)),IF(Q$7=1,(Q42)/(SUM(Q$10:OFFSET(Q$10,$M$5-1,0,1,1))),(1/Q42)/SUM(1/Q$10:OFFSET(Q$10,$M$5-1,0,1,1))),"")</f>
        <v>1.9688269073010665E-2</v>
      </c>
      <c r="R98" s="202">
        <f ca="1">IF(AND(ISNUMBER($L98),ISNUMBER(R$5)),IF(R$7=1,(R42)/(SUM(R$10:OFFSET(R$10,$M$5-1,0,1,1))),(1/R42)/SUM(1/R$10:OFFSET(R$10,$M$5-1,0,1,1))),"")</f>
        <v>1.8830295440842262E-2</v>
      </c>
      <c r="S98" s="202">
        <f ca="1">IF(AND(ISNUMBER($L98),ISNUMBER(S$5)),IF(S$7=1,(S42)/(SUM(S$10:OFFSET(S$10,$M$5-1,0,1,1))),(1/S42)/SUM(1/S$10:OFFSET(S$10,$M$5-1,0,1,1))),"")</f>
        <v>2.5387870239774332E-2</v>
      </c>
      <c r="T98" s="187"/>
      <c r="U98" s="199"/>
      <c r="V98" s="197">
        <v>33</v>
      </c>
      <c r="W98" s="198" t="s">
        <v>89</v>
      </c>
      <c r="X98" s="202">
        <f ca="1">IF(AND(ISNUMBER($V98),ISNUMBER(X$5)),IF(X$7=1,(X42)/(SUM(X$10:OFFSET(X$10,$W$5-1,0,1,1))),(1/X42)/SUM(1/X$10:OFFSET(X$10,$W$5-1,0,1,1))),"")</f>
        <v>1.5344331754352092E-2</v>
      </c>
      <c r="Y98" s="202">
        <f ca="1">IF(AND(ISNUMBER($V98),ISNUMBER(Y$5)),IF(Y$7=1,(Y42)/(SUM(Y$10:OFFSET(Y$10,$W$5-1,0,1,1))),(1/Y42)/SUM(1/Y$10:OFFSET(Y$10,$W$5-1,0,1,1))),"")</f>
        <v>3.0470635285539779E-2</v>
      </c>
      <c r="Z98" s="202">
        <f ca="1">IF(AND(ISNUMBER($V98),ISNUMBER(Z$5)),IF(Z$7=1,(Z42)/(SUM(Z$10:OFFSET(Z$10,$W$5-1,0,1,1))),(1/Z42)/SUM(1/Z$10:OFFSET(Z$10,$W$5-1,0,1,1))),"")</f>
        <v>1.9435861656533434E-2</v>
      </c>
      <c r="AA98" s="202">
        <f ca="1">IF(AND(ISNUMBER($V98),ISNUMBER(AA$5)),IF(AA$7=1,(AA42)/(SUM(AA$10:OFFSET(AA$10,$W$5-1,0,1,1))),(1/AA42)/SUM(1/AA$10:OFFSET(AA$10,$W$5-1,0,1,1))),"")</f>
        <v>1.907906806090626E-2</v>
      </c>
      <c r="AB98" s="202">
        <f ca="1">IF(AND(ISNUMBER($V98),ISNUMBER(AB$5)),IF(AB$7=1,(AB42)/(SUM(AB$10:OFFSET(AB$10,$W$5-1,0,1,1))),(1/AB42)/SUM(1/AB$10:OFFSET(AB$10,$W$5-1,0,1,1))),"")</f>
        <v>1.9245645701962064E-2</v>
      </c>
      <c r="AC98" s="202">
        <f ca="1">IF(AND(ISNUMBER($V98),ISNUMBER(AC$5)),IF(AC$7=1,(AC42)/(SUM(AC$10:OFFSET(AC$10,$W$5-1,0,1,1))),(1/AC42)/SUM(1/AC$10:OFFSET(AC$10,$W$5-1,0,1,1))),"")</f>
        <v>2.5556411985740428E-2</v>
      </c>
    </row>
    <row r="99" spans="1:29" ht="14.25" customHeight="1">
      <c r="A99" s="199"/>
      <c r="B99" s="197">
        <v>34</v>
      </c>
      <c r="C99" s="198" t="s">
        <v>90</v>
      </c>
      <c r="D99" s="202">
        <f ca="1">IF(AND(ISNUMBER($B99),ISNUMBER(D$5)),IF(D$7=1,(D43)/(SUM(D$10:OFFSET(D$10,$C$5-1,0,1,1))),(1/D43)/SUM(1/D$10:OFFSET(D$10,$C$5-1,0,1,1))),"")</f>
        <v>2.9900697504163312E-2</v>
      </c>
      <c r="E99" s="202">
        <f ca="1">IF(AND(ISNUMBER($B99),ISNUMBER(E$5)),IF(E$7=1,(E43)/(SUM(E$10:OFFSET(E$10,$C$5-1,0,1,1))),(1/E43)/SUM(1/E$10:OFFSET(E$10,$C$5-1,0,1,1))),"")</f>
        <v>2.6286432949625717E-2</v>
      </c>
      <c r="F99" s="202">
        <f ca="1">IF(AND(ISNUMBER($B99),ISNUMBER(F$5)),IF(F$7=1,(F43)/(SUM(F$10:OFFSET(F$10,$C$5-1,0,1,1))),(1/F43)/SUM(1/F$10:OFFSET(F$10,$C$5-1,0,1,1))),"")</f>
        <v>1.5962201506831822E-2</v>
      </c>
      <c r="G99" s="202">
        <f ca="1">IF(AND(ISNUMBER($B99),ISNUMBER(G$5)),IF(G$7=1,(G43)/(SUM(G$10:OFFSET(G$10,$C$5-1,0,1,1))),(1/G43)/SUM(1/G$10:OFFSET(G$10,$C$5-1,0,1,1))),"")</f>
        <v>3.0690537084398992E-2</v>
      </c>
      <c r="H99" s="202">
        <f ca="1">IF(AND(ISNUMBER($B99),ISNUMBER(H$5)),IF(H$7=1,(H43)/(SUM(H$10:OFFSET(H$10,$C$5-1,0,1,1))),(1/H43)/SUM(1/H$10:OFFSET(H$10,$C$5-1,0,1,1))),"")</f>
        <v>1.9764906626220498E-2</v>
      </c>
      <c r="I99" s="202">
        <f ca="1">IF(AND(ISNUMBER($B99),ISNUMBER(I$5)),IF(I$7=1,(I43)/(SUM(I$10:OFFSET(I$10,$C$5-1,0,1,1))),(1/I43)/SUM(1/I$10:OFFSET(I$10,$C$5-1,0,1,1))),"")</f>
        <v>1.770460510617991E-2</v>
      </c>
      <c r="J99" s="187"/>
      <c r="K99" s="199"/>
      <c r="L99" s="197">
        <v>34</v>
      </c>
      <c r="M99" s="198" t="s">
        <v>90</v>
      </c>
      <c r="N99" s="202">
        <f ca="1">IF(AND(ISNUMBER($L99),ISNUMBER(N$5)),IF(N$7=1,(N43)/(SUM(N$10:OFFSET(N$10,$M$5-1,0,1,1))),(1/N43)/SUM(1/N$10:OFFSET(N$10,$M$5-1,0,1,1))),"")</f>
        <v>2.8276438844346424E-2</v>
      </c>
      <c r="O99" s="202">
        <f ca="1">IF(AND(ISNUMBER($L99),ISNUMBER(O$5)),IF(O$7=1,(O43)/(SUM(O$10:OFFSET(O$10,$M$5-1,0,1,1))),(1/O43)/SUM(1/O$10:OFFSET(O$10,$M$5-1,0,1,1))),"")</f>
        <v>2.143867696786236E-2</v>
      </c>
      <c r="P99" s="202">
        <f ca="1">IF(AND(ISNUMBER($L99),ISNUMBER(P$5)),IF(P$7=1,(P43)/(SUM(P$10:OFFSET(P$10,$M$5-1,0,1,1))),(1/P43)/SUM(1/P$10:OFFSET(P$10,$M$5-1,0,1,1))),"")</f>
        <v>1.8494146983445314E-2</v>
      </c>
      <c r="Q99" s="202">
        <f ca="1">IF(AND(ISNUMBER($L99),ISNUMBER(Q$5)),IF(Q$7=1,(Q43)/(SUM(Q$10:OFFSET(Q$10,$M$5-1,0,1,1))),(1/Q43)/SUM(1/Q$10:OFFSET(Q$10,$M$5-1,0,1,1))),"")</f>
        <v>2.8126098675729523E-2</v>
      </c>
      <c r="R99" s="202">
        <f ca="1">IF(AND(ISNUMBER($L99),ISNUMBER(R$5)),IF(R$7=1,(R43)/(SUM(R$10:OFFSET(R$10,$M$5-1,0,1,1))),(1/R43)/SUM(1/R$10:OFFSET(R$10,$M$5-1,0,1,1))),"")</f>
        <v>2.1520337646676869E-2</v>
      </c>
      <c r="S99" s="202">
        <f ca="1">IF(AND(ISNUMBER($L99),ISNUMBER(S$5)),IF(S$7=1,(S43)/(SUM(S$10:OFFSET(S$10,$M$5-1,0,1,1))),(1/S43)/SUM(1/S$10:OFFSET(S$10,$M$5-1,0,1,1))),"")</f>
        <v>1.5514809590973202E-2</v>
      </c>
      <c r="T99" s="187"/>
      <c r="U99" s="199"/>
      <c r="V99" s="197">
        <v>34</v>
      </c>
      <c r="W99" s="198" t="s">
        <v>90</v>
      </c>
      <c r="X99" s="202">
        <f ca="1">IF(AND(ISNUMBER($V99),ISNUMBER(X$5)),IF(X$7=1,(X43)/(SUM(X$10:OFFSET(X$10,$W$5-1,0,1,1))),(1/X43)/SUM(1/X$10:OFFSET(X$10,$W$5-1,0,1,1))),"")</f>
        <v>2.9133016971396603E-2</v>
      </c>
      <c r="Y99" s="202">
        <f ca="1">IF(AND(ISNUMBER($V99),ISNUMBER(Y$5)),IF(Y$7=1,(Y43)/(SUM(Y$10:OFFSET(Y$10,$W$5-1,0,1,1))),(1/Y43)/SUM(1/Y$10:OFFSET(Y$10,$W$5-1,0,1,1))),"")</f>
        <v>2.3805183816827953E-2</v>
      </c>
      <c r="Z99" s="202">
        <f ca="1">IF(AND(ISNUMBER($V99),ISNUMBER(Z$5)),IF(Z$7=1,(Z43)/(SUM(Z$10:OFFSET(Z$10,$W$5-1,0,1,1))),(1/Z43)/SUM(1/Z$10:OFFSET(Z$10,$W$5-1,0,1,1))),"")</f>
        <v>1.7176650387056045E-2</v>
      </c>
      <c r="AA99" s="202">
        <f ca="1">IF(AND(ISNUMBER($V99),ISNUMBER(AA$5)),IF(AA$7=1,(AA43)/(SUM(AA$10:OFFSET(AA$10,$W$5-1,0,1,1))),(1/AA43)/SUM(1/AA$10:OFFSET(AA$10,$W$5-1,0,1,1))),"")</f>
        <v>2.9352412401394246E-2</v>
      </c>
      <c r="AB99" s="202">
        <f ca="1">IF(AND(ISNUMBER($V99),ISNUMBER(AB$5)),IF(AB$7=1,(AB43)/(SUM(AB$10:OFFSET(AB$10,$W$5-1,0,1,1))),(1/AB43)/SUM(1/AB$10:OFFSET(AB$10,$W$5-1,0,1,1))),"")</f>
        <v>2.0652148432921531E-2</v>
      </c>
      <c r="AC99" s="202">
        <f ca="1">IF(AND(ISNUMBER($V99),ISNUMBER(AC$5)),IF(AC$7=1,(AC43)/(SUM(AC$10:OFFSET(AC$10,$W$5-1,0,1,1))),(1/AC43)/SUM(1/AC$10:OFFSET(AC$10,$W$5-1,0,1,1))),"")</f>
        <v>1.6620098275363711E-2</v>
      </c>
    </row>
    <row r="100" spans="1:29" ht="14.25" customHeight="1">
      <c r="A100" s="199"/>
      <c r="B100" s="197">
        <v>35</v>
      </c>
      <c r="C100" s="198" t="s">
        <v>91</v>
      </c>
      <c r="D100" s="202">
        <f ca="1">IF(AND(ISNUMBER($B100),ISNUMBER(D$5)),IF(D$7=1,(D44)/(SUM(D$10:OFFSET(D$10,$C$5-1,0,1,1))),(1/D44)/SUM(1/D$10:OFFSET(D$10,$C$5-1,0,1,1))),"")</f>
        <v>3.1509703647885107E-2</v>
      </c>
      <c r="E100" s="202">
        <f ca="1">IF(AND(ISNUMBER($B100),ISNUMBER(E$5)),IF(E$7=1,(E44)/(SUM(E$10:OFFSET(E$10,$C$5-1,0,1,1))),(1/E44)/SUM(1/E$10:OFFSET(E$10,$C$5-1,0,1,1))),"")</f>
        <v>3.325280210588695E-2</v>
      </c>
      <c r="F100" s="202">
        <f ca="1">IF(AND(ISNUMBER($B100),ISNUMBER(F$5)),IF(F$7=1,(F44)/(SUM(F$10:OFFSET(F$10,$C$5-1,0,1,1))),(1/F44)/SUM(1/F$10:OFFSET(F$10,$C$5-1,0,1,1))),"")</f>
        <v>2.6688800919422804E-2</v>
      </c>
      <c r="G100" s="202">
        <f ca="1">IF(AND(ISNUMBER($B100),ISNUMBER(G$5)),IF(G$7=1,(G44)/(SUM(G$10:OFFSET(G$10,$C$5-1,0,1,1))),(1/G44)/SUM(1/G$10:OFFSET(G$10,$C$5-1,0,1,1))),"")</f>
        <v>2.9923273657289015E-2</v>
      </c>
      <c r="H100" s="202">
        <f ca="1">IF(AND(ISNUMBER($B100),ISNUMBER(H$5)),IF(H$7=1,(H44)/(SUM(H$10:OFFSET(H$10,$C$5-1,0,1,1))),(1/H44)/SUM(1/H$10:OFFSET(H$10,$C$5-1,0,1,1))),"")</f>
        <v>2.5926628116409143E-2</v>
      </c>
      <c r="I100" s="202">
        <f ca="1">IF(AND(ISNUMBER($B100),ISNUMBER(I$5)),IF(I$7=1,(I44)/(SUM(I$10:OFFSET(I$10,$C$5-1,0,1,1))),(1/I44)/SUM(1/I$10:OFFSET(I$10,$C$5-1,0,1,1))),"")</f>
        <v>2.0329277022190409E-2</v>
      </c>
      <c r="J100" s="187"/>
      <c r="K100" s="199"/>
      <c r="L100" s="197">
        <v>35</v>
      </c>
      <c r="M100" s="198" t="s">
        <v>91</v>
      </c>
      <c r="N100" s="202">
        <f ca="1">IF(AND(ISNUMBER($L100),ISNUMBER(N$5)),IF(N$7=1,(N44)/(SUM(N$10:OFFSET(N$10,$M$5-1,0,1,1))),(1/N44)/SUM(1/N$10:OFFSET(N$10,$M$5-1,0,1,1))),"")</f>
        <v>3.0071768294781122E-2</v>
      </c>
      <c r="O100" s="202">
        <f ca="1">IF(AND(ISNUMBER($L100),ISNUMBER(O$5)),IF(O$7=1,(O44)/(SUM(O$10:OFFSET(O$10,$M$5-1,0,1,1))),(1/O44)/SUM(1/O$10:OFFSET(O$10,$M$5-1,0,1,1))),"")</f>
        <v>3.3575448639751385E-2</v>
      </c>
      <c r="P100" s="202">
        <f ca="1">IF(AND(ISNUMBER($L100),ISNUMBER(P$5)),IF(P$7=1,(P44)/(SUM(P$10:OFFSET(P$10,$M$5-1,0,1,1))),(1/P44)/SUM(1/P$10:OFFSET(P$10,$M$5-1,0,1,1))),"")</f>
        <v>2.9923114220405906E-2</v>
      </c>
      <c r="Q100" s="202">
        <f ca="1">IF(AND(ISNUMBER($L100),ISNUMBER(Q$5)),IF(Q$7=1,(Q44)/(SUM(Q$10:OFFSET(Q$10,$M$5-1,0,1,1))),(1/Q44)/SUM(1/Q$10:OFFSET(Q$10,$M$5-1,0,1,1))),"")</f>
        <v>2.7422946208836282E-2</v>
      </c>
      <c r="R100" s="202">
        <f ca="1">IF(AND(ISNUMBER($L100),ISNUMBER(R$5)),IF(R$7=1,(R44)/(SUM(R$10:OFFSET(R$10,$M$5-1,0,1,1))),(1/R44)/SUM(1/R$10:OFFSET(R$10,$M$5-1,0,1,1))),"")</f>
        <v>2.9126663883864385E-2</v>
      </c>
      <c r="S100" s="202">
        <f ca="1">IF(AND(ISNUMBER($L100),ISNUMBER(S$5)),IF(S$7=1,(S44)/(SUM(S$10:OFFSET(S$10,$M$5-1,0,1,1))),(1/S44)/SUM(1/S$10:OFFSET(S$10,$M$5-1,0,1,1))),"")</f>
        <v>1.9794757064345123E-2</v>
      </c>
      <c r="T100" s="187"/>
      <c r="U100" s="199"/>
      <c r="V100" s="197">
        <v>35</v>
      </c>
      <c r="W100" s="198" t="s">
        <v>91</v>
      </c>
      <c r="X100" s="202">
        <f ca="1">IF(AND(ISNUMBER($V100),ISNUMBER(X$5)),IF(X$7=1,(X44)/(SUM(X$10:OFFSET(X$10,$W$5-1,0,1,1))),(1/X44)/SUM(1/X$10:OFFSET(X$10,$W$5-1,0,1,1))),"")</f>
        <v>3.0830085921186696E-2</v>
      </c>
      <c r="Y100" s="202">
        <f ca="1">IF(AND(ISNUMBER($V100),ISNUMBER(Y$5)),IF(Y$7=1,(Y44)/(SUM(Y$10:OFFSET(Y$10,$W$5-1,0,1,1))),(1/Y44)/SUM(1/Y$10:OFFSET(Y$10,$W$5-1,0,1,1))),"")</f>
        <v>3.3417943758099422E-2</v>
      </c>
      <c r="Z100" s="202">
        <f ca="1">IF(AND(ISNUMBER($V100),ISNUMBER(Z$5)),IF(Z$7=1,(Z44)/(SUM(Z$10:OFFSET(Z$10,$W$5-1,0,1,1))),(1/Z44)/SUM(1/Z$10:OFFSET(Z$10,$W$5-1,0,1,1))),"")</f>
        <v>2.8240140868467382E-2</v>
      </c>
      <c r="AA100" s="202">
        <f ca="1">IF(AND(ISNUMBER($V100),ISNUMBER(AA$5)),IF(AA$7=1,(AA44)/(SUM(AA$10:OFFSET(AA$10,$W$5-1,0,1,1))),(1/AA44)/SUM(1/AA$10:OFFSET(AA$10,$W$5-1,0,1,1))),"")</f>
        <v>2.8618602091359385E-2</v>
      </c>
      <c r="AB100" s="202">
        <f ca="1">IF(AND(ISNUMBER($V100),ISNUMBER(AB$5)),IF(AB$7=1,(AB44)/(SUM(AB$10:OFFSET(AB$10,$W$5-1,0,1,1))),(1/AB44)/SUM(1/AB$10:OFFSET(AB$10,$W$5-1,0,1,1))),"")</f>
        <v>2.7544011814622932E-2</v>
      </c>
      <c r="AC100" s="202">
        <f ca="1">IF(AND(ISNUMBER($V100),ISNUMBER(AC$5)),IF(AC$7=1,(AC44)/(SUM(AC$10:OFFSET(AC$10,$W$5-1,0,1,1))),(1/AC44)/SUM(1/AC$10:OFFSET(AC$10,$W$5-1,0,1,1))),"")</f>
        <v>2.0064553425185466E-2</v>
      </c>
    </row>
    <row r="101" spans="1:29" ht="14.25" customHeight="1">
      <c r="A101" s="199"/>
      <c r="B101" s="197">
        <v>36</v>
      </c>
      <c r="C101" s="198" t="s">
        <v>92</v>
      </c>
      <c r="D101" s="202">
        <f ca="1">IF(AND(ISNUMBER($B101),ISNUMBER(D$5)),IF(D$7=1,(D45)/(SUM(D$10:OFFSET(D$10,$C$5-1,0,1,1))),(1/D45)/SUM(1/D$10:OFFSET(D$10,$C$5-1,0,1,1))),"")</f>
        <v>3.9822902057114362E-2</v>
      </c>
      <c r="E101" s="202">
        <f ca="1">IF(AND(ISNUMBER($B101),ISNUMBER(E$5)),IF(E$7=1,(E45)/(SUM(E$10:OFFSET(E$10,$C$5-1,0,1,1))),(1/E45)/SUM(1/E$10:OFFSET(E$10,$C$5-1,0,1,1))),"")</f>
        <v>2.2849690832536844E-2</v>
      </c>
      <c r="F101" s="202">
        <f ca="1">IF(AND(ISNUMBER($B101),ISNUMBER(F$5)),IF(F$7=1,(F45)/(SUM(F$10:OFFSET(F$10,$C$5-1,0,1,1))),(1/F45)/SUM(1/F$10:OFFSET(F$10,$C$5-1,0,1,1))),"")</f>
        <v>1.8196909717788277E-2</v>
      </c>
      <c r="G101" s="202">
        <f ca="1">IF(AND(ISNUMBER($B101),ISNUMBER(G$5)),IF(G$7=1,(G45)/(SUM(G$10:OFFSET(G$10,$C$5-1,0,1,1))),(1/G45)/SUM(1/G$10:OFFSET(G$10,$C$5-1,0,1,1))),"")</f>
        <v>2.6726342710997452E-2</v>
      </c>
      <c r="H101" s="202">
        <f ca="1">IF(AND(ISNUMBER($B101),ISNUMBER(H$5)),IF(H$7=1,(H45)/(SUM(H$10:OFFSET(H$10,$C$5-1,0,1,1))),(1/H45)/SUM(1/H$10:OFFSET(H$10,$C$5-1,0,1,1))),"")</f>
        <v>1.6067873732107309E-2</v>
      </c>
      <c r="I101" s="202">
        <f ca="1">IF(AND(ISNUMBER($B101),ISNUMBER(I$5)),IF(I$7=1,(I45)/(SUM(I$10:OFFSET(I$10,$C$5-1,0,1,1))),(1/I45)/SUM(1/I$10:OFFSET(I$10,$C$5-1,0,1,1))),"")</f>
        <v>2.3478883321403007E-2</v>
      </c>
      <c r="J101" s="187"/>
      <c r="K101" s="199"/>
      <c r="L101" s="197">
        <v>36</v>
      </c>
      <c r="M101" s="198" t="s">
        <v>92</v>
      </c>
      <c r="N101" s="202">
        <f ca="1">IF(AND(ISNUMBER($L101),ISNUMBER(N$5)),IF(N$7=1,(N45)/(SUM(N$10:OFFSET(N$10,$M$5-1,0,1,1))),(1/N45)/SUM(1/N$10:OFFSET(N$10,$M$5-1,0,1,1))),"")</f>
        <v>3.8001140034201013E-2</v>
      </c>
      <c r="O101" s="202">
        <f ca="1">IF(AND(ISNUMBER($L101),ISNUMBER(O$5)),IF(O$7=1,(O45)/(SUM(O$10:OFFSET(O$10,$M$5-1,0,1,1))),(1/O45)/SUM(1/O$10:OFFSET(O$10,$M$5-1,0,1,1))),"")</f>
        <v>3.0651992689588337E-2</v>
      </c>
      <c r="P101" s="202">
        <f ca="1">IF(AND(ISNUMBER($L101),ISNUMBER(P$5)),IF(P$7=1,(P45)/(SUM(P$10:OFFSET(P$10,$M$5-1,0,1,1))),(1/P45)/SUM(1/P$10:OFFSET(P$10,$M$5-1,0,1,1))),"")</f>
        <v>2.1126272771351391E-2</v>
      </c>
      <c r="Q101" s="202">
        <f ca="1">IF(AND(ISNUMBER($L101),ISNUMBER(Q$5)),IF(Q$7=1,(Q45)/(SUM(Q$10:OFFSET(Q$10,$M$5-1,0,1,1))),(1/Q45)/SUM(1/Q$10:OFFSET(Q$10,$M$5-1,0,1,1))),"")</f>
        <v>2.1680534395874841E-2</v>
      </c>
      <c r="R101" s="202">
        <f ca="1">IF(AND(ISNUMBER($L101),ISNUMBER(R$5)),IF(R$7=1,(R45)/(SUM(R$10:OFFSET(R$10,$M$5-1,0,1,1))),(1/R45)/SUM(1/R$10:OFFSET(R$10,$M$5-1,0,1,1))),"")</f>
        <v>1.8273734984462688E-2</v>
      </c>
      <c r="S101" s="202">
        <f ca="1">IF(AND(ISNUMBER($L101),ISNUMBER(S$5)),IF(S$7=1,(S45)/(SUM(S$10:OFFSET(S$10,$M$5-1,0,1,1))),(1/S45)/SUM(1/S$10:OFFSET(S$10,$M$5-1,0,1,1))),"")</f>
        <v>2.4366519138174215E-2</v>
      </c>
      <c r="T101" s="187"/>
      <c r="U101" s="199"/>
      <c r="V101" s="197">
        <v>36</v>
      </c>
      <c r="W101" s="198" t="s">
        <v>92</v>
      </c>
      <c r="X101" s="202">
        <f ca="1">IF(AND(ISNUMBER($V101),ISNUMBER(X$5)),IF(X$7=1,(X45)/(SUM(X$10:OFFSET(X$10,$W$5-1,0,1,1))),(1/X45)/SUM(1/X$10:OFFSET(X$10,$W$5-1,0,1,1))),"")</f>
        <v>3.8961874638930888E-2</v>
      </c>
      <c r="Y101" s="202">
        <f ca="1">IF(AND(ISNUMBER($V101),ISNUMBER(Y$5)),IF(Y$7=1,(Y45)/(SUM(Y$10:OFFSET(Y$10,$W$5-1,0,1,1))),(1/Y45)/SUM(1/Y$10:OFFSET(Y$10,$W$5-1,0,1,1))),"")</f>
        <v>2.6843178703927901E-2</v>
      </c>
      <c r="Z101" s="202">
        <f ca="1">IF(AND(ISNUMBER($V101),ISNUMBER(Z$5)),IF(Z$7=1,(Z45)/(SUM(Z$10:OFFSET(Z$10,$W$5-1,0,1,1))),(1/Z45)/SUM(1/Z$10:OFFSET(Z$10,$W$5-1,0,1,1))),"")</f>
        <v>1.9601980132230301E-2</v>
      </c>
      <c r="AA101" s="202">
        <f ca="1">IF(AND(ISNUMBER($V101),ISNUMBER(AA$5)),IF(AA$7=1,(AA45)/(SUM(AA$10:OFFSET(AA$10,$W$5-1,0,1,1))),(1/AA45)/SUM(1/AA$10:OFFSET(AA$10,$W$5-1,0,1,1))),"")</f>
        <v>2.4093438512811108E-2</v>
      </c>
      <c r="AB101" s="202">
        <f ca="1">IF(AND(ISNUMBER($V101),ISNUMBER(AB$5)),IF(AB$7=1,(AB45)/(SUM(AB$10:OFFSET(AB$10,$W$5-1,0,1,1))),(1/AB45)/SUM(1/AB$10:OFFSET(AB$10,$W$5-1,0,1,1))),"")</f>
        <v>1.7182775029888176E-2</v>
      </c>
      <c r="AC101" s="202">
        <f ca="1">IF(AND(ISNUMBER($V101),ISNUMBER(AC$5)),IF(AC$7=1,(AC45)/(SUM(AC$10:OFFSET(AC$10,$W$5-1,0,1,1))),(1/AC45)/SUM(1/AC$10:OFFSET(AC$10,$W$5-1,0,1,1))),"")</f>
        <v>2.3918489257153865E-2</v>
      </c>
    </row>
    <row r="102" spans="1:29" ht="14.25" customHeight="1">
      <c r="A102" s="199"/>
      <c r="B102" s="197">
        <v>37</v>
      </c>
      <c r="C102" s="198" t="s">
        <v>93</v>
      </c>
      <c r="D102" s="202">
        <f ca="1">IF(AND(ISNUMBER($B102),ISNUMBER(D$5)),IF(D$7=1,(D46)/(SUM(D$10:OFFSET(D$10,$C$5-1,0,1,1))),(1/D46)/SUM(1/D$10:OFFSET(D$10,$C$5-1,0,1,1))),"")</f>
        <v>1.3408384531014938E-6</v>
      </c>
      <c r="E102" s="202">
        <f ca="1">IF(AND(ISNUMBER($B102),ISNUMBER(E$5)),IF(E$7=1,(E46)/(SUM(E$10:OFFSET(E$10,$C$5-1,0,1,1))),(1/E46)/SUM(1/E$10:OFFSET(E$10,$C$5-1,0,1,1))),"")</f>
        <v>5.3873254808420199E-3</v>
      </c>
      <c r="F102" s="202">
        <f ca="1">IF(AND(ISNUMBER($B102),ISNUMBER(F$5)),IF(F$7=1,(F46)/(SUM(F$10:OFFSET(F$10,$C$5-1,0,1,1))),(1/F46)/SUM(1/F$10:OFFSET(F$10,$C$5-1,0,1,1))),"")</f>
        <v>1.8771548972034223E-2</v>
      </c>
      <c r="G102" s="202">
        <f ca="1">IF(AND(ISNUMBER($B102),ISNUMBER(G$5)),IF(G$7=1,(G46)/(SUM(G$10:OFFSET(G$10,$C$5-1,0,1,1))),(1/G46)/SUM(1/G$10:OFFSET(G$10,$C$5-1,0,1,1))),"")</f>
        <v>1.3938618925831208E-2</v>
      </c>
      <c r="H102" s="202">
        <f ca="1">IF(AND(ISNUMBER($B102),ISNUMBER(H$5)),IF(H$7=1,(H46)/(SUM(H$10:OFFSET(H$10,$C$5-1,0,1,1))),(1/H46)/SUM(1/H$10:OFFSET(H$10,$C$5-1,0,1,1))),"")</f>
        <v>1.6447056593041999E-2</v>
      </c>
      <c r="I102" s="202">
        <f ca="1">IF(AND(ISNUMBER($B102),ISNUMBER(I$5)),IF(I$7=1,(I46)/(SUM(I$10:OFFSET(I$10,$C$5-1,0,1,1))),(1/I46)/SUM(1/I$10:OFFSET(I$10,$C$5-1,0,1,1))),"")</f>
        <v>2.1331424481030783E-2</v>
      </c>
      <c r="J102" s="187"/>
      <c r="K102" s="199"/>
      <c r="L102" s="197">
        <v>37</v>
      </c>
      <c r="M102" s="198" t="s">
        <v>93</v>
      </c>
      <c r="N102" s="202">
        <f ca="1">IF(AND(ISNUMBER($L102),ISNUMBER(N$5)),IF(N$7=1,(N46)/(SUM(N$10:OFFSET(N$10,$M$5-1,0,1,1))),(1/N46)/SUM(1/N$10:OFFSET(N$10,$M$5-1,0,1,1))),"")</f>
        <v>2.1543953405216323E-2</v>
      </c>
      <c r="O102" s="202">
        <f ca="1">IF(AND(ISNUMBER($L102),ISNUMBER(O$5)),IF(O$7=1,(O46)/(SUM(O$10:OFFSET(O$10,$M$5-1,0,1,1))),(1/O46)/SUM(1/O$10:OFFSET(O$10,$M$5-1,0,1,1))),"")</f>
        <v>6.9985763655418453E-3</v>
      </c>
      <c r="P102" s="202">
        <f ca="1">IF(AND(ISNUMBER($L102),ISNUMBER(P$5)),IF(P$7=1,(P46)/(SUM(P$10:OFFSET(P$10,$M$5-1,0,1,1))),(1/P46)/SUM(1/P$10:OFFSET(P$10,$M$5-1,0,1,1))),"")</f>
        <v>2.2234536260996057E-2</v>
      </c>
      <c r="Q102" s="202">
        <f ca="1">IF(AND(ISNUMBER($L102),ISNUMBER(Q$5)),IF(Q$7=1,(Q46)/(SUM(Q$10:OFFSET(Q$10,$M$5-1,0,1,1))),(1/Q46)/SUM(1/Q$10:OFFSET(Q$10,$M$5-1,0,1,1))),"")</f>
        <v>2.9532403609515999E-2</v>
      </c>
      <c r="R102" s="202">
        <f ca="1">IF(AND(ISNUMBER($L102),ISNUMBER(R$5)),IF(R$7=1,(R46)/(SUM(R$10:OFFSET(R$10,$M$5-1,0,1,1))),(1/R46)/SUM(1/R$10:OFFSET(R$10,$M$5-1,0,1,1))),"")</f>
        <v>1.5722832892722971E-2</v>
      </c>
      <c r="S102" s="202">
        <f ca="1">IF(AND(ISNUMBER($L102),ISNUMBER(S$5)),IF(S$7=1,(S46)/(SUM(S$10:OFFSET(S$10,$M$5-1,0,1,1))),(1/S46)/SUM(1/S$10:OFFSET(S$10,$M$5-1,0,1,1))),"")</f>
        <v>2.2372452701716842E-2</v>
      </c>
      <c r="T102" s="187"/>
      <c r="U102" s="199"/>
      <c r="V102" s="197">
        <v>37</v>
      </c>
      <c r="W102" s="198" t="s">
        <v>93</v>
      </c>
      <c r="X102" s="202">
        <f ca="1">IF(AND(ISNUMBER($V102),ISNUMBER(X$5)),IF(X$7=1,(X46)/(SUM(X$10:OFFSET(X$10,$W$5-1,0,1,1))),(1/X46)/SUM(1/X$10:OFFSET(X$10,$W$5-1,0,1,1))),"")</f>
        <v>1.0183120810802972E-2</v>
      </c>
      <c r="Y102" s="202">
        <f ca="1">IF(AND(ISNUMBER($V102),ISNUMBER(Y$5)),IF(Y$7=1,(Y46)/(SUM(Y$10:OFFSET(Y$10,$W$5-1,0,1,1))),(1/Y46)/SUM(1/Y$10:OFFSET(Y$10,$W$5-1,0,1,1))),"")</f>
        <v>6.2120193960103418E-3</v>
      </c>
      <c r="Z102" s="202">
        <f ca="1">IF(AND(ISNUMBER($V102),ISNUMBER(Z$5)),IF(Z$7=1,(Z46)/(SUM(Z$10:OFFSET(Z$10,$W$5-1,0,1,1))),(1/Z46)/SUM(1/Z$10:OFFSET(Z$10,$W$5-1,0,1,1))),"")</f>
        <v>2.0432572510714633E-2</v>
      </c>
      <c r="AA102" s="202">
        <f ca="1">IF(AND(ISNUMBER($V102),ISNUMBER(AA$5)),IF(AA$7=1,(AA46)/(SUM(AA$10:OFFSET(AA$10,$W$5-1,0,1,1))),(1/AA46)/SUM(1/AA$10:OFFSET(AA$10,$W$5-1,0,1,1))),"")</f>
        <v>2.2075460160215256E-2</v>
      </c>
      <c r="AB102" s="202">
        <f ca="1">IF(AND(ISNUMBER($V102),ISNUMBER(AB$5)),IF(AB$7=1,(AB46)/(SUM(AB$10:OFFSET(AB$10,$W$5-1,0,1,1))),(1/AB46)/SUM(1/AB$10:OFFSET(AB$10,$W$5-1,0,1,1))),"")</f>
        <v>1.608101455730326E-2</v>
      </c>
      <c r="AC102" s="202">
        <f ca="1">IF(AND(ISNUMBER($V102),ISNUMBER(AC$5)),IF(AC$7=1,(AC46)/(SUM(AC$10:OFFSET(AC$10,$W$5-1,0,1,1))),(1/AC46)/SUM(1/AC$10:OFFSET(AC$10,$W$5-1,0,1,1))),"")</f>
        <v>2.1846998747470849E-2</v>
      </c>
    </row>
    <row r="103" spans="1:29" ht="14.25" customHeight="1">
      <c r="A103" s="199"/>
      <c r="B103" s="197">
        <v>38</v>
      </c>
      <c r="C103" s="198" t="s">
        <v>94</v>
      </c>
      <c r="D103" s="202">
        <f ca="1">IF(AND(ISNUMBER($B103),ISNUMBER(D$5)),IF(D$7=1,(D47)/(SUM(D$10:OFFSET(D$10,$C$5-1,0,1,1))),(1/D47)/SUM(1/D$10:OFFSET(D$10,$C$5-1,0,1,1))),"")</f>
        <v>1.9173989879351361E-2</v>
      </c>
      <c r="E103" s="202">
        <f ca="1">IF(AND(ISNUMBER($B103),ISNUMBER(E$5)),IF(E$7=1,(E47)/(SUM(E$10:OFFSET(E$10,$C$5-1,0,1,1))),(1/E47)/SUM(1/E$10:OFFSET(E$10,$C$5-1,0,1,1))),"")</f>
        <v>2.6286432949625717E-2</v>
      </c>
      <c r="F103" s="202">
        <f ca="1">IF(AND(ISNUMBER($B103),ISNUMBER(F$5)),IF(F$7=1,(F47)/(SUM(F$10:OFFSET(F$10,$C$5-1,0,1,1))),(1/F47)/SUM(1/F$10:OFFSET(F$10,$C$5-1,0,1,1))),"")</f>
        <v>3.1605158983527004E-2</v>
      </c>
      <c r="G103" s="202">
        <f ca="1">IF(AND(ISNUMBER($B103),ISNUMBER(G$5)),IF(G$7=1,(G47)/(SUM(G$10:OFFSET(G$10,$C$5-1,0,1,1))),(1/G47)/SUM(1/G$10:OFFSET(G$10,$C$5-1,0,1,1))),"")</f>
        <v>1.8286445012787731E-2</v>
      </c>
      <c r="H103" s="202">
        <f ca="1">IF(AND(ISNUMBER($B103),ISNUMBER(H$5)),IF(H$7=1,(H47)/(SUM(H$10:OFFSET(H$10,$C$5-1,0,1,1))),(1/H47)/SUM(1/H$10:OFFSET(H$10,$C$5-1,0,1,1))),"")</f>
        <v>2.6921983126362691E-2</v>
      </c>
      <c r="I103" s="202">
        <f ca="1">IF(AND(ISNUMBER($B103),ISNUMBER(I$5)),IF(I$7=1,(I47)/(SUM(I$10:OFFSET(I$10,$C$5-1,0,1,1))),(1/I47)/SUM(1/I$10:OFFSET(I$10,$C$5-1,0,1,1))),"")</f>
        <v>2.4767358625626342E-2</v>
      </c>
      <c r="J103" s="187"/>
      <c r="K103" s="199"/>
      <c r="L103" s="197">
        <v>38</v>
      </c>
      <c r="M103" s="198" t="s">
        <v>94</v>
      </c>
      <c r="N103" s="202">
        <f ca="1">IF(AND(ISNUMBER($L103),ISNUMBER(N$5)),IF(N$7=1,(N47)/(SUM(N$10:OFFSET(N$10,$M$5-1,0,1,1))),(1/N47)/SUM(1/N$10:OFFSET(N$10,$M$5-1,0,1,1))),"")</f>
        <v>1.6457186628984693E-2</v>
      </c>
      <c r="O103" s="202">
        <f ca="1">IF(AND(ISNUMBER($L103),ISNUMBER(O$5)),IF(O$7=1,(O47)/(SUM(O$10:OFFSET(O$10,$M$5-1,0,1,1))),(1/O47)/SUM(1/O$10:OFFSET(O$10,$M$5-1,0,1,1))),"")</f>
        <v>2.5070849512004334E-2</v>
      </c>
      <c r="P103" s="202">
        <f ca="1">IF(AND(ISNUMBER($L103),ISNUMBER(P$5)),IF(P$7=1,(P47)/(SUM(P$10:OFFSET(P$10,$M$5-1,0,1,1))),(1/P47)/SUM(1/P$10:OFFSET(P$10,$M$5-1,0,1,1))),"")</f>
        <v>2.8607051326452866E-2</v>
      </c>
      <c r="Q103" s="202">
        <f ca="1">IF(AND(ISNUMBER($L103),ISNUMBER(Q$5)),IF(Q$7=1,(Q47)/(SUM(Q$10:OFFSET(Q$10,$M$5-1,0,1,1))),(1/Q47)/SUM(1/Q$10:OFFSET(Q$10,$M$5-1,0,1,1))),"")</f>
        <v>1.7110043361068791E-2</v>
      </c>
      <c r="R103" s="202">
        <f ca="1">IF(AND(ISNUMBER($L103),ISNUMBER(R$5)),IF(R$7=1,(R47)/(SUM(R$10:OFFSET(R$10,$M$5-1,0,1,1))),(1/R47)/SUM(1/R$10:OFFSET(R$10,$M$5-1,0,1,1))),"")</f>
        <v>2.5045220537080842E-2</v>
      </c>
      <c r="S103" s="202">
        <f ca="1">IF(AND(ISNUMBER($L103),ISNUMBER(S$5)),IF(S$7=1,(S47)/(SUM(S$10:OFFSET(S$10,$M$5-1,0,1,1))),(1/S47)/SUM(1/S$10:OFFSET(S$10,$M$5-1,0,1,1))),"")</f>
        <v>2.324789650308837E-2</v>
      </c>
      <c r="T103" s="187"/>
      <c r="U103" s="199"/>
      <c r="V103" s="197">
        <v>38</v>
      </c>
      <c r="W103" s="198" t="s">
        <v>94</v>
      </c>
      <c r="X103" s="202">
        <f ca="1">IF(AND(ISNUMBER($V103),ISNUMBER(X$5)),IF(X$7=1,(X47)/(SUM(X$10:OFFSET(X$10,$W$5-1,0,1,1))),(1/X47)/SUM(1/X$10:OFFSET(X$10,$W$5-1,0,1,1))),"")</f>
        <v>1.7889935179037232E-2</v>
      </c>
      <c r="Y103" s="202">
        <f ca="1">IF(AND(ISNUMBER($V103),ISNUMBER(Y$5)),IF(Y$7=1,(Y47)/(SUM(Y$10:OFFSET(Y$10,$W$5-1,0,1,1))),(1/Y47)/SUM(1/Y$10:OFFSET(Y$10,$W$5-1,0,1,1))),"")</f>
        <v>2.5664255314904041E-2</v>
      </c>
      <c r="Z103" s="202">
        <f ca="1">IF(AND(ISNUMBER($V103),ISNUMBER(Z$5)),IF(Z$7=1,(Z47)/(SUM(Z$10:OFFSET(Z$10,$W$5-1,0,1,1))),(1/Z47)/SUM(1/Z$10:OFFSET(Z$10,$W$5-1,0,1,1))),"")</f>
        <v>3.0167115186551036E-2</v>
      </c>
      <c r="AA103" s="202">
        <f ca="1">IF(AND(ISNUMBER($V103),ISNUMBER(AA$5)),IF(AA$7=1,(AA47)/(SUM(AA$10:OFFSET(AA$10,$W$5-1,0,1,1))),(1/AA47)/SUM(1/AA$10:OFFSET(AA$10,$W$5-1,0,1,1))),"")</f>
        <v>1.7672598300006118E-2</v>
      </c>
      <c r="AB103" s="202">
        <f ca="1">IF(AND(ISNUMBER($V103),ISNUMBER(AB$5)),IF(AB$7=1,(AB47)/(SUM(AB$10:OFFSET(AB$10,$W$5-1,0,1,1))),(1/AB47)/SUM(1/AB$10:OFFSET(AB$10,$W$5-1,0,1,1))),"")</f>
        <v>2.5973417098384858E-2</v>
      </c>
      <c r="AC103" s="202">
        <f ca="1">IF(AND(ISNUMBER($V103),ISNUMBER(AC$5)),IF(AC$7=1,(AC47)/(SUM(AC$10:OFFSET(AC$10,$W$5-1,0,1,1))),(1/AC47)/SUM(1/AC$10:OFFSET(AC$10,$W$5-1,0,1,1))),"")</f>
        <v>2.4014837652953067E-2</v>
      </c>
    </row>
    <row r="104" spans="1:29" ht="14.25" customHeight="1">
      <c r="A104" s="199"/>
      <c r="B104" s="197">
        <v>39</v>
      </c>
      <c r="C104" s="198" t="s">
        <v>95</v>
      </c>
      <c r="D104" s="202">
        <f ca="1">IF(AND(ISNUMBER($B104),ISNUMBER(D$5)),IF(D$7=1,(D48)/(SUM(D$10:OFFSET(D$10,$C$5-1,0,1,1))),(1/D48)/SUM(1/D$10:OFFSET(D$10,$C$5-1,0,1,1))),"")</f>
        <v>1.1128959160742399E-2</v>
      </c>
      <c r="E104" s="202">
        <f ca="1">IF(AND(ISNUMBER($B104),ISNUMBER(E$5)),IF(E$7=1,(E48)/(SUM(E$10:OFFSET(E$10,$C$5-1,0,1,1))),(1/E48)/SUM(1/E$10:OFFSET(E$10,$C$5-1,0,1,1))),"")</f>
        <v>2.1270647157117628E-2</v>
      </c>
      <c r="F104" s="202">
        <f ca="1">IF(AND(ISNUMBER($B104),ISNUMBER(F$5)),IF(F$7=1,(F48)/(SUM(F$10:OFFSET(F$10,$C$5-1,0,1,1))),(1/F48)/SUM(1/F$10:OFFSET(F$10,$C$5-1,0,1,1))),"")</f>
        <v>2.3879453454220403E-2</v>
      </c>
      <c r="G104" s="202">
        <f ca="1">IF(AND(ISNUMBER($B104),ISNUMBER(G$5)),IF(G$7=1,(G48)/(SUM(G$10:OFFSET(G$10,$C$5-1,0,1,1))),(1/G48)/SUM(1/G$10:OFFSET(G$10,$C$5-1,0,1,1))),"")</f>
        <v>2.0204603580562669E-2</v>
      </c>
      <c r="H104" s="202">
        <f ca="1">IF(AND(ISNUMBER($B104),ISNUMBER(H$5)),IF(H$7=1,(H48)/(SUM(H$10:OFFSET(H$10,$C$5-1,0,1,1))),(1/H48)/SUM(1/H$10:OFFSET(H$10,$C$5-1,0,1,1))),"")</f>
        <v>2.1376433785192914E-2</v>
      </c>
      <c r="I104" s="202">
        <f ca="1">IF(AND(ISNUMBER($B104),ISNUMBER(I$5)),IF(I$7=1,(I48)/(SUM(I$10:OFFSET(I$10,$C$5-1,0,1,1))),(1/I48)/SUM(1/I$10:OFFSET(I$10,$C$5-1,0,1,1))),"")</f>
        <v>3.3309472679551422E-2</v>
      </c>
      <c r="J104" s="187"/>
      <c r="K104" s="199"/>
      <c r="L104" s="197">
        <v>39</v>
      </c>
      <c r="M104" s="198" t="s">
        <v>95</v>
      </c>
      <c r="N104" s="202">
        <f ca="1">IF(AND(ISNUMBER($L104),ISNUMBER(N$5)),IF(N$7=1,(N48)/(SUM(N$10:OFFSET(N$10,$M$5-1,0,1,1))),(1/N48)/SUM(1/N$10:OFFSET(N$10,$M$5-1,0,1,1))),"")</f>
        <v>1.2866527728115303E-2</v>
      </c>
      <c r="O104" s="202">
        <f ca="1">IF(AND(ISNUMBER($L104),ISNUMBER(O$5)),IF(O$7=1,(O48)/(SUM(O$10:OFFSET(O$10,$M$5-1,0,1,1))),(1/O48)/SUM(1/O$10:OFFSET(O$10,$M$5-1,0,1,1))),"")</f>
        <v>1.6654839958504645E-2</v>
      </c>
      <c r="P104" s="202">
        <f ca="1">IF(AND(ISNUMBER($L104),ISNUMBER(P$5)),IF(P$7=1,(P48)/(SUM(P$10:OFFSET(P$10,$M$5-1,0,1,1))),(1/P48)/SUM(1/P$10:OFFSET(P$10,$M$5-1,0,1,1))),"")</f>
        <v>2.2511602133407221E-2</v>
      </c>
      <c r="Q104" s="202">
        <f ca="1">IF(AND(ISNUMBER($L104),ISNUMBER(Q$5)),IF(Q$7=1,(Q48)/(SUM(Q$10:OFFSET(Q$10,$M$5-1,0,1,1))),(1/Q48)/SUM(1/Q$10:OFFSET(Q$10,$M$5-1,0,1,1))),"")</f>
        <v>2.1328958162428219E-2</v>
      </c>
      <c r="R104" s="202">
        <f ca="1">IF(AND(ISNUMBER($L104),ISNUMBER(R$5)),IF(R$7=1,(R48)/(SUM(R$10:OFFSET(R$10,$M$5-1,0,1,1))),(1/R48)/SUM(1/R$10:OFFSET(R$10,$M$5-1,0,1,1))),"")</f>
        <v>2.1195677380455455E-2</v>
      </c>
      <c r="S104" s="202">
        <f ca="1">IF(AND(ISNUMBER($L104),ISNUMBER(S$5)),IF(S$7=1,(S48)/(SUM(S$10:OFFSET(S$10,$M$5-1,0,1,1))),(1/S48)/SUM(1/S$10:OFFSET(S$10,$M$5-1,0,1,1))),"")</f>
        <v>3.2731871017946598E-2</v>
      </c>
      <c r="T104" s="187"/>
      <c r="U104" s="199"/>
      <c r="V104" s="197">
        <v>39</v>
      </c>
      <c r="W104" s="198" t="s">
        <v>95</v>
      </c>
      <c r="X104" s="202">
        <f ca="1">IF(AND(ISNUMBER($V104),ISNUMBER(X$5)),IF(X$7=1,(X48)/(SUM(X$10:OFFSET(X$10,$W$5-1,0,1,1))),(1/X48)/SUM(1/X$10:OFFSET(X$10,$W$5-1,0,1,1))),"")</f>
        <v>1.1950193854771906E-2</v>
      </c>
      <c r="Y104" s="202">
        <f ca="1">IF(AND(ISNUMBER($V104),ISNUMBER(Y$5)),IF(Y$7=1,(Y48)/(SUM(Y$10:OFFSET(Y$10,$W$5-1,0,1,1))),(1/Y48)/SUM(1/Y$10:OFFSET(Y$10,$W$5-1,0,1,1))),"")</f>
        <v>1.8908117431651918E-2</v>
      </c>
      <c r="Z104" s="202">
        <f ca="1">IF(AND(ISNUMBER($V104),ISNUMBER(Z$5)),IF(Z$7=1,(Z48)/(SUM(Z$10:OFFSET(Z$10,$W$5-1,0,1,1))),(1/Z48)/SUM(1/Z$10:OFFSET(Z$10,$W$5-1,0,1,1))),"")</f>
        <v>2.3223362902422003E-2</v>
      </c>
      <c r="AA104" s="202">
        <f ca="1">IF(AND(ISNUMBER($V104),ISNUMBER(AA$5)),IF(AA$7=1,(AA48)/(SUM(AA$10:OFFSET(AA$10,$W$5-1,0,1,1))),(1/AA48)/SUM(1/AA$10:OFFSET(AA$10,$W$5-1,0,1,1))),"")</f>
        <v>2.0791292117654257E-2</v>
      </c>
      <c r="AB104" s="202">
        <f ca="1">IF(AND(ISNUMBER($V104),ISNUMBER(AB$5)),IF(AB$7=1,(AB48)/(SUM(AB$10:OFFSET(AB$10,$W$5-1,0,1,1))),(1/AB48)/SUM(1/AB$10:OFFSET(AB$10,$W$5-1,0,1,1))),"")</f>
        <v>2.1285074661853295E-2</v>
      </c>
      <c r="AC104" s="202">
        <f ca="1">IF(AND(ISNUMBER($V104),ISNUMBER(AC$5)),IF(AC$7=1,(AC48)/(SUM(AC$10:OFFSET(AC$10,$W$5-1,0,1,1))),(1/AC48)/SUM(1/AC$10:OFFSET(AC$10,$W$5-1,0,1,1))),"")</f>
        <v>3.3023412660179198E-2</v>
      </c>
    </row>
    <row r="105" spans="1:29" ht="14.25" customHeight="1">
      <c r="A105" s="199"/>
      <c r="B105" s="197">
        <v>40</v>
      </c>
      <c r="C105" s="198" t="s">
        <v>96</v>
      </c>
      <c r="D105" s="202">
        <f ca="1">IF(AND(ISNUMBER($B105),ISNUMBER(D$5)),IF(D$7=1,(D49)/(SUM(D$10:OFFSET(D$10,$C$5-1,0,1,1))),(1/D49)/SUM(1/D$10:OFFSET(D$10,$C$5-1,0,1,1))),"")</f>
        <v>2.3330589083965989E-2</v>
      </c>
      <c r="E105" s="202">
        <f ca="1">IF(AND(ISNUMBER($B105),ISNUMBER(E$5)),IF(E$7=1,(E49)/(SUM(E$10:OFFSET(E$10,$C$5-1,0,1,1))),(1/E49)/SUM(1/E$10:OFFSET(E$10,$C$5-1,0,1,1))),"")</f>
        <v>2.9165865534213693E-2</v>
      </c>
      <c r="F105" s="202">
        <f ca="1">IF(AND(ISNUMBER($B105),ISNUMBER(F$5)),IF(F$7=1,(F49)/(SUM(F$10:OFFSET(F$10,$C$5-1,0,1,1))),(1/F49)/SUM(1/F$10:OFFSET(F$10,$C$5-1,0,1,1))),"")</f>
        <v>2.4964883156684971E-2</v>
      </c>
      <c r="G105" s="202">
        <f ca="1">IF(AND(ISNUMBER($B105),ISNUMBER(G$5)),IF(G$7=1,(G49)/(SUM(G$10:OFFSET(G$10,$C$5-1,0,1,1))),(1/G49)/SUM(1/G$10:OFFSET(G$10,$C$5-1,0,1,1))),"")</f>
        <v>3.9130434782608713E-2</v>
      </c>
      <c r="H105" s="202">
        <f ca="1">IF(AND(ISNUMBER($B105),ISNUMBER(H$5)),IF(H$7=1,(H49)/(SUM(H$10:OFFSET(H$10,$C$5-1,0,1,1))),(1/H49)/SUM(1/H$10:OFFSET(H$10,$C$5-1,0,1,1))),"")</f>
        <v>2.3035358801782164E-2</v>
      </c>
      <c r="I105" s="202">
        <f ca="1">IF(AND(ISNUMBER($B105),ISNUMBER(I$5)),IF(I$7=1,(I49)/(SUM(I$10:OFFSET(I$10,$C$5-1,0,1,1))),(1/I49)/SUM(1/I$10:OFFSET(I$10,$C$5-1,0,1,1))),"")</f>
        <v>1.7990932951562875E-2</v>
      </c>
      <c r="J105" s="187"/>
      <c r="K105" s="199"/>
      <c r="L105" s="197">
        <v>40</v>
      </c>
      <c r="M105" s="198" t="s">
        <v>96</v>
      </c>
      <c r="N105" s="202">
        <f ca="1">IF(AND(ISNUMBER($L105),ISNUMBER(N$5)),IF(N$7=1,(N49)/(SUM(N$10:OFFSET(N$10,$M$5-1,0,1,1))),(1/N49)/SUM(1/N$10:OFFSET(N$10,$M$5-1,0,1,1))),"")</f>
        <v>1.3464970878260202E-2</v>
      </c>
      <c r="O105" s="202">
        <f ca="1">IF(AND(ISNUMBER($L105),ISNUMBER(O$5)),IF(O$7=1,(O49)/(SUM(O$10:OFFSET(O$10,$M$5-1,0,1,1))),(1/O49)/SUM(1/O$10:OFFSET(O$10,$M$5-1,0,1,1))),"")</f>
        <v>2.7817126313672648E-2</v>
      </c>
      <c r="P105" s="202">
        <f ca="1">IF(AND(ISNUMBER($L105),ISNUMBER(P$5)),IF(P$7=1,(P49)/(SUM(P$10:OFFSET(P$10,$M$5-1,0,1,1))),(1/P49)/SUM(1/P$10:OFFSET(P$10,$M$5-1,0,1,1))),"")</f>
        <v>2.5836392602341208E-2</v>
      </c>
      <c r="Q105" s="202">
        <f ca="1">IF(AND(ISNUMBER($L105),ISNUMBER(Q$5)),IF(Q$7=1,(Q49)/(SUM(Q$10:OFFSET(Q$10,$M$5-1,0,1,1))),(1/Q49)/SUM(1/Q$10:OFFSET(Q$10,$M$5-1,0,1,1))),"")</f>
        <v>3.6329544122817296E-2</v>
      </c>
      <c r="R105" s="202">
        <f ca="1">IF(AND(ISNUMBER($L105),ISNUMBER(R$5)),IF(R$7=1,(R49)/(SUM(R$10:OFFSET(R$10,$M$5-1,0,1,1))),(1/R49)/SUM(1/R$10:OFFSET(R$10,$M$5-1,0,1,1))),"")</f>
        <v>2.1891377950929922E-2</v>
      </c>
      <c r="S105" s="202">
        <f ca="1">IF(AND(ISNUMBER($L105),ISNUMBER(S$5)),IF(S$7=1,(S49)/(SUM(S$10:OFFSET(S$10,$M$5-1,0,1,1))),(1/S49)/SUM(1/S$10:OFFSET(S$10,$M$5-1,0,1,1))),"")</f>
        <v>1.9600213997373668E-2</v>
      </c>
      <c r="T105" s="187"/>
      <c r="U105" s="199"/>
      <c r="V105" s="197">
        <v>40</v>
      </c>
      <c r="W105" s="198" t="s">
        <v>96</v>
      </c>
      <c r="X105" s="202">
        <f ca="1">IF(AND(ISNUMBER($V105),ISNUMBER(X$5)),IF(X$7=1,(X49)/(SUM(X$10:OFFSET(X$10,$W$5-1,0,1,1))),(1/X49)/SUM(1/X$10:OFFSET(X$10,$W$5-1,0,1,1))),"")</f>
        <v>1.8667758447691026E-2</v>
      </c>
      <c r="Y105" s="202">
        <f ca="1">IF(AND(ISNUMBER($V105),ISNUMBER(Y$5)),IF(Y$7=1,(Y49)/(SUM(Y$10:OFFSET(Y$10,$W$5-1,0,1,1))),(1/Y49)/SUM(1/Y$10:OFFSET(Y$10,$W$5-1,0,1,1))),"")</f>
        <v>2.8475534165653245E-2</v>
      </c>
      <c r="Z105" s="202">
        <f ca="1">IF(AND(ISNUMBER($V105),ISNUMBER(Z$5)),IF(Z$7=1,(Z49)/(SUM(Z$10:OFFSET(Z$10,$W$5-1,0,1,1))),(1/Z49)/SUM(1/Z$10:OFFSET(Z$10,$W$5-1,0,1,1))),"")</f>
        <v>2.5382903086481272E-2</v>
      </c>
      <c r="AA105" s="202">
        <f ca="1">IF(AND(ISNUMBER($V105),ISNUMBER(AA$5)),IF(AA$7=1,(AA49)/(SUM(AA$10:OFFSET(AA$10,$W$5-1,0,1,1))),(1/AA49)/SUM(1/AA$10:OFFSET(AA$10,$W$5-1,0,1,1))),"")</f>
        <v>3.7668929248455947E-2</v>
      </c>
      <c r="AB105" s="202">
        <f ca="1">IF(AND(ISNUMBER($V105),ISNUMBER(AB$5)),IF(AB$7=1,(AB49)/(SUM(AB$10:OFFSET(AB$10,$W$5-1,0,1,1))),(1/AB49)/SUM(1/AB$10:OFFSET(AB$10,$W$5-1,0,1,1))),"")</f>
        <v>2.2457160270986189E-2</v>
      </c>
      <c r="AC105" s="202">
        <f ca="1">IF(AND(ISNUMBER($V105),ISNUMBER(AC$5)),IF(AC$7=1,(AC49)/(SUM(AC$10:OFFSET(AC$10,$W$5-1,0,1,1))),(1/AC49)/SUM(1/AC$10:OFFSET(AC$10,$W$5-1,0,1,1))),"")</f>
        <v>1.8787937180845933E-2</v>
      </c>
    </row>
    <row r="106" spans="1:29" ht="14.25" customHeight="1">
      <c r="A106" s="199"/>
      <c r="B106" s="197">
        <v>41</v>
      </c>
      <c r="C106" s="198" t="s">
        <v>97</v>
      </c>
      <c r="D106" s="202">
        <f ca="1">IF(AND(ISNUMBER($B106),ISNUMBER(D$5)),IF(D$7=1,(D50)/(SUM(D$10:OFFSET(D$10,$C$5-1,0,1,1))),(1/D50)/SUM(1/D$10:OFFSET(D$10,$C$5-1,0,1,1))),"")</f>
        <v>4.7599765085103031E-2</v>
      </c>
      <c r="E106" s="202">
        <f ca="1">IF(AND(ISNUMBER($B106),ISNUMBER(E$5)),IF(E$7=1,(E50)/(SUM(E$10:OFFSET(E$10,$C$5-1,0,1,1))),(1/E50)/SUM(1/E$10:OFFSET(E$10,$C$5-1,0,1,1))),"")</f>
        <v>4.8393044405494696E-2</v>
      </c>
      <c r="F106" s="202">
        <f ca="1">IF(AND(ISNUMBER($B106),ISNUMBER(F$5)),IF(F$7=1,(F50)/(SUM(F$10:OFFSET(F$10,$C$5-1,0,1,1))),(1/F50)/SUM(1/F$10:OFFSET(F$10,$C$5-1,0,1,1))),"")</f>
        <v>3.9139318094751623E-2</v>
      </c>
      <c r="G106" s="202">
        <f ca="1">IF(AND(ISNUMBER($B106),ISNUMBER(G$5)),IF(G$7=1,(G50)/(SUM(G$10:OFFSET(G$10,$C$5-1,0,1,1))),(1/G50)/SUM(1/G$10:OFFSET(G$10,$C$5-1,0,1,1))),"")</f>
        <v>3.7468030690537099E-2</v>
      </c>
      <c r="H106" s="202">
        <f ca="1">IF(AND(ISNUMBER($B106),ISNUMBER(H$5)),IF(H$7=1,(H50)/(SUM(H$10:OFFSET(H$10,$C$5-1,0,1,1))),(1/H50)/SUM(1/H$10:OFFSET(H$10,$C$5-1,0,1,1))),"")</f>
        <v>2.2371788795146463E-2</v>
      </c>
      <c r="I106" s="202">
        <f ca="1">IF(AND(ISNUMBER($B106),ISNUMBER(I$5)),IF(I$7=1,(I50)/(SUM(I$10:OFFSET(I$10,$C$5-1,0,1,1))),(1/I50)/SUM(1/I$10:OFFSET(I$10,$C$5-1,0,1,1))),"")</f>
        <v>2.8346456692913385E-2</v>
      </c>
      <c r="J106" s="187"/>
      <c r="K106" s="199"/>
      <c r="L106" s="197">
        <v>41</v>
      </c>
      <c r="M106" s="198" t="s">
        <v>97</v>
      </c>
      <c r="N106" s="202">
        <f ca="1">IF(AND(ISNUMBER($L106),ISNUMBER(N$5)),IF(N$7=1,(N50)/(SUM(N$10:OFFSET(N$10,$M$5-1,0,1,1))),(1/N50)/SUM(1/N$10:OFFSET(N$10,$M$5-1,0,1,1))),"")</f>
        <v>4.8025062799128056E-2</v>
      </c>
      <c r="O106" s="202">
        <f ca="1">IF(AND(ISNUMBER($L106),ISNUMBER(O$5)),IF(O$7=1,(O50)/(SUM(O$10:OFFSET(O$10,$M$5-1,0,1,1))),(1/O50)/SUM(1/O$10:OFFSET(O$10,$M$5-1,0,1,1))),"")</f>
        <v>4.4294787123682566E-2</v>
      </c>
      <c r="P106" s="202">
        <f ca="1">IF(AND(ISNUMBER($L106),ISNUMBER(P$5)),IF(P$7=1,(P50)/(SUM(P$10:OFFSET(P$10,$M$5-1,0,1,1))),(1/P50)/SUM(1/P$10:OFFSET(P$10,$M$5-1,0,1,1))),"")</f>
        <v>4.2945210223730698E-2</v>
      </c>
      <c r="Q106" s="202">
        <f ca="1">IF(AND(ISNUMBER($L106),ISNUMBER(Q$5)),IF(Q$7=1,(Q50)/(SUM(Q$10:OFFSET(Q$10,$M$5-1,0,1,1))),(1/Q50)/SUM(1/Q$10:OFFSET(Q$10,$M$5-1,0,1,1))),"")</f>
        <v>3.4220086722137583E-2</v>
      </c>
      <c r="R106" s="202">
        <f ca="1">IF(AND(ISNUMBER($L106),ISNUMBER(R$5)),IF(R$7=1,(R50)/(SUM(R$10:OFFSET(R$10,$M$5-1,0,1,1))),(1/R50)/SUM(1/R$10:OFFSET(R$10,$M$5-1,0,1,1))),"")</f>
        <v>1.9989796391633043E-2</v>
      </c>
      <c r="S106" s="202">
        <f ca="1">IF(AND(ISNUMBER($L106),ISNUMBER(S$5)),IF(S$7=1,(S50)/(SUM(S$10:OFFSET(S$10,$M$5-1,0,1,1))),(1/S50)/SUM(1/S$10:OFFSET(S$10,$M$5-1,0,1,1))),"")</f>
        <v>2.8451923544574681E-2</v>
      </c>
      <c r="T106" s="187"/>
      <c r="U106" s="199"/>
      <c r="V106" s="197">
        <v>41</v>
      </c>
      <c r="W106" s="198" t="s">
        <v>97</v>
      </c>
      <c r="X106" s="202">
        <f ca="1">IF(AND(ISNUMBER($V106),ISNUMBER(X$5)),IF(X$7=1,(X50)/(SUM(X$10:OFFSET(X$10,$W$5-1,0,1,1))),(1/X50)/SUM(1/X$10:OFFSET(X$10,$W$5-1,0,1,1))),"")</f>
        <v>4.7800775419087622E-2</v>
      </c>
      <c r="Y106" s="202">
        <f ca="1">IF(AND(ISNUMBER($V106),ISNUMBER(Y$5)),IF(Y$7=1,(Y50)/(SUM(Y$10:OFFSET(Y$10,$W$5-1,0,1,1))),(1/Y50)/SUM(1/Y$10:OFFSET(Y$10,$W$5-1,0,1,1))),"")</f>
        <v>4.6295414622821593E-2</v>
      </c>
      <c r="Z106" s="202">
        <f ca="1">IF(AND(ISNUMBER($V106),ISNUMBER(Z$5)),IF(Z$7=1,(Z50)/(SUM(Z$10:OFFSET(Z$10,$W$5-1,0,1,1))),(1/Z50)/SUM(1/Z$10:OFFSET(Z$10,$W$5-1,0,1,1))),"")</f>
        <v>4.0964816106847386E-2</v>
      </c>
      <c r="AA106" s="202">
        <f ca="1">IF(AND(ISNUMBER($V106),ISNUMBER(AA$5)),IF(AA$7=1,(AA50)/(SUM(AA$10:OFFSET(AA$10,$W$5-1,0,1,1))),(1/AA50)/SUM(1/AA$10:OFFSET(AA$10,$W$5-1,0,1,1))),"")</f>
        <v>3.5773252614199239E-2</v>
      </c>
      <c r="AB106" s="202">
        <f ca="1">IF(AND(ISNUMBER($V106),ISNUMBER(AB$5)),IF(AB$7=1,(AB50)/(SUM(AB$10:OFFSET(AB$10,$W$5-1,0,1,1))),(1/AB50)/SUM(1/AB$10:OFFSET(AB$10,$W$5-1,0,1,1))),"")</f>
        <v>2.1167866100940007E-2</v>
      </c>
      <c r="AC106" s="202">
        <f ca="1">IF(AND(ISNUMBER($V106),ISNUMBER(AC$5)),IF(AC$7=1,(AC50)/(SUM(AC$10:OFFSET(AC$10,$W$5-1,0,1,1))),(1/AC50)/SUM(1/AC$10:OFFSET(AC$10,$W$5-1,0,1,1))),"")</f>
        <v>2.8398689661817123E-2</v>
      </c>
    </row>
    <row r="107" spans="1:29" ht="14.25" customHeight="1">
      <c r="A107" s="199"/>
      <c r="B107" s="197">
        <v>42</v>
      </c>
      <c r="C107" s="198" t="s">
        <v>98</v>
      </c>
      <c r="D107" s="202">
        <f ca="1">IF(AND(ISNUMBER($B107),ISNUMBER(D$5)),IF(D$7=1,(D51)/(SUM(D$10:OFFSET(D$10,$C$5-1,0,1,1))),(1/D51)/SUM(1/D$10:OFFSET(D$10,$C$5-1,0,1,1))),"")</f>
        <v>2.0648912177763004E-2</v>
      </c>
      <c r="E107" s="202">
        <f ca="1">IF(AND(ISNUMBER($B107),ISNUMBER(E$5)),IF(E$7=1,(E51)/(SUM(E$10:OFFSET(E$10,$C$5-1,0,1,1))),(1/E51)/SUM(1/E$10:OFFSET(E$10,$C$5-1,0,1,1))),"")</f>
        <v>1.5511781987941677E-2</v>
      </c>
      <c r="F107" s="202">
        <f ca="1">IF(AND(ISNUMBER($B107),ISNUMBER(F$5)),IF(F$7=1,(F51)/(SUM(F$10:OFFSET(F$10,$C$5-1,0,1,1))),(1/F51)/SUM(1/F$10:OFFSET(F$10,$C$5-1,0,1,1))),"")</f>
        <v>1.3599795683820713E-2</v>
      </c>
      <c r="G107" s="202">
        <f ca="1">IF(AND(ISNUMBER($B107),ISNUMBER(G$5)),IF(G$7=1,(G51)/(SUM(G$10:OFFSET(G$10,$C$5-1,0,1,1))),(1/G51)/SUM(1/G$10:OFFSET(G$10,$C$5-1,0,1,1))),"")</f>
        <v>2.1867007672634282E-2</v>
      </c>
      <c r="H107" s="202">
        <f ca="1">IF(AND(ISNUMBER($B107),ISNUMBER(H$5)),IF(H$7=1,(H51)/(SUM(H$10:OFFSET(H$10,$C$5-1,0,1,1))),(1/H51)/SUM(1/H$10:OFFSET(H$10,$C$5-1,0,1,1))),"")</f>
        <v>1.4835529434069582E-2</v>
      </c>
      <c r="I107" s="202">
        <f ca="1">IF(AND(ISNUMBER($B107),ISNUMBER(I$5)),IF(I$7=1,(I51)/(SUM(I$10:OFFSET(I$10,$C$5-1,0,1,1))),(1/I51)/SUM(1/I$10:OFFSET(I$10,$C$5-1,0,1,1))),"")</f>
        <v>1.3266523502743975E-2</v>
      </c>
      <c r="J107" s="187"/>
      <c r="K107" s="199"/>
      <c r="L107" s="197">
        <v>42</v>
      </c>
      <c r="M107" s="198" t="s">
        <v>98</v>
      </c>
      <c r="N107" s="202">
        <f ca="1">IF(AND(ISNUMBER($L107),ISNUMBER(N$5)),IF(N$7=1,(N51)/(SUM(N$10:OFFSET(N$10,$M$5-1,0,1,1))),(1/N51)/SUM(1/N$10:OFFSET(N$10,$M$5-1,0,1,1))),"")</f>
        <v>1.8102905291883159E-2</v>
      </c>
      <c r="O107" s="202">
        <f ca="1">IF(AND(ISNUMBER($L107),ISNUMBER(O$5)),IF(O$7=1,(O51)/(SUM(O$10:OFFSET(O$10,$M$5-1,0,1,1))),(1/O51)/SUM(1/O$10:OFFSET(O$10,$M$5-1,0,1,1))),"")</f>
        <v>1.2934077840115309E-2</v>
      </c>
      <c r="P107" s="202">
        <f ca="1">IF(AND(ISNUMBER($L107),ISNUMBER(P$5)),IF(P$7=1,(P51)/(SUM(P$10:OFFSET(P$10,$M$5-1,0,1,1))),(1/P51)/SUM(1/P$10:OFFSET(P$10,$M$5-1,0,1,1))),"")</f>
        <v>1.7593682898109027E-2</v>
      </c>
      <c r="Q107" s="202">
        <f ca="1">IF(AND(ISNUMBER($L107),ISNUMBER(Q$5)),IF(Q$7=1,(Q51)/(SUM(Q$10:OFFSET(Q$10,$M$5-1,0,1,1))),(1/Q51)/SUM(1/Q$10:OFFSET(Q$10,$M$5-1,0,1,1))),"")</f>
        <v>2.2852455174030235E-2</v>
      </c>
      <c r="R107" s="202">
        <f ca="1">IF(AND(ISNUMBER($L107),ISNUMBER(R$5)),IF(R$7=1,(R51)/(SUM(R$10:OFFSET(R$10,$M$5-1,0,1,1))),(1/R51)/SUM(1/R$10:OFFSET(R$10,$M$5-1,0,1,1))),"")</f>
        <v>1.4516951903900562E-2</v>
      </c>
      <c r="S107" s="202">
        <f ca="1">IF(AND(ISNUMBER($L107),ISNUMBER(S$5)),IF(S$7=1,(S51)/(SUM(S$10:OFFSET(S$10,$M$5-1,0,1,1))),(1/S51)/SUM(1/S$10:OFFSET(S$10,$M$5-1,0,1,1))),"")</f>
        <v>1.220757745245854E-2</v>
      </c>
      <c r="T107" s="187"/>
      <c r="U107" s="199"/>
      <c r="V107" s="197">
        <v>42</v>
      </c>
      <c r="W107" s="198" t="s">
        <v>98</v>
      </c>
      <c r="X107" s="202">
        <f ca="1">IF(AND(ISNUMBER($V107),ISNUMBER(X$5)),IF(X$7=1,(X51)/(SUM(X$10:OFFSET(X$10,$W$5-1,0,1,1))),(1/X51)/SUM(1/X$10:OFFSET(X$10,$W$5-1,0,1,1))),"")</f>
        <v>1.944558171634482E-2</v>
      </c>
      <c r="Y107" s="202">
        <f ca="1">IF(AND(ISNUMBER($V107),ISNUMBER(Y$5)),IF(Y$7=1,(Y51)/(SUM(Y$10:OFFSET(Y$10,$W$5-1,0,1,1))),(1/Y51)/SUM(1/Y$10:OFFSET(Y$10,$W$5-1,0,1,1))),"")</f>
        <v>1.4192423875556474E-2</v>
      </c>
      <c r="Z107" s="202">
        <f ca="1">IF(AND(ISNUMBER($V107),ISNUMBER(Z$5)),IF(Z$7=1,(Z51)/(SUM(Z$10:OFFSET(Z$10,$W$5-1,0,1,1))),(1/Z51)/SUM(1/Z$10:OFFSET(Z$10,$W$5-1,0,1,1))),"")</f>
        <v>1.5515465630087374E-2</v>
      </c>
      <c r="AA107" s="202">
        <f ca="1">IF(AND(ISNUMBER($V107),ISNUMBER(AA$5)),IF(AA$7=1,(AA51)/(SUM(AA$10:OFFSET(AA$10,$W$5-1,0,1,1))),(1/AA51)/SUM(1/AA$10:OFFSET(AA$10,$W$5-1,0,1,1))),"")</f>
        <v>2.2381214456063111E-2</v>
      </c>
      <c r="AB107" s="202">
        <f ca="1">IF(AND(ISNUMBER($V107),ISNUMBER(AB$5)),IF(AB$7=1,(AB51)/(SUM(AB$10:OFFSET(AB$10,$W$5-1,0,1,1))),(1/AB51)/SUM(1/AB$10:OFFSET(AB$10,$W$5-1,0,1,1))),"")</f>
        <v>1.4674511826343791E-2</v>
      </c>
      <c r="AC107" s="202">
        <f ca="1">IF(AND(ISNUMBER($V107),ISNUMBER(AC$5)),IF(AC$7=1,(AC51)/(SUM(AC$10:OFFSET(AC$10,$W$5-1,0,1,1))),(1/AC51)/SUM(1/AC$10:OFFSET(AC$10,$W$5-1,0,1,1))),"")</f>
        <v>1.2742075344445512E-2</v>
      </c>
    </row>
    <row r="108" spans="1:29" ht="14.25" customHeight="1">
      <c r="A108" s="199"/>
      <c r="B108" s="197">
        <v>43</v>
      </c>
      <c r="C108" s="198" t="s">
        <v>99</v>
      </c>
      <c r="D108" s="202">
        <f ca="1">IF(AND(ISNUMBER($B108),ISNUMBER(D$5)),IF(D$7=1,(D52)/(SUM(D$10:OFFSET(D$10,$C$5-1,0,1,1))),(1/D52)/SUM(1/D$10:OFFSET(D$10,$C$5-1,0,1,1))),"")</f>
        <v>2.5207762918308084E-2</v>
      </c>
      <c r="E108" s="202">
        <f ca="1">IF(AND(ISNUMBER($B108),ISNUMBER(E$5)),IF(E$7=1,(E52)/(SUM(E$10:OFFSET(E$10,$C$5-1,0,1,1))),(1/E52)/SUM(1/E$10:OFFSET(E$10,$C$5-1,0,1,1))),"")</f>
        <v>2.7586821858794481E-2</v>
      </c>
      <c r="F108" s="202">
        <f ca="1">IF(AND(ISNUMBER($B108),ISNUMBER(F$5)),IF(F$7=1,(F52)/(SUM(F$10:OFFSET(F$10,$C$5-1,0,1,1))),(1/F52)/SUM(1/F$10:OFFSET(F$10,$C$5-1,0,1,1))),"")</f>
        <v>1.9090793002170859E-2</v>
      </c>
      <c r="G108" s="202">
        <f ca="1">IF(AND(ISNUMBER($B108),ISNUMBER(G$5)),IF(G$7=1,(G52)/(SUM(G$10:OFFSET(G$10,$C$5-1,0,1,1))),(1/G52)/SUM(1/G$10:OFFSET(G$10,$C$5-1,0,1,1))),"")</f>
        <v>1.4066496163682871E-2</v>
      </c>
      <c r="H108" s="202">
        <f ca="1">IF(AND(ISNUMBER($B108),ISNUMBER(H$5)),IF(H$7=1,(H52)/(SUM(H$10:OFFSET(H$10,$C$5-1,0,1,1))),(1/H52)/SUM(1/H$10:OFFSET(H$10,$C$5-1,0,1,1))),"")</f>
        <v>2.5168262394539769E-2</v>
      </c>
      <c r="I108" s="202">
        <f ca="1">IF(AND(ISNUMBER($B108),ISNUMBER(I$5)),IF(I$7=1,(I52)/(SUM(I$10:OFFSET(I$10,$C$5-1,0,1,1))),(1/I52)/SUM(1/I$10:OFFSET(I$10,$C$5-1,0,1,1))),"")</f>
        <v>2.4242424242424242E-2</v>
      </c>
      <c r="J108" s="187"/>
      <c r="K108" s="199"/>
      <c r="L108" s="197">
        <v>43</v>
      </c>
      <c r="M108" s="198" t="s">
        <v>99</v>
      </c>
      <c r="N108" s="202">
        <f ca="1">IF(AND(ISNUMBER($L108),ISNUMBER(N$5)),IF(N$7=1,(N52)/(SUM(N$10:OFFSET(N$10,$M$5-1,0,1,1))),(1/N52)/SUM(1/N$10:OFFSET(N$10,$M$5-1,0,1,1))),"")</f>
        <v>2.3040061280578568E-2</v>
      </c>
      <c r="O108" s="202">
        <f ca="1">IF(AND(ISNUMBER($L108),ISNUMBER(O$5)),IF(O$7=1,(O52)/(SUM(O$10:OFFSET(O$10,$M$5-1,0,1,1))),(1/O52)/SUM(1/O$10:OFFSET(O$10,$M$5-1,0,1,1))),"")</f>
        <v>2.2678931007325473E-2</v>
      </c>
      <c r="P108" s="202">
        <f ca="1">IF(AND(ISNUMBER($L108),ISNUMBER(P$5)),IF(P$7=1,(P52)/(SUM(P$10:OFFSET(P$10,$M$5-1,0,1,1))),(1/P52)/SUM(1/P$10:OFFSET(P$10,$M$5-1,0,1,1))),"")</f>
        <v>1.8286347579136941E-2</v>
      </c>
      <c r="Q108" s="202">
        <f ca="1">IF(AND(ISNUMBER($L108),ISNUMBER(Q$5)),IF(Q$7=1,(Q52)/(SUM(Q$10:OFFSET(Q$10,$M$5-1,0,1,1))),(1/Q52)/SUM(1/Q$10:OFFSET(Q$10,$M$5-1,0,1,1))),"")</f>
        <v>1.2891128559709364E-2</v>
      </c>
      <c r="R108" s="202">
        <f ca="1">IF(AND(ISNUMBER($L108),ISNUMBER(R$5)),IF(R$7=1,(R52)/(SUM(R$10:OFFSET(R$10,$M$5-1,0,1,1))),(1/R52)/SUM(1/R$10:OFFSET(R$10,$M$5-1,0,1,1))),"")</f>
        <v>2.731784240063077E-2</v>
      </c>
      <c r="S108" s="202">
        <f ca="1">IF(AND(ISNUMBER($L108),ISNUMBER(S$5)),IF(S$7=1,(S52)/(SUM(S$10:OFFSET(S$10,$M$5-1,0,1,1))),(1/S52)/SUM(1/S$10:OFFSET(S$10,$M$5-1,0,1,1))),"")</f>
        <v>2.4561062205145666E-2</v>
      </c>
      <c r="T108" s="187"/>
      <c r="U108" s="199"/>
      <c r="V108" s="197">
        <v>43</v>
      </c>
      <c r="W108" s="198" t="s">
        <v>99</v>
      </c>
      <c r="X108" s="202">
        <f ca="1">IF(AND(ISNUMBER($V108),ISNUMBER(X$5)),IF(X$7=1,(X52)/(SUM(X$10:OFFSET(X$10,$W$5-1,0,1,1))),(1/X52)/SUM(1/X$10:OFFSET(X$10,$W$5-1,0,1,1))),"")</f>
        <v>2.4183232534508832E-2</v>
      </c>
      <c r="Y108" s="202">
        <f ca="1">IF(AND(ISNUMBER($V108),ISNUMBER(Y$5)),IF(Y$7=1,(Y52)/(SUM(Y$10:OFFSET(Y$10,$W$5-1,0,1,1))),(1/Y52)/SUM(1/Y$10:OFFSET(Y$10,$W$5-1,0,1,1))),"")</f>
        <v>2.5074793620392107E-2</v>
      </c>
      <c r="Z108" s="202">
        <f ca="1">IF(AND(ISNUMBER($V108),ISNUMBER(Z$5)),IF(Z$7=1,(Z52)/(SUM(Z$10:OFFSET(Z$10,$W$5-1,0,1,1))),(1/Z52)/SUM(1/Z$10:OFFSET(Z$10,$W$5-1,0,1,1))),"")</f>
        <v>1.8704940363467218E-2</v>
      </c>
      <c r="AA108" s="202">
        <f ca="1">IF(AND(ISNUMBER($V108),ISNUMBER(AA$5)),IF(AA$7=1,(AA52)/(SUM(AA$10:OFFSET(AA$10,$W$5-1,0,1,1))),(1/AA52)/SUM(1/AA$10:OFFSET(AA$10,$W$5-1,0,1,1))),"")</f>
        <v>1.3453189017305696E-2</v>
      </c>
      <c r="AB108" s="202">
        <f ca="1">IF(AND(ISNUMBER($V108),ISNUMBER(AB$5)),IF(AB$7=1,(AB52)/(SUM(AB$10:OFFSET(AB$10,$W$5-1,0,1,1))),(1/AB52)/SUM(1/AB$10:OFFSET(AB$10,$W$5-1,0,1,1))),"")</f>
        <v>2.625471764457675E-2</v>
      </c>
      <c r="AC108" s="202">
        <f ca="1">IF(AND(ISNUMBER($V108),ISNUMBER(AC$5)),IF(AC$7=1,(AC52)/(SUM(AC$10:OFFSET(AC$10,$W$5-1,0,1,1))),(1/AC52)/SUM(1/AC$10:OFFSET(AC$10,$W$5-1,0,1,1))),"")</f>
        <v>2.440023123614991E-2</v>
      </c>
    </row>
    <row r="109" spans="1:29" ht="14.25" customHeight="1">
      <c r="A109" s="199"/>
      <c r="B109" s="197">
        <v>44</v>
      </c>
      <c r="C109" s="198" t="s">
        <v>100</v>
      </c>
      <c r="D109" s="202">
        <f ca="1">IF(AND(ISNUMBER($B109),ISNUMBER(D$5)),IF(D$7=1,(D53)/(SUM(D$10:OFFSET(D$10,$C$5-1,0,1,1))),(1/D53)/SUM(1/D$10:OFFSET(D$10,$C$5-1,0,1,1))),"")</f>
        <v>1.8235402962180316E-2</v>
      </c>
      <c r="E109" s="202">
        <f ca="1">IF(AND(ISNUMBER($B109),ISNUMBER(E$5)),IF(E$7=1,(E53)/(SUM(E$10:OFFSET(E$10,$C$5-1,0,1,1))),(1/E53)/SUM(1/E$10:OFFSET(E$10,$C$5-1,0,1,1))),"")</f>
        <v>2.517181388462392E-2</v>
      </c>
      <c r="F109" s="202">
        <f ca="1">IF(AND(ISNUMBER($B109),ISNUMBER(F$5)),IF(F$7=1,(F53)/(SUM(F$10:OFFSET(F$10,$C$5-1,0,1,1))),(1/F53)/SUM(1/F$10:OFFSET(F$10,$C$5-1,0,1,1))),"")</f>
        <v>1.9346188226280168E-2</v>
      </c>
      <c r="G109" s="202">
        <f ca="1">IF(AND(ISNUMBER($B109),ISNUMBER(G$5)),IF(G$7=1,(G53)/(SUM(G$10:OFFSET(G$10,$C$5-1,0,1,1))),(1/G53)/SUM(1/G$10:OFFSET(G$10,$C$5-1,0,1,1))),"")</f>
        <v>1.4705882352941183E-2</v>
      </c>
      <c r="H109" s="202">
        <f ca="1">IF(AND(ISNUMBER($B109),ISNUMBER(H$5)),IF(H$7=1,(H53)/(SUM(H$10:OFFSET(H$10,$C$5-1,0,1,1))),(1/H53)/SUM(1/H$10:OFFSET(H$10,$C$5-1,0,1,1))),"")</f>
        <v>1.5783486586406294E-2</v>
      </c>
      <c r="I109" s="202">
        <f ca="1">IF(AND(ISNUMBER($B109),ISNUMBER(I$5)),IF(I$7=1,(I53)/(SUM(I$10:OFFSET(I$10,$C$5-1,0,1,1))),(1/I53)/SUM(1/I$10:OFFSET(I$10,$C$5-1,0,1,1))),"")</f>
        <v>1.9518014793605345E-2</v>
      </c>
      <c r="J109" s="187"/>
      <c r="K109" s="199"/>
      <c r="L109" s="197">
        <v>44</v>
      </c>
      <c r="M109" s="198" t="s">
        <v>100</v>
      </c>
      <c r="N109" s="202">
        <f ca="1">IF(AND(ISNUMBER($L109),ISNUMBER(N$5)),IF(N$7=1,(N53)/(SUM(N$10:OFFSET(N$10,$M$5-1,0,1,1))),(1/N53)/SUM(1/N$10:OFFSET(N$10,$M$5-1,0,1,1))),"")</f>
        <v>1.5260300328694895E-2</v>
      </c>
      <c r="O109" s="202">
        <f ca="1">IF(AND(ISNUMBER($L109),ISNUMBER(O$5)),IF(O$7=1,(O53)/(SUM(O$10:OFFSET(O$10,$M$5-1,0,1,1))),(1/O53)/SUM(1/O$10:OFFSET(O$10,$M$5-1,0,1,1))),"")</f>
        <v>3.0651992689588337E-2</v>
      </c>
      <c r="P109" s="202">
        <f ca="1">IF(AND(ISNUMBER($L109),ISNUMBER(P$5)),IF(P$7=1,(P53)/(SUM(P$10:OFFSET(P$10,$M$5-1,0,1,1))),(1/P53)/SUM(1/P$10:OFFSET(P$10,$M$5-1,0,1,1))),"")</f>
        <v>1.8701946387753691E-2</v>
      </c>
      <c r="Q109" s="202">
        <f ca="1">IF(AND(ISNUMBER($L109),ISNUMBER(Q$5)),IF(Q$7=1,(Q53)/(SUM(Q$10:OFFSET(Q$10,$M$5-1,0,1,1))),(1/Q53)/SUM(1/Q$10:OFFSET(Q$10,$M$5-1,0,1,1))),"")</f>
        <v>1.6172506738544475E-2</v>
      </c>
      <c r="R109" s="202">
        <f ca="1">IF(AND(ISNUMBER($L109),ISNUMBER(R$5)),IF(R$7=1,(R53)/(SUM(R$10:OFFSET(R$10,$M$5-1,0,1,1))),(1/R53)/SUM(1/R$10:OFFSET(R$10,$M$5-1,0,1,1))),"")</f>
        <v>1.7856314642178007E-2</v>
      </c>
      <c r="S109" s="202">
        <f ca="1">IF(AND(ISNUMBER($L109),ISNUMBER(S$5)),IF(S$7=1,(S53)/(SUM(S$10:OFFSET(S$10,$M$5-1,0,1,1))),(1/S53)/SUM(1/S$10:OFFSET(S$10,$M$5-1,0,1,1))),"")</f>
        <v>2.0718836632459513E-2</v>
      </c>
      <c r="T109" s="187"/>
      <c r="U109" s="199"/>
      <c r="V109" s="197">
        <v>44</v>
      </c>
      <c r="W109" s="198" t="s">
        <v>100</v>
      </c>
      <c r="X109" s="202">
        <f ca="1">IF(AND(ISNUMBER($V109),ISNUMBER(X$5)),IF(X$7=1,(X53)/(SUM(X$10:OFFSET(X$10,$W$5-1,0,1,1))),(1/X53)/SUM(1/X$10:OFFSET(X$10,$W$5-1,0,1,1))),"")</f>
        <v>1.6829267085418424E-2</v>
      </c>
      <c r="Y109" s="202">
        <f ca="1">IF(AND(ISNUMBER($V109),ISNUMBER(Y$5)),IF(Y$7=1,(Y53)/(SUM(Y$10:OFFSET(Y$10,$W$5-1,0,1,1))),(1/Y53)/SUM(1/Y$10:OFFSET(Y$10,$W$5-1,0,1,1))),"")</f>
        <v>2.7976758885681612E-2</v>
      </c>
      <c r="Z109" s="202">
        <f ca="1">IF(AND(ISNUMBER($V109),ISNUMBER(Z$5)),IF(Z$7=1,(Z53)/(SUM(Z$10:OFFSET(Z$10,$W$5-1,0,1,1))),(1/Z53)/SUM(1/Z$10:OFFSET(Z$10,$W$5-1,0,1,1))),"")</f>
        <v>1.9037177314860952E-2</v>
      </c>
      <c r="AA109" s="202">
        <f ca="1">IF(AND(ISNUMBER($V109),ISNUMBER(AA$5)),IF(AA$7=1,(AA53)/(SUM(AA$10:OFFSET(AA$10,$W$5-1,0,1,1))),(1/AA53)/SUM(1/AA$10:OFFSET(AA$10,$W$5-1,0,1,1))),"")</f>
        <v>1.547116736990155E-2</v>
      </c>
      <c r="AB109" s="202">
        <f ca="1">IF(AND(ISNUMBER($V109),ISNUMBER(AB$5)),IF(AB$7=1,(AB53)/(SUM(AB$10:OFFSET(AB$10,$W$5-1,0,1,1))),(1/AB53)/SUM(1/AB$10:OFFSET(AB$10,$W$5-1,0,1,1))),"")</f>
        <v>1.683114934714831E-2</v>
      </c>
      <c r="AC109" s="202">
        <f ca="1">IF(AND(ISNUMBER($V109),ISNUMBER(AC$5)),IF(AC$7=1,(AC53)/(SUM(AC$10:OFFSET(AC$10,$W$5-1,0,1,1))),(1/AC53)/SUM(1/AC$10:OFFSET(AC$10,$W$5-1,0,1,1))),"")</f>
        <v>2.011272762308507E-2</v>
      </c>
    </row>
    <row r="110" spans="1:29" ht="14.25" customHeight="1">
      <c r="A110" s="199"/>
      <c r="B110" s="197">
        <v>45</v>
      </c>
      <c r="C110" s="198" t="s">
        <v>101</v>
      </c>
      <c r="D110" s="202">
        <f ca="1">IF(AND(ISNUMBER($B110),ISNUMBER(D$5)),IF(D$7=1,(D54)/(SUM(D$10:OFFSET(D$10,$C$5-1,0,1,1))),(1/D54)/SUM(1/D$10:OFFSET(D$10,$C$5-1,0,1,1))),"")</f>
        <v>3.0705200576024206E-2</v>
      </c>
      <c r="E110" s="202">
        <f ca="1">IF(AND(ISNUMBER($B110),ISNUMBER(E$5)),IF(E$7=1,(E54)/(SUM(E$10:OFFSET(E$10,$C$5-1,0,1,1))),(1/E54)/SUM(1/E$10:OFFSET(E$10,$C$5-1,0,1,1))),"")</f>
        <v>3.2509722729219086E-2</v>
      </c>
      <c r="F110" s="202">
        <f ca="1">IF(AND(ISNUMBER($B110),ISNUMBER(F$5)),IF(F$7=1,(F54)/(SUM(F$10:OFFSET(F$10,$C$5-1,0,1,1))),(1/F54)/SUM(1/F$10:OFFSET(F$10,$C$5-1,0,1,1))),"")</f>
        <v>2.8795811518324606E-2</v>
      </c>
      <c r="G110" s="202">
        <f ca="1">IF(AND(ISNUMBER($B110),ISNUMBER(G$5)),IF(G$7=1,(G54)/(SUM(G$10:OFFSET(G$10,$C$5-1,0,1,1))),(1/G54)/SUM(1/G$10:OFFSET(G$10,$C$5-1,0,1,1))),"")</f>
        <v>2.6086956521739139E-2</v>
      </c>
      <c r="H110" s="202">
        <f ca="1">IF(AND(ISNUMBER($B110),ISNUMBER(H$5)),IF(H$7=1,(H54)/(SUM(H$10:OFFSET(H$10,$C$5-1,0,1,1))),(1/H54)/SUM(1/H$10:OFFSET(H$10,$C$5-1,0,1,1))),"")</f>
        <v>3.1851360318513607E-2</v>
      </c>
      <c r="I110" s="202">
        <f ca="1">IF(AND(ISNUMBER($B110),ISNUMBER(I$5)),IF(I$7=1,(I54)/(SUM(I$10:OFFSET(I$10,$C$5-1,0,1,1))),(1/I54)/SUM(1/I$10:OFFSET(I$10,$C$5-1,0,1,1))),"")</f>
        <v>2.0711047482701025E-2</v>
      </c>
      <c r="J110" s="187"/>
      <c r="K110" s="199"/>
      <c r="L110" s="197">
        <v>45</v>
      </c>
      <c r="M110" s="198" t="s">
        <v>101</v>
      </c>
      <c r="N110" s="202">
        <f ca="1">IF(AND(ISNUMBER($L110),ISNUMBER(N$5)),IF(N$7=1,(N54)/(SUM(N$10:OFFSET(N$10,$M$5-1,0,1,1))),(1/N54)/SUM(1/N$10:OFFSET(N$10,$M$5-1,0,1,1))),"")</f>
        <v>2.9174103569563771E-2</v>
      </c>
      <c r="O110" s="202">
        <f ca="1">IF(AND(ISNUMBER($L110),ISNUMBER(O$5)),IF(O$7=1,(O54)/(SUM(O$10:OFFSET(O$10,$M$5-1,0,1,1))),(1/O54)/SUM(1/O$10:OFFSET(O$10,$M$5-1,0,1,1))),"")</f>
        <v>3.153788843206199E-2</v>
      </c>
      <c r="P110" s="202">
        <f ca="1">IF(AND(ISNUMBER($L110),ISNUMBER(P$5)),IF(P$7=1,(P54)/(SUM(P$10:OFFSET(P$10,$M$5-1,0,1,1))),(1/P54)/SUM(1/P$10:OFFSET(P$10,$M$5-1,0,1,1))),"")</f>
        <v>2.3412066218743508E-2</v>
      </c>
      <c r="Q110" s="202">
        <f ca="1">IF(AND(ISNUMBER($L110),ISNUMBER(Q$5)),IF(Q$7=1,(Q54)/(SUM(Q$10:OFFSET(Q$10,$M$5-1,0,1,1))),(1/Q54)/SUM(1/Q$10:OFFSET(Q$10,$M$5-1,0,1,1))),"")</f>
        <v>2.3907183874370092E-2</v>
      </c>
      <c r="R110" s="202">
        <f ca="1">IF(AND(ISNUMBER($L110),ISNUMBER(R$5)),IF(R$7=1,(R54)/(SUM(R$10:OFFSET(R$10,$M$5-1,0,1,1))),(1/R54)/SUM(1/R$10:OFFSET(R$10,$M$5-1,0,1,1))),"")</f>
        <v>3.116738555725616E-2</v>
      </c>
      <c r="S110" s="202">
        <f ca="1">IF(AND(ISNUMBER($L110),ISNUMBER(S$5)),IF(S$7=1,(S54)/(SUM(S$10:OFFSET(S$10,$M$5-1,0,1,1))),(1/S54)/SUM(1/S$10:OFFSET(S$10,$M$5-1,0,1,1))),"")</f>
        <v>2.0621565098973785E-2</v>
      </c>
      <c r="T110" s="187"/>
      <c r="U110" s="199"/>
      <c r="V110" s="197">
        <v>45</v>
      </c>
      <c r="W110" s="198" t="s">
        <v>101</v>
      </c>
      <c r="X110" s="202">
        <f ca="1">IF(AND(ISNUMBER($V110),ISNUMBER(X$5)),IF(X$7=1,(X54)/(SUM(X$10:OFFSET(X$10,$W$5-1,0,1,1))),(1/X54)/SUM(1/X$10:OFFSET(X$10,$W$5-1,0,1,1))),"")</f>
        <v>2.9981551446291648E-2</v>
      </c>
      <c r="Y110" s="202">
        <f ca="1">IF(AND(ISNUMBER($V110),ISNUMBER(Y$5)),IF(Y$7=1,(Y54)/(SUM(Y$10:OFFSET(Y$10,$W$5-1,0,1,1))),(1/Y54)/SUM(1/Y$10:OFFSET(Y$10,$W$5-1,0,1,1))),"")</f>
        <v>3.2012304332724825E-2</v>
      </c>
      <c r="Z110" s="202">
        <f ca="1">IF(AND(ISNUMBER($V110),ISNUMBER(Z$5)),IF(Z$7=1,(Z54)/(SUM(Z$10:OFFSET(Z$10,$W$5-1,0,1,1))),(1/Z54)/SUM(1/Z$10:OFFSET(Z$10,$W$5-1,0,1,1))),"")</f>
        <v>2.6213495464965608E-2</v>
      </c>
      <c r="AA110" s="202">
        <f ca="1">IF(AND(ISNUMBER($V110),ISNUMBER(AA$5)),IF(AA$7=1,(AA54)/(SUM(AA$10:OFFSET(AA$10,$W$5-1,0,1,1))),(1/AA54)/SUM(1/AA$10:OFFSET(AA$10,$W$5-1,0,1,1))),"")</f>
        <v>2.4949550541185105E-2</v>
      </c>
      <c r="AB110" s="202">
        <f ca="1">IF(AND(ISNUMBER($V110),ISNUMBER(AB$5)),IF(AB$7=1,(AB54)/(SUM(AB$10:OFFSET(AB$10,$W$5-1,0,1,1))),(1/AB54)/SUM(1/AB$10:OFFSET(AB$10,$W$5-1,0,1,1))),"")</f>
        <v>3.15056611734921E-2</v>
      </c>
      <c r="AC110" s="202">
        <f ca="1">IF(AND(ISNUMBER($V110),ISNUMBER(AC$5)),IF(AC$7=1,(AC54)/(SUM(AC$10:OFFSET(AC$10,$W$5-1,0,1,1))),(1/AC54)/SUM(1/AC$10:OFFSET(AC$10,$W$5-1,0,1,1))),"")</f>
        <v>2.0666730898930525E-2</v>
      </c>
    </row>
    <row r="111" spans="1:29" ht="14.25" customHeight="1">
      <c r="A111" s="199"/>
      <c r="B111" s="197">
        <v>46</v>
      </c>
      <c r="C111" s="198" t="s">
        <v>102</v>
      </c>
      <c r="D111" s="202">
        <f ca="1">IF(AND(ISNUMBER($B111),ISNUMBER(D$5)),IF(D$7=1,(D55)/(SUM(D$10:OFFSET(D$10,$C$5-1,0,1,1))),(1/D55)/SUM(1/D$10:OFFSET(D$10,$C$5-1,0,1,1))),"")</f>
        <v>1.8771738343420913E-2</v>
      </c>
      <c r="E111" s="202">
        <f ca="1">IF(AND(ISNUMBER($B111),ISNUMBER(E$5)),IF(E$7=1,(E55)/(SUM(E$10:OFFSET(E$10,$C$5-1,0,1,1))),(1/E55)/SUM(1/E$10:OFFSET(E$10,$C$5-1,0,1,1))),"")</f>
        <v>1.7462365351694823E-2</v>
      </c>
      <c r="F111" s="202">
        <f ca="1">IF(AND(ISNUMBER($B111),ISNUMBER(F$5)),IF(F$7=1,(F55)/(SUM(F$10:OFFSET(F$10,$C$5-1,0,1,1))),(1/F55)/SUM(1/F$10:OFFSET(F$10,$C$5-1,0,1,1))),"")</f>
        <v>2.1070105989018005E-2</v>
      </c>
      <c r="G111" s="202">
        <f ca="1">IF(AND(ISNUMBER($B111),ISNUMBER(G$5)),IF(G$7=1,(G55)/(SUM(G$10:OFFSET(G$10,$C$5-1,0,1,1))),(1/G55)/SUM(1/G$10:OFFSET(G$10,$C$5-1,0,1,1))),"")</f>
        <v>2.6598465473145792E-2</v>
      </c>
      <c r="H111" s="202">
        <f ca="1">IF(AND(ISNUMBER($B111),ISNUMBER(H$5)),IF(H$7=1,(H55)/(SUM(H$10:OFFSET(H$10,$C$5-1,0,1,1))),(1/H55)/SUM(1/H$10:OFFSET(H$10,$C$5-1,0,1,1))),"")</f>
        <v>1.6684045881126177E-2</v>
      </c>
      <c r="I111" s="202">
        <f ca="1">IF(AND(ISNUMBER($B111),ISNUMBER(I$5)),IF(I$7=1,(I55)/(SUM(I$10:OFFSET(I$10,$C$5-1,0,1,1))),(1/I55)/SUM(1/I$10:OFFSET(I$10,$C$5-1,0,1,1))),"")</f>
        <v>2.2142686709615843E-2</v>
      </c>
      <c r="J111" s="187"/>
      <c r="K111" s="199"/>
      <c r="L111" s="197">
        <v>46</v>
      </c>
      <c r="M111" s="198" t="s">
        <v>102</v>
      </c>
      <c r="N111" s="202">
        <f ca="1">IF(AND(ISNUMBER($L111),ISNUMBER(N$5)),IF(N$7=1,(N55)/(SUM(N$10:OFFSET(N$10,$M$5-1,0,1,1))),(1/N55)/SUM(1/N$10:OFFSET(N$10,$M$5-1,0,1,1))),"")</f>
        <v>8.3782041020285698E-3</v>
      </c>
      <c r="O111" s="202">
        <f ca="1">IF(AND(ISNUMBER($L111),ISNUMBER(O$5)),IF(O$7=1,(O55)/(SUM(O$10:OFFSET(O$10,$M$5-1,0,1,1))),(1/O55)/SUM(1/O$10:OFFSET(O$10,$M$5-1,0,1,1))),"")</f>
        <v>1.709778782974147E-2</v>
      </c>
      <c r="P111" s="202">
        <f ca="1">IF(AND(ISNUMBER($L111),ISNUMBER(P$5)),IF(P$7=1,(P55)/(SUM(P$10:OFFSET(P$10,$M$5-1,0,1,1))),(1/P55)/SUM(1/P$10:OFFSET(P$10,$M$5-1,0,1,1))),"")</f>
        <v>2.4173997367874213E-2</v>
      </c>
      <c r="Q111" s="202">
        <f ca="1">IF(AND(ISNUMBER($L111),ISNUMBER(Q$5)),IF(Q$7=1,(Q55)/(SUM(Q$10:OFFSET(Q$10,$M$5-1,0,1,1))),(1/Q55)/SUM(1/Q$10:OFFSET(Q$10,$M$5-1,0,1,1))),"")</f>
        <v>2.4727528419078874E-2</v>
      </c>
      <c r="R111" s="202">
        <f ca="1">IF(AND(ISNUMBER($L111),ISNUMBER(R$5)),IF(R$7=1,(R55)/(SUM(R$10:OFFSET(R$10,$M$5-1,0,1,1))),(1/R55)/SUM(1/R$10:OFFSET(R$10,$M$5-1,0,1,1))),"")</f>
        <v>1.5954733082881128E-2</v>
      </c>
      <c r="S111" s="202">
        <f ca="1">IF(AND(ISNUMBER($L111),ISNUMBER(S$5)),IF(S$7=1,(S55)/(SUM(S$10:OFFSET(S$10,$M$5-1,0,1,1))),(1/S55)/SUM(1/S$10:OFFSET(S$10,$M$5-1,0,1,1))),"")</f>
        <v>2.1156558533145277E-2</v>
      </c>
      <c r="T111" s="187"/>
      <c r="U111" s="199"/>
      <c r="V111" s="197">
        <v>46</v>
      </c>
      <c r="W111" s="198" t="s">
        <v>102</v>
      </c>
      <c r="X111" s="202">
        <f ca="1">IF(AND(ISNUMBER($V111),ISNUMBER(X$5)),IF(X$7=1,(X55)/(SUM(X$10:OFFSET(X$10,$W$5-1,0,1,1))),(1/X55)/SUM(1/X$10:OFFSET(X$10,$W$5-1,0,1,1))),"")</f>
        <v>1.3859396423285762E-2</v>
      </c>
      <c r="Y111" s="202">
        <f ca="1">IF(AND(ISNUMBER($V111),ISNUMBER(Y$5)),IF(Y$7=1,(Y55)/(SUM(Y$10:OFFSET(Y$10,$W$5-1,0,1,1))),(1/Y55)/SUM(1/Y$10:OFFSET(Y$10,$W$5-1,0,1,1))),"")</f>
        <v>1.727576196992657E-2</v>
      </c>
      <c r="Z111" s="202">
        <f ca="1">IF(AND(ISNUMBER($V111),ISNUMBER(Z$5)),IF(Z$7=1,(Z55)/(SUM(Z$10:OFFSET(Z$10,$W$5-1,0,1,1))),(1/Z55)/SUM(1/Z$10:OFFSET(Z$10,$W$5-1,0,1,1))),"")</f>
        <v>2.2558888999634534E-2</v>
      </c>
      <c r="AA111" s="202">
        <f ca="1">IF(AND(ISNUMBER($V111),ISNUMBER(AA$5)),IF(AA$7=1,(AA55)/(SUM(AA$10:OFFSET(AA$10,$W$5-1,0,1,1))),(1/AA55)/SUM(1/AA$10:OFFSET(AA$10,$W$5-1,0,1,1))),"")</f>
        <v>2.5622209992050397E-2</v>
      </c>
      <c r="AB111" s="202">
        <f ca="1">IF(AND(ISNUMBER($V111),ISNUMBER(AB$5)),IF(AB$7=1,(AB55)/(SUM(AB$10:OFFSET(AB$10,$W$5-1,0,1,1))),(1/AB55)/SUM(1/AB$10:OFFSET(AB$10,$W$5-1,0,1,1))),"")</f>
        <v>1.6315431679129837E-2</v>
      </c>
      <c r="AC111" s="202">
        <f ca="1">IF(AND(ISNUMBER($V111),ISNUMBER(AC$5)),IF(AC$7=1,(AC55)/(SUM(AC$10:OFFSET(AC$10,$W$5-1,0,1,1))),(1/AC55)/SUM(1/AC$10:OFFSET(AC$10,$W$5-1,0,1,1))),"")</f>
        <v>2.1654301955872431E-2</v>
      </c>
    </row>
    <row r="112" spans="1:29" ht="14.25" customHeight="1" thickBot="1">
      <c r="A112" s="199"/>
      <c r="B112" s="197">
        <v>47</v>
      </c>
      <c r="C112" s="198" t="s">
        <v>103</v>
      </c>
      <c r="D112" s="202">
        <f ca="1">IF(AND(ISNUMBER($B112),ISNUMBER(D$5)),IF(D$7=1,(D56)/(SUM(D$10:OFFSET(D$10,$C$5-1,0,1,1))),(1/D56)/SUM(1/D$10:OFFSET(D$10,$C$5-1,0,1,1))),"")</f>
        <v>2.8693942896371966E-2</v>
      </c>
      <c r="E112" s="202">
        <f ca="1">IF(AND(ISNUMBER($B112),ISNUMBER(E$5)),IF(E$7=1,(E56)/(SUM(E$10:OFFSET(E$10,$C$5-1,0,1,1))),(1/E56)/SUM(1/E$10:OFFSET(E$10,$C$5-1,0,1,1))),"")</f>
        <v>3.7525508521727174E-2</v>
      </c>
      <c r="F112" s="202">
        <f ca="1">IF(AND(ISNUMBER($B112),ISNUMBER(F$5)),IF(F$7=1,(F56)/(SUM(F$10:OFFSET(F$10,$C$5-1,0,1,1))),(1/F56)/SUM(1/F$10:OFFSET(F$10,$C$5-1,0,1,1))),"")</f>
        <v>2.3560209424083767E-2</v>
      </c>
      <c r="G112" s="202">
        <f ca="1">IF(AND(ISNUMBER($B112),ISNUMBER(G$5)),IF(G$7=1,(G56)/(SUM(G$10:OFFSET(G$10,$C$5-1,0,1,1))),(1/G56)/SUM(1/G$10:OFFSET(G$10,$C$5-1,0,1,1))),"")</f>
        <v>1.8414322250639395E-2</v>
      </c>
      <c r="H112" s="202">
        <f ca="1">IF(AND(ISNUMBER($B112),ISNUMBER(H$5)),IF(H$7=1,(H56)/(SUM(H$10:OFFSET(H$10,$C$5-1,0,1,1))),(1/H56)/SUM(1/H$10:OFFSET(H$10,$C$5-1,0,1,1))),"")</f>
        <v>2.0001895914304676E-2</v>
      </c>
      <c r="I112" s="202">
        <f ca="1">IF(AND(ISNUMBER($B112),ISNUMBER(I$5)),IF(I$7=1,(I56)/(SUM(I$10:OFFSET(I$10,$C$5-1,0,1,1))),(1/I56)/SUM(1/I$10:OFFSET(I$10,$C$5-1,0,1,1))),"")</f>
        <v>2.1426867096158434E-2</v>
      </c>
      <c r="J112" s="187"/>
      <c r="K112" s="199"/>
      <c r="L112" s="197">
        <v>47</v>
      </c>
      <c r="M112" s="198" t="s">
        <v>103</v>
      </c>
      <c r="N112" s="202">
        <f ca="1">IF(AND(ISNUMBER($L112),ISNUMBER(N$5)),IF(N$7=1,(N56)/(SUM(N$10:OFFSET(N$10,$M$5-1,0,1,1))),(1/N56)/SUM(1/N$10:OFFSET(N$10,$M$5-1,0,1,1))),"")</f>
        <v>2.7079552544056633E-2</v>
      </c>
      <c r="O112" s="202">
        <f ca="1">IF(AND(ISNUMBER($L112),ISNUMBER(O$5)),IF(O$7=1,(O56)/(SUM(O$10:OFFSET(O$10,$M$5-1,0,1,1))),(1/O56)/SUM(1/O$10:OFFSET(O$10,$M$5-1,0,1,1))),"")</f>
        <v>3.5790187995935509E-2</v>
      </c>
      <c r="P112" s="202">
        <f ca="1">IF(AND(ISNUMBER($L112),ISNUMBER(P$5)),IF(P$7=1,(P56)/(SUM(P$10:OFFSET(P$10,$M$5-1,0,1,1))),(1/P56)/SUM(1/P$10:OFFSET(P$10,$M$5-1,0,1,1))),"")</f>
        <v>2.1749670984276513E-2</v>
      </c>
      <c r="Q112" s="202">
        <f ca="1">IF(AND(ISNUMBER($L112),ISNUMBER(Q$5)),IF(Q$7=1,(Q56)/(SUM(Q$10:OFFSET(Q$10,$M$5-1,0,1,1))),(1/Q56)/SUM(1/Q$10:OFFSET(Q$10,$M$5-1,0,1,1))),"")</f>
        <v>1.9688269073010665E-2</v>
      </c>
      <c r="R112" s="202">
        <f ca="1">IF(AND(ISNUMBER($L112),ISNUMBER(R$5)),IF(R$7=1,(R56)/(SUM(R$10:OFFSET(R$10,$M$5-1,0,1,1))),(1/R56)/SUM(1/R$10:OFFSET(R$10,$M$5-1,0,1,1))),"")</f>
        <v>1.9804276239506518E-2</v>
      </c>
      <c r="S112" s="202">
        <f ca="1">IF(AND(ISNUMBER($L112),ISNUMBER(S$5)),IF(S$7=1,(S56)/(SUM(S$10:OFFSET(S$10,$M$5-1,0,1,1))),(1/S56)/SUM(1/S$10:OFFSET(S$10,$M$5-1,0,1,1))),"")</f>
        <v>2.1837459267545354E-2</v>
      </c>
      <c r="T112" s="187"/>
      <c r="U112" s="199"/>
      <c r="V112" s="197">
        <v>47</v>
      </c>
      <c r="W112" s="198" t="s">
        <v>103</v>
      </c>
      <c r="X112" s="202">
        <f ca="1">IF(AND(ISNUMBER($V112),ISNUMBER(X$5)),IF(X$7=1,(X56)/(SUM(X$10:OFFSET(X$10,$W$5-1,0,1,1))),(1/X56)/SUM(1/X$10:OFFSET(X$10,$W$5-1,0,1,1))),"")</f>
        <v>2.7930926465295287E-2</v>
      </c>
      <c r="Y112" s="202">
        <f ca="1">IF(AND(ISNUMBER($V112),ISNUMBER(Y$5)),IF(Y$7=1,(Y56)/(SUM(Y$10:OFFSET(Y$10,$W$5-1,0,1,1))),(1/Y56)/SUM(1/Y$10:OFFSET(Y$10,$W$5-1,0,1,1))),"")</f>
        <v>3.6637311474279968E-2</v>
      </c>
      <c r="Z112" s="202">
        <f ca="1">IF(AND(ISNUMBER($V112),ISNUMBER(Z$5)),IF(Z$7=1,(Z56)/(SUM(Z$10:OFFSET(Z$10,$W$5-1,0,1,1))),(1/Z56)/SUM(1/Z$10:OFFSET(Z$10,$W$5-1,0,1,1))),"")</f>
        <v>2.2691783780192026E-2</v>
      </c>
      <c r="AA112" s="202">
        <f ca="1">IF(AND(ISNUMBER($V112),ISNUMBER(AA$5)),IF(AA$7=1,(AA56)/(SUM(AA$10:OFFSET(AA$10,$W$5-1,0,1,1))),(1/AA56)/SUM(1/AA$10:OFFSET(AA$10,$W$5-1,0,1,1))),"")</f>
        <v>1.907906806090626E-2</v>
      </c>
      <c r="AB112" s="202">
        <f ca="1">IF(AND(ISNUMBER($V112),ISNUMBER(AB$5)),IF(AB$7=1,(AB56)/(SUM(AB$10:OFFSET(AB$10,$W$5-1,0,1,1))),(1/AB56)/SUM(1/AB$10:OFFSET(AB$10,$W$5-1,0,1,1))),"")</f>
        <v>1.9902013643076484E-2</v>
      </c>
      <c r="AC112" s="202">
        <f ca="1">IF(AND(ISNUMBER($V112),ISNUMBER(AC$5)),IF(AC$7=1,(AC56)/(SUM(AC$10:OFFSET(AC$10,$W$5-1,0,1,1))),(1/AC56)/SUM(1/AC$10:OFFSET(AC$10,$W$5-1,0,1,1))),"")</f>
        <v>2.1630214856922625E-2</v>
      </c>
    </row>
    <row r="113" spans="1:29" ht="14.25" hidden="1" customHeight="1">
      <c r="A113" s="199"/>
      <c r="B113" s="197"/>
      <c r="C113" s="198"/>
      <c r="D113" s="202" t="str">
        <f ca="1">IF(AND(ISNUMBER($B113),ISNUMBER(D$5)),IF(D$7=1,(D57)/(SUM(D$10:OFFSET(D$10,$C$5-1,0,1,1))),(1/D57)/SUM(1/D$10:OFFSET(D$10,$C$5-1,0,1,1))),"")</f>
        <v/>
      </c>
      <c r="E113" s="202" t="str">
        <f ca="1">IF(AND(ISNUMBER($B113),ISNUMBER(E$5)),IF(E$7=1,(E57)/(SUM(E$10:OFFSET(E$10,$C$5-1,0,1,1))),(1/E57)/SUM(1/E$10:OFFSET(E$10,$C$5-1,0,1,1))),"")</f>
        <v/>
      </c>
      <c r="F113" s="202" t="str">
        <f ca="1">IF(AND(ISNUMBER($B113),ISNUMBER(F$5)),IF(F$7=1,(F57)/(SUM(F$10:OFFSET(F$10,$C$5-1,0,1,1))),(1/F57)/SUM(1/F$10:OFFSET(F$10,$C$5-1,0,1,1))),"")</f>
        <v/>
      </c>
      <c r="G113" s="202" t="str">
        <f ca="1">IF(AND(ISNUMBER($B113),ISNUMBER(G$5)),IF(G$7=1,(G57)/(SUM(G$10:OFFSET(G$10,$C$5-1,0,1,1))),(1/G57)/SUM(1/G$10:OFFSET(G$10,$C$5-1,0,1,1))),"")</f>
        <v/>
      </c>
      <c r="H113" s="202" t="str">
        <f ca="1">IF(AND(ISNUMBER($B113),ISNUMBER(H$5)),IF(H$7=1,(H57)/(SUM(H$10:OFFSET(H$10,$C$5-1,0,1,1))),(1/H57)/SUM(1/H$10:OFFSET(H$10,$C$5-1,0,1,1))),"")</f>
        <v/>
      </c>
      <c r="I113" s="202" t="str">
        <f ca="1">IF(AND(ISNUMBER($B113),ISNUMBER(I$5)),IF(I$7=1,(I57)/(SUM(I$10:OFFSET(I$10,$C$5-1,0,1,1))),(1/I57)/SUM(1/I$10:OFFSET(I$10,$C$5-1,0,1,1))),"")</f>
        <v/>
      </c>
      <c r="J113" s="187"/>
      <c r="K113" s="199"/>
      <c r="L113" s="197"/>
      <c r="M113" s="198"/>
      <c r="N113" s="202" t="str">
        <f ca="1">IF(AND(ISNUMBER($L113),ISNUMBER(N$5)),IF(N$7=1,(N57)/(SUM(N$10:OFFSET(N$10,$M$5-1,0,1,1))),(1/N57)/SUM(1/N$10:OFFSET(N$10,$M$5-1,0,1,1))),"")</f>
        <v/>
      </c>
      <c r="O113" s="202" t="str">
        <f ca="1">IF(AND(ISNUMBER($L113),ISNUMBER(O$5)),IF(O$7=1,(O57)/(SUM(O$10:OFFSET(O$10,$M$5-1,0,1,1))),(1/O57)/SUM(1/O$10:OFFSET(O$10,$M$5-1,0,1,1))),"")</f>
        <v/>
      </c>
      <c r="P113" s="202" t="str">
        <f ca="1">IF(AND(ISNUMBER($L113),ISNUMBER(P$5)),IF(P$7=1,(P57)/(SUM(P$10:OFFSET(P$10,$M$5-1,0,1,1))),(1/P57)/SUM(1/P$10:OFFSET(P$10,$M$5-1,0,1,1))),"")</f>
        <v/>
      </c>
      <c r="Q113" s="202" t="str">
        <f ca="1">IF(AND(ISNUMBER($L113),ISNUMBER(Q$5)),IF(Q$7=1,(Q57)/(SUM(Q$10:OFFSET(Q$10,$M$5-1,0,1,1))),(1/Q57)/SUM(1/Q$10:OFFSET(Q$10,$M$5-1,0,1,1))),"")</f>
        <v/>
      </c>
      <c r="R113" s="202" t="str">
        <f ca="1">IF(AND(ISNUMBER($L113),ISNUMBER(R$5)),IF(R$7=1,(R57)/(SUM(R$10:OFFSET(R$10,$M$5-1,0,1,1))),(1/R57)/SUM(1/R$10:OFFSET(R$10,$M$5-1,0,1,1))),"")</f>
        <v/>
      </c>
      <c r="S113" s="202" t="str">
        <f ca="1">IF(AND(ISNUMBER($L113),ISNUMBER(S$5)),IF(S$7=1,(S57)/(SUM(S$10:OFFSET(S$10,$M$5-1,0,1,1))),(1/S57)/SUM(1/S$10:OFFSET(S$10,$M$5-1,0,1,1))),"")</f>
        <v/>
      </c>
      <c r="T113" s="187"/>
      <c r="U113" s="199"/>
      <c r="V113" s="197"/>
      <c r="W113" s="198"/>
      <c r="X113" s="202" t="str">
        <f ca="1">IF(AND(ISNUMBER($V113),ISNUMBER(X$5)),IF(X$7=1,(X57)/(SUM(X$10:OFFSET(X$10,$W$5-1,0,1,1))),(1/X57)/SUM(1/X$10:OFFSET(X$10,$W$5-1,0,1,1))),"")</f>
        <v/>
      </c>
      <c r="Y113" s="202" t="str">
        <f ca="1">IF(AND(ISNUMBER($V113),ISNUMBER(Y$5)),IF(Y$7=1,(Y57)/(SUM(Y$10:OFFSET(Y$10,$W$5-1,0,1,1))),(1/Y57)/SUM(1/Y$10:OFFSET(Y$10,$W$5-1,0,1,1))),"")</f>
        <v/>
      </c>
      <c r="Z113" s="202" t="str">
        <f ca="1">IF(AND(ISNUMBER($V113),ISNUMBER(Z$5)),IF(Z$7=1,(Z57)/(SUM(Z$10:OFFSET(Z$10,$W$5-1,0,1,1))),(1/Z57)/SUM(1/Z$10:OFFSET(Z$10,$W$5-1,0,1,1))),"")</f>
        <v/>
      </c>
      <c r="AA113" s="202" t="str">
        <f ca="1">IF(AND(ISNUMBER($V113),ISNUMBER(AA$5)),IF(AA$7=1,(AA57)/(SUM(AA$10:OFFSET(AA$10,$W$5-1,0,1,1))),(1/AA57)/SUM(1/AA$10:OFFSET(AA$10,$W$5-1,0,1,1))),"")</f>
        <v/>
      </c>
      <c r="AB113" s="202" t="str">
        <f ca="1">IF(AND(ISNUMBER($V113),ISNUMBER(AB$5)),IF(AB$7=1,(AB57)/(SUM(AB$10:OFFSET(AB$10,$W$5-1,0,1,1))),(1/AB57)/SUM(1/AB$10:OFFSET(AB$10,$W$5-1,0,1,1))),"")</f>
        <v/>
      </c>
      <c r="AC113" s="202" t="str">
        <f ca="1">IF(AND(ISNUMBER($V113),ISNUMBER(AC$5)),IF(AC$7=1,(AC57)/(SUM(AC$10:OFFSET(AC$10,$W$5-1,0,1,1))),(1/AC57)/SUM(1/AC$10:OFFSET(AC$10,$W$5-1,0,1,1))),"")</f>
        <v/>
      </c>
    </row>
    <row r="114" spans="1:29" ht="14.25" hidden="1" customHeight="1">
      <c r="A114" s="199"/>
      <c r="B114" s="197"/>
      <c r="C114" s="198"/>
      <c r="D114" s="202" t="str">
        <f ca="1">IF(AND(ISNUMBER($B114),ISNUMBER(D$5)),IF(D$7=1,(D58)/(SUM(D$10:OFFSET(D$10,$C$5-1,0,1,1))),(1/D58)/SUM(1/D$10:OFFSET(D$10,$C$5-1,0,1,1))),"")</f>
        <v/>
      </c>
      <c r="E114" s="202" t="str">
        <f ca="1">IF(AND(ISNUMBER($B114),ISNUMBER(E$5)),IF(E$7=1,(E58)/(SUM(E$10:OFFSET(E$10,$C$5-1,0,1,1))),(1/E58)/SUM(1/E$10:OFFSET(E$10,$C$5-1,0,1,1))),"")</f>
        <v/>
      </c>
      <c r="F114" s="202" t="str">
        <f ca="1">IF(AND(ISNUMBER($B114),ISNUMBER(F$5)),IF(F$7=1,(F58)/(SUM(F$10:OFFSET(F$10,$C$5-1,0,1,1))),(1/F58)/SUM(1/F$10:OFFSET(F$10,$C$5-1,0,1,1))),"")</f>
        <v/>
      </c>
      <c r="G114" s="202" t="str">
        <f ca="1">IF(AND(ISNUMBER($B114),ISNUMBER(G$5)),IF(G$7=1,(G58)/(SUM(G$10:OFFSET(G$10,$C$5-1,0,1,1))),(1/G58)/SUM(1/G$10:OFFSET(G$10,$C$5-1,0,1,1))),"")</f>
        <v/>
      </c>
      <c r="H114" s="202" t="str">
        <f ca="1">IF(AND(ISNUMBER($B114),ISNUMBER(H$5)),IF(H$7=1,(H58)/(SUM(H$10:OFFSET(H$10,$C$5-1,0,1,1))),(1/H58)/SUM(1/H$10:OFFSET(H$10,$C$5-1,0,1,1))),"")</f>
        <v/>
      </c>
      <c r="I114" s="202" t="str">
        <f ca="1">IF(AND(ISNUMBER($B114),ISNUMBER(I$5)),IF(I$7=1,(I58)/(SUM(I$10:OFFSET(I$10,$C$5-1,0,1,1))),(1/I58)/SUM(1/I$10:OFFSET(I$10,$C$5-1,0,1,1))),"")</f>
        <v/>
      </c>
      <c r="J114" s="187"/>
      <c r="K114" s="199"/>
      <c r="L114" s="197"/>
      <c r="M114" s="198"/>
      <c r="N114" s="202" t="str">
        <f ca="1">IF(AND(ISNUMBER($L114),ISNUMBER(N$5)),IF(N$7=1,(N58)/(SUM(N$10:OFFSET(N$10,$M$5-1,0,1,1))),(1/N58)/SUM(1/N$10:OFFSET(N$10,$M$5-1,0,1,1))),"")</f>
        <v/>
      </c>
      <c r="O114" s="202" t="str">
        <f ca="1">IF(AND(ISNUMBER($L114),ISNUMBER(O$5)),IF(O$7=1,(O58)/(SUM(O$10:OFFSET(O$10,$M$5-1,0,1,1))),(1/O58)/SUM(1/O$10:OFFSET(O$10,$M$5-1,0,1,1))),"")</f>
        <v/>
      </c>
      <c r="P114" s="202" t="str">
        <f ca="1">IF(AND(ISNUMBER($L114),ISNUMBER(P$5)),IF(P$7=1,(P58)/(SUM(P$10:OFFSET(P$10,$M$5-1,0,1,1))),(1/P58)/SUM(1/P$10:OFFSET(P$10,$M$5-1,0,1,1))),"")</f>
        <v/>
      </c>
      <c r="Q114" s="202" t="str">
        <f ca="1">IF(AND(ISNUMBER($L114),ISNUMBER(Q$5)),IF(Q$7=1,(Q58)/(SUM(Q$10:OFFSET(Q$10,$M$5-1,0,1,1))),(1/Q58)/SUM(1/Q$10:OFFSET(Q$10,$M$5-1,0,1,1))),"")</f>
        <v/>
      </c>
      <c r="R114" s="202" t="str">
        <f ca="1">IF(AND(ISNUMBER($L114),ISNUMBER(R$5)),IF(R$7=1,(R58)/(SUM(R$10:OFFSET(R$10,$M$5-1,0,1,1))),(1/R58)/SUM(1/R$10:OFFSET(R$10,$M$5-1,0,1,1))),"")</f>
        <v/>
      </c>
      <c r="S114" s="202" t="str">
        <f ca="1">IF(AND(ISNUMBER($L114),ISNUMBER(S$5)),IF(S$7=1,(S58)/(SUM(S$10:OFFSET(S$10,$M$5-1,0,1,1))),(1/S58)/SUM(1/S$10:OFFSET(S$10,$M$5-1,0,1,1))),"")</f>
        <v/>
      </c>
      <c r="T114" s="187"/>
      <c r="U114" s="199"/>
      <c r="V114" s="197"/>
      <c r="W114" s="198"/>
      <c r="X114" s="202" t="str">
        <f ca="1">IF(AND(ISNUMBER($V114),ISNUMBER(X$5)),IF(X$7=1,(X58)/(SUM(X$10:OFFSET(X$10,$W$5-1,0,1,1))),(1/X58)/SUM(1/X$10:OFFSET(X$10,$W$5-1,0,1,1))),"")</f>
        <v/>
      </c>
      <c r="Y114" s="202" t="str">
        <f ca="1">IF(AND(ISNUMBER($V114),ISNUMBER(Y$5)),IF(Y$7=1,(Y58)/(SUM(Y$10:OFFSET(Y$10,$W$5-1,0,1,1))),(1/Y58)/SUM(1/Y$10:OFFSET(Y$10,$W$5-1,0,1,1))),"")</f>
        <v/>
      </c>
      <c r="Z114" s="202" t="str">
        <f ca="1">IF(AND(ISNUMBER($V114),ISNUMBER(Z$5)),IF(Z$7=1,(Z58)/(SUM(Z$10:OFFSET(Z$10,$W$5-1,0,1,1))),(1/Z58)/SUM(1/Z$10:OFFSET(Z$10,$W$5-1,0,1,1))),"")</f>
        <v/>
      </c>
      <c r="AA114" s="202" t="str">
        <f ca="1">IF(AND(ISNUMBER($V114),ISNUMBER(AA$5)),IF(AA$7=1,(AA58)/(SUM(AA$10:OFFSET(AA$10,$W$5-1,0,1,1))),(1/AA58)/SUM(1/AA$10:OFFSET(AA$10,$W$5-1,0,1,1))),"")</f>
        <v/>
      </c>
      <c r="AB114" s="202" t="str">
        <f ca="1">IF(AND(ISNUMBER($V114),ISNUMBER(AB$5)),IF(AB$7=1,(AB58)/(SUM(AB$10:OFFSET(AB$10,$W$5-1,0,1,1))),(1/AB58)/SUM(1/AB$10:OFFSET(AB$10,$W$5-1,0,1,1))),"")</f>
        <v/>
      </c>
      <c r="AC114" s="202" t="str">
        <f ca="1">IF(AND(ISNUMBER($V114),ISNUMBER(AC$5)),IF(AC$7=1,(AC58)/(SUM(AC$10:OFFSET(AC$10,$W$5-1,0,1,1))),(1/AC58)/SUM(1/AC$10:OFFSET(AC$10,$W$5-1,0,1,1))),"")</f>
        <v/>
      </c>
    </row>
    <row r="115" spans="1:29" ht="14.25" hidden="1" customHeight="1">
      <c r="A115" s="199"/>
      <c r="B115" s="197"/>
      <c r="C115" s="198"/>
      <c r="D115" s="202" t="str">
        <f ca="1">IF(AND(ISNUMBER($B115),ISNUMBER(D$5)),IF(D$7=1,(D59)/(SUM(D$10:OFFSET(D$10,$C$5-1,0,1,1))),(1/D59)/SUM(1/D$10:OFFSET(D$10,$C$5-1,0,1,1))),"")</f>
        <v/>
      </c>
      <c r="E115" s="202" t="str">
        <f ca="1">IF(AND(ISNUMBER($B115),ISNUMBER(E$5)),IF(E$7=1,(E59)/(SUM(E$10:OFFSET(E$10,$C$5-1,0,1,1))),(1/E59)/SUM(1/E$10:OFFSET(E$10,$C$5-1,0,1,1))),"")</f>
        <v/>
      </c>
      <c r="F115" s="202" t="str">
        <f ca="1">IF(AND(ISNUMBER($B115),ISNUMBER(F$5)),IF(F$7=1,(F59)/(SUM(F$10:OFFSET(F$10,$C$5-1,0,1,1))),(1/F59)/SUM(1/F$10:OFFSET(F$10,$C$5-1,0,1,1))),"")</f>
        <v/>
      </c>
      <c r="G115" s="202" t="str">
        <f ca="1">IF(AND(ISNUMBER($B115),ISNUMBER(G$5)),IF(G$7=1,(G59)/(SUM(G$10:OFFSET(G$10,$C$5-1,0,1,1))),(1/G59)/SUM(1/G$10:OFFSET(G$10,$C$5-1,0,1,1))),"")</f>
        <v/>
      </c>
      <c r="H115" s="202" t="str">
        <f ca="1">IF(AND(ISNUMBER($B115),ISNUMBER(H$5)),IF(H$7=1,(H59)/(SUM(H$10:OFFSET(H$10,$C$5-1,0,1,1))),(1/H59)/SUM(1/H$10:OFFSET(H$10,$C$5-1,0,1,1))),"")</f>
        <v/>
      </c>
      <c r="I115" s="202" t="str">
        <f ca="1">IF(AND(ISNUMBER($B115),ISNUMBER(I$5)),IF(I$7=1,(I59)/(SUM(I$10:OFFSET(I$10,$C$5-1,0,1,1))),(1/I59)/SUM(1/I$10:OFFSET(I$10,$C$5-1,0,1,1))),"")</f>
        <v/>
      </c>
      <c r="J115" s="187"/>
      <c r="K115" s="199"/>
      <c r="L115" s="197"/>
      <c r="M115" s="198"/>
      <c r="N115" s="202" t="str">
        <f ca="1">IF(AND(ISNUMBER($L115),ISNUMBER(N$5)),IF(N$7=1,(N59)/(SUM(N$10:OFFSET(N$10,$M$5-1,0,1,1))),(1/N59)/SUM(1/N$10:OFFSET(N$10,$M$5-1,0,1,1))),"")</f>
        <v/>
      </c>
      <c r="O115" s="202" t="str">
        <f ca="1">IF(AND(ISNUMBER($L115),ISNUMBER(O$5)),IF(O$7=1,(O59)/(SUM(O$10:OFFSET(O$10,$M$5-1,0,1,1))),(1/O59)/SUM(1/O$10:OFFSET(O$10,$M$5-1,0,1,1))),"")</f>
        <v/>
      </c>
      <c r="P115" s="202" t="str">
        <f ca="1">IF(AND(ISNUMBER($L115),ISNUMBER(P$5)),IF(P$7=1,(P59)/(SUM(P$10:OFFSET(P$10,$M$5-1,0,1,1))),(1/P59)/SUM(1/P$10:OFFSET(P$10,$M$5-1,0,1,1))),"")</f>
        <v/>
      </c>
      <c r="Q115" s="202" t="str">
        <f ca="1">IF(AND(ISNUMBER($L115),ISNUMBER(Q$5)),IF(Q$7=1,(Q59)/(SUM(Q$10:OFFSET(Q$10,$M$5-1,0,1,1))),(1/Q59)/SUM(1/Q$10:OFFSET(Q$10,$M$5-1,0,1,1))),"")</f>
        <v/>
      </c>
      <c r="R115" s="202" t="str">
        <f ca="1">IF(AND(ISNUMBER($L115),ISNUMBER(R$5)),IF(R$7=1,(R59)/(SUM(R$10:OFFSET(R$10,$M$5-1,0,1,1))),(1/R59)/SUM(1/R$10:OFFSET(R$10,$M$5-1,0,1,1))),"")</f>
        <v/>
      </c>
      <c r="S115" s="202" t="str">
        <f ca="1">IF(AND(ISNUMBER($L115),ISNUMBER(S$5)),IF(S$7=1,(S59)/(SUM(S$10:OFFSET(S$10,$M$5-1,0,1,1))),(1/S59)/SUM(1/S$10:OFFSET(S$10,$M$5-1,0,1,1))),"")</f>
        <v/>
      </c>
      <c r="T115" s="187"/>
      <c r="U115" s="199"/>
      <c r="V115" s="197"/>
      <c r="W115" s="198"/>
      <c r="X115" s="202" t="str">
        <f ca="1">IF(AND(ISNUMBER($V115),ISNUMBER(X$5)),IF(X$7=1,(X59)/(SUM(X$10:OFFSET(X$10,$W$5-1,0,1,1))),(1/X59)/SUM(1/X$10:OFFSET(X$10,$W$5-1,0,1,1))),"")</f>
        <v/>
      </c>
      <c r="Y115" s="202" t="str">
        <f ca="1">IF(AND(ISNUMBER($V115),ISNUMBER(Y$5)),IF(Y$7=1,(Y59)/(SUM(Y$10:OFFSET(Y$10,$W$5-1,0,1,1))),(1/Y59)/SUM(1/Y$10:OFFSET(Y$10,$W$5-1,0,1,1))),"")</f>
        <v/>
      </c>
      <c r="Z115" s="202" t="str">
        <f ca="1">IF(AND(ISNUMBER($V115),ISNUMBER(Z$5)),IF(Z$7=1,(Z59)/(SUM(Z$10:OFFSET(Z$10,$W$5-1,0,1,1))),(1/Z59)/SUM(1/Z$10:OFFSET(Z$10,$W$5-1,0,1,1))),"")</f>
        <v/>
      </c>
      <c r="AA115" s="202" t="str">
        <f ca="1">IF(AND(ISNUMBER($V115),ISNUMBER(AA$5)),IF(AA$7=1,(AA59)/(SUM(AA$10:OFFSET(AA$10,$W$5-1,0,1,1))),(1/AA59)/SUM(1/AA$10:OFFSET(AA$10,$W$5-1,0,1,1))),"")</f>
        <v/>
      </c>
      <c r="AB115" s="202" t="str">
        <f ca="1">IF(AND(ISNUMBER($V115),ISNUMBER(AB$5)),IF(AB$7=1,(AB59)/(SUM(AB$10:OFFSET(AB$10,$W$5-1,0,1,1))),(1/AB59)/SUM(1/AB$10:OFFSET(AB$10,$W$5-1,0,1,1))),"")</f>
        <v/>
      </c>
      <c r="AC115" s="202" t="str">
        <f ca="1">IF(AND(ISNUMBER($V115),ISNUMBER(AC$5)),IF(AC$7=1,(AC59)/(SUM(AC$10:OFFSET(AC$10,$W$5-1,0,1,1))),(1/AC59)/SUM(1/AC$10:OFFSET(AC$10,$W$5-1,0,1,1))),"")</f>
        <v/>
      </c>
    </row>
    <row r="116" spans="1:29" ht="14.25" hidden="1" customHeight="1">
      <c r="A116" s="199"/>
      <c r="B116" s="197"/>
      <c r="C116" s="198"/>
      <c r="D116" s="202" t="str">
        <f ca="1">IF(AND(ISNUMBER($B116),ISNUMBER(D$5)),IF(D$7=1,(D60)/(SUM(D$10:OFFSET(D$10,$C$5-1,0,1,1))),(1/D60)/SUM(1/D$10:OFFSET(D$10,$C$5-1,0,1,1))),"")</f>
        <v/>
      </c>
      <c r="E116" s="202" t="str">
        <f ca="1">IF(AND(ISNUMBER($B116),ISNUMBER(E$5)),IF(E$7=1,(E60)/(SUM(E$10:OFFSET(E$10,$C$5-1,0,1,1))),(1/E60)/SUM(1/E$10:OFFSET(E$10,$C$5-1,0,1,1))),"")</f>
        <v/>
      </c>
      <c r="F116" s="202" t="str">
        <f ca="1">IF(AND(ISNUMBER($B116),ISNUMBER(F$5)),IF(F$7=1,(F60)/(SUM(F$10:OFFSET(F$10,$C$5-1,0,1,1))),(1/F60)/SUM(1/F$10:OFFSET(F$10,$C$5-1,0,1,1))),"")</f>
        <v/>
      </c>
      <c r="G116" s="202" t="str">
        <f ca="1">IF(AND(ISNUMBER($B116),ISNUMBER(G$5)),IF(G$7=1,(G60)/(SUM(G$10:OFFSET(G$10,$C$5-1,0,1,1))),(1/G60)/SUM(1/G$10:OFFSET(G$10,$C$5-1,0,1,1))),"")</f>
        <v/>
      </c>
      <c r="H116" s="202" t="str">
        <f ca="1">IF(AND(ISNUMBER($B116),ISNUMBER(H$5)),IF(H$7=1,(H60)/(SUM(H$10:OFFSET(H$10,$C$5-1,0,1,1))),(1/H60)/SUM(1/H$10:OFFSET(H$10,$C$5-1,0,1,1))),"")</f>
        <v/>
      </c>
      <c r="I116" s="202" t="str">
        <f ca="1">IF(AND(ISNUMBER($B116),ISNUMBER(I$5)),IF(I$7=1,(I60)/(SUM(I$10:OFFSET(I$10,$C$5-1,0,1,1))),(1/I60)/SUM(1/I$10:OFFSET(I$10,$C$5-1,0,1,1))),"")</f>
        <v/>
      </c>
      <c r="J116" s="187"/>
      <c r="K116" s="199"/>
      <c r="L116" s="197"/>
      <c r="M116" s="198"/>
      <c r="N116" s="202" t="str">
        <f ca="1">IF(AND(ISNUMBER($L116),ISNUMBER(N$5)),IF(N$7=1,(N60)/(SUM(N$10:OFFSET(N$10,$M$5-1,0,1,1))),(1/N60)/SUM(1/N$10:OFFSET(N$10,$M$5-1,0,1,1))),"")</f>
        <v/>
      </c>
      <c r="O116" s="202" t="str">
        <f ca="1">IF(AND(ISNUMBER($L116),ISNUMBER(O$5)),IF(O$7=1,(O60)/(SUM(O$10:OFFSET(O$10,$M$5-1,0,1,1))),(1/O60)/SUM(1/O$10:OFFSET(O$10,$M$5-1,0,1,1))),"")</f>
        <v/>
      </c>
      <c r="P116" s="202" t="str">
        <f ca="1">IF(AND(ISNUMBER($L116),ISNUMBER(P$5)),IF(P$7=1,(P60)/(SUM(P$10:OFFSET(P$10,$M$5-1,0,1,1))),(1/P60)/SUM(1/P$10:OFFSET(P$10,$M$5-1,0,1,1))),"")</f>
        <v/>
      </c>
      <c r="Q116" s="202" t="str">
        <f ca="1">IF(AND(ISNUMBER($L116),ISNUMBER(Q$5)),IF(Q$7=1,(Q60)/(SUM(Q$10:OFFSET(Q$10,$M$5-1,0,1,1))),(1/Q60)/SUM(1/Q$10:OFFSET(Q$10,$M$5-1,0,1,1))),"")</f>
        <v/>
      </c>
      <c r="R116" s="202" t="str">
        <f ca="1">IF(AND(ISNUMBER($L116),ISNUMBER(R$5)),IF(R$7=1,(R60)/(SUM(R$10:OFFSET(R$10,$M$5-1,0,1,1))),(1/R60)/SUM(1/R$10:OFFSET(R$10,$M$5-1,0,1,1))),"")</f>
        <v/>
      </c>
      <c r="S116" s="202" t="str">
        <f ca="1">IF(AND(ISNUMBER($L116),ISNUMBER(S$5)),IF(S$7=1,(S60)/(SUM(S$10:OFFSET(S$10,$M$5-1,0,1,1))),(1/S60)/SUM(1/S$10:OFFSET(S$10,$M$5-1,0,1,1))),"")</f>
        <v/>
      </c>
      <c r="T116" s="187"/>
      <c r="U116" s="199"/>
      <c r="V116" s="197"/>
      <c r="W116" s="198"/>
      <c r="X116" s="202" t="str">
        <f ca="1">IF(AND(ISNUMBER($V116),ISNUMBER(X$5)),IF(X$7=1,(X60)/(SUM(X$10:OFFSET(X$10,$W$5-1,0,1,1))),(1/X60)/SUM(1/X$10:OFFSET(X$10,$W$5-1,0,1,1))),"")</f>
        <v/>
      </c>
      <c r="Y116" s="202" t="str">
        <f ca="1">IF(AND(ISNUMBER($V116),ISNUMBER(Y$5)),IF(Y$7=1,(Y60)/(SUM(Y$10:OFFSET(Y$10,$W$5-1,0,1,1))),(1/Y60)/SUM(1/Y$10:OFFSET(Y$10,$W$5-1,0,1,1))),"")</f>
        <v/>
      </c>
      <c r="Z116" s="202" t="str">
        <f ca="1">IF(AND(ISNUMBER($V116),ISNUMBER(Z$5)),IF(Z$7=1,(Z60)/(SUM(Z$10:OFFSET(Z$10,$W$5-1,0,1,1))),(1/Z60)/SUM(1/Z$10:OFFSET(Z$10,$W$5-1,0,1,1))),"")</f>
        <v/>
      </c>
      <c r="AA116" s="202" t="str">
        <f ca="1">IF(AND(ISNUMBER($V116),ISNUMBER(AA$5)),IF(AA$7=1,(AA60)/(SUM(AA$10:OFFSET(AA$10,$W$5-1,0,1,1))),(1/AA60)/SUM(1/AA$10:OFFSET(AA$10,$W$5-1,0,1,1))),"")</f>
        <v/>
      </c>
      <c r="AB116" s="202" t="str">
        <f ca="1">IF(AND(ISNUMBER($V116),ISNUMBER(AB$5)),IF(AB$7=1,(AB60)/(SUM(AB$10:OFFSET(AB$10,$W$5-1,0,1,1))),(1/AB60)/SUM(1/AB$10:OFFSET(AB$10,$W$5-1,0,1,1))),"")</f>
        <v/>
      </c>
      <c r="AC116" s="202" t="str">
        <f ca="1">IF(AND(ISNUMBER($V116),ISNUMBER(AC$5)),IF(AC$7=1,(AC60)/(SUM(AC$10:OFFSET(AC$10,$W$5-1,0,1,1))),(1/AC60)/SUM(1/AC$10:OFFSET(AC$10,$W$5-1,0,1,1))),"")</f>
        <v/>
      </c>
    </row>
    <row r="117" spans="1:29" ht="14.25" hidden="1" customHeight="1">
      <c r="A117" s="199"/>
      <c r="B117" s="197"/>
      <c r="C117" s="198"/>
      <c r="D117" s="202" t="str">
        <f ca="1">IF(AND(ISNUMBER($B117),ISNUMBER(D$5)),IF(D$7=1,(D61)/(SUM(D$10:OFFSET(D$10,$C$5-1,0,1,1))),(1/D61)/SUM(1/D$10:OFFSET(D$10,$C$5-1,0,1,1))),"")</f>
        <v/>
      </c>
      <c r="E117" s="202" t="str">
        <f ca="1">IF(AND(ISNUMBER($B117),ISNUMBER(E$5)),IF(E$7=1,(E61)/(SUM(E$10:OFFSET(E$10,$C$5-1,0,1,1))),(1/E61)/SUM(1/E$10:OFFSET(E$10,$C$5-1,0,1,1))),"")</f>
        <v/>
      </c>
      <c r="F117" s="202" t="str">
        <f ca="1">IF(AND(ISNUMBER($B117),ISNUMBER(F$5)),IF(F$7=1,(F61)/(SUM(F$10:OFFSET(F$10,$C$5-1,0,1,1))),(1/F61)/SUM(1/F$10:OFFSET(F$10,$C$5-1,0,1,1))),"")</f>
        <v/>
      </c>
      <c r="G117" s="202" t="str">
        <f ca="1">IF(AND(ISNUMBER($B117),ISNUMBER(G$5)),IF(G$7=1,(G61)/(SUM(G$10:OFFSET(G$10,$C$5-1,0,1,1))),(1/G61)/SUM(1/G$10:OFFSET(G$10,$C$5-1,0,1,1))),"")</f>
        <v/>
      </c>
      <c r="H117" s="202" t="str">
        <f ca="1">IF(AND(ISNUMBER($B117),ISNUMBER(H$5)),IF(H$7=1,(H61)/(SUM(H$10:OFFSET(H$10,$C$5-1,0,1,1))),(1/H61)/SUM(1/H$10:OFFSET(H$10,$C$5-1,0,1,1))),"")</f>
        <v/>
      </c>
      <c r="I117" s="202" t="str">
        <f ca="1">IF(AND(ISNUMBER($B117),ISNUMBER(I$5)),IF(I$7=1,(I61)/(SUM(I$10:OFFSET(I$10,$C$5-1,0,1,1))),(1/I61)/SUM(1/I$10:OFFSET(I$10,$C$5-1,0,1,1))),"")</f>
        <v/>
      </c>
      <c r="J117" s="187"/>
      <c r="K117" s="199"/>
      <c r="L117" s="197"/>
      <c r="M117" s="198"/>
      <c r="N117" s="202" t="str">
        <f ca="1">IF(AND(ISNUMBER($L117),ISNUMBER(N$5)),IF(N$7=1,(N61)/(SUM(N$10:OFFSET(N$10,$M$5-1,0,1,1))),(1/N61)/SUM(1/N$10:OFFSET(N$10,$M$5-1,0,1,1))),"")</f>
        <v/>
      </c>
      <c r="O117" s="202" t="str">
        <f ca="1">IF(AND(ISNUMBER($L117),ISNUMBER(O$5)),IF(O$7=1,(O61)/(SUM(O$10:OFFSET(O$10,$M$5-1,0,1,1))),(1/O61)/SUM(1/O$10:OFFSET(O$10,$M$5-1,0,1,1))),"")</f>
        <v/>
      </c>
      <c r="P117" s="202" t="str">
        <f ca="1">IF(AND(ISNUMBER($L117),ISNUMBER(P$5)),IF(P$7=1,(P61)/(SUM(P$10:OFFSET(P$10,$M$5-1,0,1,1))),(1/P61)/SUM(1/P$10:OFFSET(P$10,$M$5-1,0,1,1))),"")</f>
        <v/>
      </c>
      <c r="Q117" s="202" t="str">
        <f ca="1">IF(AND(ISNUMBER($L117),ISNUMBER(Q$5)),IF(Q$7=1,(Q61)/(SUM(Q$10:OFFSET(Q$10,$M$5-1,0,1,1))),(1/Q61)/SUM(1/Q$10:OFFSET(Q$10,$M$5-1,0,1,1))),"")</f>
        <v/>
      </c>
      <c r="R117" s="202" t="str">
        <f ca="1">IF(AND(ISNUMBER($L117),ISNUMBER(R$5)),IF(R$7=1,(R61)/(SUM(R$10:OFFSET(R$10,$M$5-1,0,1,1))),(1/R61)/SUM(1/R$10:OFFSET(R$10,$M$5-1,0,1,1))),"")</f>
        <v/>
      </c>
      <c r="S117" s="202" t="str">
        <f ca="1">IF(AND(ISNUMBER($L117),ISNUMBER(S$5)),IF(S$7=1,(S61)/(SUM(S$10:OFFSET(S$10,$M$5-1,0,1,1))),(1/S61)/SUM(1/S$10:OFFSET(S$10,$M$5-1,0,1,1))),"")</f>
        <v/>
      </c>
      <c r="T117" s="187"/>
      <c r="U117" s="199"/>
      <c r="V117" s="197"/>
      <c r="W117" s="198"/>
      <c r="X117" s="202" t="str">
        <f ca="1">IF(AND(ISNUMBER($V117),ISNUMBER(X$5)),IF(X$7=1,(X61)/(SUM(X$10:OFFSET(X$10,$W$5-1,0,1,1))),(1/X61)/SUM(1/X$10:OFFSET(X$10,$W$5-1,0,1,1))),"")</f>
        <v/>
      </c>
      <c r="Y117" s="202" t="str">
        <f ca="1">IF(AND(ISNUMBER($V117),ISNUMBER(Y$5)),IF(Y$7=1,(Y61)/(SUM(Y$10:OFFSET(Y$10,$W$5-1,0,1,1))),(1/Y61)/SUM(1/Y$10:OFFSET(Y$10,$W$5-1,0,1,1))),"")</f>
        <v/>
      </c>
      <c r="Z117" s="202" t="str">
        <f ca="1">IF(AND(ISNUMBER($V117),ISNUMBER(Z$5)),IF(Z$7=1,(Z61)/(SUM(Z$10:OFFSET(Z$10,$W$5-1,0,1,1))),(1/Z61)/SUM(1/Z$10:OFFSET(Z$10,$W$5-1,0,1,1))),"")</f>
        <v/>
      </c>
      <c r="AA117" s="202" t="str">
        <f ca="1">IF(AND(ISNUMBER($V117),ISNUMBER(AA$5)),IF(AA$7=1,(AA61)/(SUM(AA$10:OFFSET(AA$10,$W$5-1,0,1,1))),(1/AA61)/SUM(1/AA$10:OFFSET(AA$10,$W$5-1,0,1,1))),"")</f>
        <v/>
      </c>
      <c r="AB117" s="202" t="str">
        <f ca="1">IF(AND(ISNUMBER($V117),ISNUMBER(AB$5)),IF(AB$7=1,(AB61)/(SUM(AB$10:OFFSET(AB$10,$W$5-1,0,1,1))),(1/AB61)/SUM(1/AB$10:OFFSET(AB$10,$W$5-1,0,1,1))),"")</f>
        <v/>
      </c>
      <c r="AC117" s="202" t="str">
        <f ca="1">IF(AND(ISNUMBER($V117),ISNUMBER(AC$5)),IF(AC$7=1,(AC61)/(SUM(AC$10:OFFSET(AC$10,$W$5-1,0,1,1))),(1/AC61)/SUM(1/AC$10:OFFSET(AC$10,$W$5-1,0,1,1))),"")</f>
        <v/>
      </c>
    </row>
    <row r="118" spans="1:29" ht="14.25" hidden="1" customHeight="1">
      <c r="A118" s="199"/>
      <c r="B118" s="197"/>
      <c r="C118" s="198"/>
      <c r="D118" s="202" t="str">
        <f ca="1">IF(AND(ISNUMBER($B118),ISNUMBER(D$5)),IF(D$7=1,(D62)/(SUM(D$10:OFFSET(D$10,$C$5-1,0,1,1))),(1/D62)/SUM(1/D$10:OFFSET(D$10,$C$5-1,0,1,1))),"")</f>
        <v/>
      </c>
      <c r="E118" s="202" t="str">
        <f ca="1">IF(AND(ISNUMBER($B118),ISNUMBER(E$5)),IF(E$7=1,(E62)/(SUM(E$10:OFFSET(E$10,$C$5-1,0,1,1))),(1/E62)/SUM(1/E$10:OFFSET(E$10,$C$5-1,0,1,1))),"")</f>
        <v/>
      </c>
      <c r="F118" s="202" t="str">
        <f ca="1">IF(AND(ISNUMBER($B118),ISNUMBER(F$5)),IF(F$7=1,(F62)/(SUM(F$10:OFFSET(F$10,$C$5-1,0,1,1))),(1/F62)/SUM(1/F$10:OFFSET(F$10,$C$5-1,0,1,1))),"")</f>
        <v/>
      </c>
      <c r="G118" s="202" t="str">
        <f ca="1">IF(AND(ISNUMBER($B118),ISNUMBER(G$5)),IF(G$7=1,(G62)/(SUM(G$10:OFFSET(G$10,$C$5-1,0,1,1))),(1/G62)/SUM(1/G$10:OFFSET(G$10,$C$5-1,0,1,1))),"")</f>
        <v/>
      </c>
      <c r="H118" s="202" t="str">
        <f ca="1">IF(AND(ISNUMBER($B118),ISNUMBER(H$5)),IF(H$7=1,(H62)/(SUM(H$10:OFFSET(H$10,$C$5-1,0,1,1))),(1/H62)/SUM(1/H$10:OFFSET(H$10,$C$5-1,0,1,1))),"")</f>
        <v/>
      </c>
      <c r="I118" s="202" t="str">
        <f ca="1">IF(AND(ISNUMBER($B118),ISNUMBER(I$5)),IF(I$7=1,(I62)/(SUM(I$10:OFFSET(I$10,$C$5-1,0,1,1))),(1/I62)/SUM(1/I$10:OFFSET(I$10,$C$5-1,0,1,1))),"")</f>
        <v/>
      </c>
      <c r="J118" s="187"/>
      <c r="K118" s="199"/>
      <c r="L118" s="197"/>
      <c r="M118" s="198"/>
      <c r="N118" s="202" t="str">
        <f ca="1">IF(AND(ISNUMBER($L118),ISNUMBER(N$5)),IF(N$7=1,(N62)/(SUM(N$10:OFFSET(N$10,$M$5-1,0,1,1))),(1/N62)/SUM(1/N$10:OFFSET(N$10,$M$5-1,0,1,1))),"")</f>
        <v/>
      </c>
      <c r="O118" s="202" t="str">
        <f ca="1">IF(AND(ISNUMBER($L118),ISNUMBER(O$5)),IF(O$7=1,(O62)/(SUM(O$10:OFFSET(O$10,$M$5-1,0,1,1))),(1/O62)/SUM(1/O$10:OFFSET(O$10,$M$5-1,0,1,1))),"")</f>
        <v/>
      </c>
      <c r="P118" s="202" t="str">
        <f ca="1">IF(AND(ISNUMBER($L118),ISNUMBER(P$5)),IF(P$7=1,(P62)/(SUM(P$10:OFFSET(P$10,$M$5-1,0,1,1))),(1/P62)/SUM(1/P$10:OFFSET(P$10,$M$5-1,0,1,1))),"")</f>
        <v/>
      </c>
      <c r="Q118" s="202" t="str">
        <f ca="1">IF(AND(ISNUMBER($L118),ISNUMBER(Q$5)),IF(Q$7=1,(Q62)/(SUM(Q$10:OFFSET(Q$10,$M$5-1,0,1,1))),(1/Q62)/SUM(1/Q$10:OFFSET(Q$10,$M$5-1,0,1,1))),"")</f>
        <v/>
      </c>
      <c r="R118" s="202" t="str">
        <f ca="1">IF(AND(ISNUMBER($L118),ISNUMBER(R$5)),IF(R$7=1,(R62)/(SUM(R$10:OFFSET(R$10,$M$5-1,0,1,1))),(1/R62)/SUM(1/R$10:OFFSET(R$10,$M$5-1,0,1,1))),"")</f>
        <v/>
      </c>
      <c r="S118" s="202" t="str">
        <f ca="1">IF(AND(ISNUMBER($L118),ISNUMBER(S$5)),IF(S$7=1,(S62)/(SUM(S$10:OFFSET(S$10,$M$5-1,0,1,1))),(1/S62)/SUM(1/S$10:OFFSET(S$10,$M$5-1,0,1,1))),"")</f>
        <v/>
      </c>
      <c r="T118" s="187"/>
      <c r="U118" s="199"/>
      <c r="V118" s="197"/>
      <c r="W118" s="198"/>
      <c r="X118" s="202" t="str">
        <f ca="1">IF(AND(ISNUMBER($V118),ISNUMBER(X$5)),IF(X$7=1,(X62)/(SUM(X$10:OFFSET(X$10,$W$5-1,0,1,1))),(1/X62)/SUM(1/X$10:OFFSET(X$10,$W$5-1,0,1,1))),"")</f>
        <v/>
      </c>
      <c r="Y118" s="202" t="str">
        <f ca="1">IF(AND(ISNUMBER($V118),ISNUMBER(Y$5)),IF(Y$7=1,(Y62)/(SUM(Y$10:OFFSET(Y$10,$W$5-1,0,1,1))),(1/Y62)/SUM(1/Y$10:OFFSET(Y$10,$W$5-1,0,1,1))),"")</f>
        <v/>
      </c>
      <c r="Z118" s="202" t="str">
        <f ca="1">IF(AND(ISNUMBER($V118),ISNUMBER(Z$5)),IF(Z$7=1,(Z62)/(SUM(Z$10:OFFSET(Z$10,$W$5-1,0,1,1))),(1/Z62)/SUM(1/Z$10:OFFSET(Z$10,$W$5-1,0,1,1))),"")</f>
        <v/>
      </c>
      <c r="AA118" s="202" t="str">
        <f ca="1">IF(AND(ISNUMBER($V118),ISNUMBER(AA$5)),IF(AA$7=1,(AA62)/(SUM(AA$10:OFFSET(AA$10,$W$5-1,0,1,1))),(1/AA62)/SUM(1/AA$10:OFFSET(AA$10,$W$5-1,0,1,1))),"")</f>
        <v/>
      </c>
      <c r="AB118" s="202" t="str">
        <f ca="1">IF(AND(ISNUMBER($V118),ISNUMBER(AB$5)),IF(AB$7=1,(AB62)/(SUM(AB$10:OFFSET(AB$10,$W$5-1,0,1,1))),(1/AB62)/SUM(1/AB$10:OFFSET(AB$10,$W$5-1,0,1,1))),"")</f>
        <v/>
      </c>
      <c r="AC118" s="202" t="str">
        <f ca="1">IF(AND(ISNUMBER($V118),ISNUMBER(AC$5)),IF(AC$7=1,(AC62)/(SUM(AC$10:OFFSET(AC$10,$W$5-1,0,1,1))),(1/AC62)/SUM(1/AC$10:OFFSET(AC$10,$W$5-1,0,1,1))),"")</f>
        <v/>
      </c>
    </row>
    <row r="119" spans="1:29" ht="14.25" hidden="1" customHeight="1" thickBot="1">
      <c r="A119" s="199"/>
      <c r="B119" s="197"/>
      <c r="C119" s="198"/>
      <c r="D119" s="202" t="str">
        <f ca="1">IF(AND(ISNUMBER($B119),ISNUMBER(D$5)),IF(D$7=1,(D63)/(SUM(D$10:OFFSET(D$10,$C$5-1,0,1,1))),(1/D63)/SUM(1/D$10:OFFSET(D$10,$C$5-1,0,1,1))),"")</f>
        <v/>
      </c>
      <c r="E119" s="202" t="str">
        <f ca="1">IF(AND(ISNUMBER($B119),ISNUMBER(E$5)),IF(E$7=1,(E63)/(SUM(E$10:OFFSET(E$10,$C$5-1,0,1,1))),(1/E63)/SUM(1/E$10:OFFSET(E$10,$C$5-1,0,1,1))),"")</f>
        <v/>
      </c>
      <c r="F119" s="202" t="str">
        <f ca="1">IF(AND(ISNUMBER($B119),ISNUMBER(F$5)),IF(F$7=1,(F63)/(SUM(F$10:OFFSET(F$10,$C$5-1,0,1,1))),(1/F63)/SUM(1/F$10:OFFSET(F$10,$C$5-1,0,1,1))),"")</f>
        <v/>
      </c>
      <c r="G119" s="202" t="str">
        <f ca="1">IF(AND(ISNUMBER($B119),ISNUMBER(G$5)),IF(G$7=1,(G63)/(SUM(G$10:OFFSET(G$10,$C$5-1,0,1,1))),(1/G63)/SUM(1/G$10:OFFSET(G$10,$C$5-1,0,1,1))),"")</f>
        <v/>
      </c>
      <c r="H119" s="202" t="str">
        <f ca="1">IF(AND(ISNUMBER($B119),ISNUMBER(H$5)),IF(H$7=1,(H63)/(SUM(H$10:OFFSET(H$10,$C$5-1,0,1,1))),(1/H63)/SUM(1/H$10:OFFSET(H$10,$C$5-1,0,1,1))),"")</f>
        <v/>
      </c>
      <c r="I119" s="202" t="str">
        <f ca="1">IF(AND(ISNUMBER($B119),ISNUMBER(I$5)),IF(I$7=1,(I63)/(SUM(I$10:OFFSET(I$10,$C$5-1,0,1,1))),(1/I63)/SUM(1/I$10:OFFSET(I$10,$C$5-1,0,1,1))),"")</f>
        <v/>
      </c>
      <c r="J119" s="187"/>
      <c r="K119" s="199"/>
      <c r="L119" s="197"/>
      <c r="M119" s="198"/>
      <c r="N119" s="202" t="str">
        <f ca="1">IF(AND(ISNUMBER($L119),ISNUMBER(N$5)),IF(N$7=1,(N63)/(SUM(N$10:OFFSET(N$10,$M$5-1,0,1,1))),(1/N63)/SUM(1/N$10:OFFSET(N$10,$M$5-1,0,1,1))),"")</f>
        <v/>
      </c>
      <c r="O119" s="202" t="str">
        <f ca="1">IF(AND(ISNUMBER($L119),ISNUMBER(O$5)),IF(O$7=1,(O63)/(SUM(O$10:OFFSET(O$10,$M$5-1,0,1,1))),(1/O63)/SUM(1/O$10:OFFSET(O$10,$M$5-1,0,1,1))),"")</f>
        <v/>
      </c>
      <c r="P119" s="202" t="str">
        <f ca="1">IF(AND(ISNUMBER($L119),ISNUMBER(P$5)),IF(P$7=1,(P63)/(SUM(P$10:OFFSET(P$10,$M$5-1,0,1,1))),(1/P63)/SUM(1/P$10:OFFSET(P$10,$M$5-1,0,1,1))),"")</f>
        <v/>
      </c>
      <c r="Q119" s="202" t="str">
        <f ca="1">IF(AND(ISNUMBER($L119),ISNUMBER(Q$5)),IF(Q$7=1,(Q63)/(SUM(Q$10:OFFSET(Q$10,$M$5-1,0,1,1))),(1/Q63)/SUM(1/Q$10:OFFSET(Q$10,$M$5-1,0,1,1))),"")</f>
        <v/>
      </c>
      <c r="R119" s="202" t="str">
        <f ca="1">IF(AND(ISNUMBER($L119),ISNUMBER(R$5)),IF(R$7=1,(R63)/(SUM(R$10:OFFSET(R$10,$M$5-1,0,1,1))),(1/R63)/SUM(1/R$10:OFFSET(R$10,$M$5-1,0,1,1))),"")</f>
        <v/>
      </c>
      <c r="S119" s="202" t="str">
        <f ca="1">IF(AND(ISNUMBER($L119),ISNUMBER(S$5)),IF(S$7=1,(S63)/(SUM(S$10:OFFSET(S$10,$M$5-1,0,1,1))),(1/S63)/SUM(1/S$10:OFFSET(S$10,$M$5-1,0,1,1))),"")</f>
        <v/>
      </c>
      <c r="T119" s="187"/>
      <c r="U119" s="199"/>
      <c r="V119" s="197"/>
      <c r="W119" s="198"/>
      <c r="X119" s="202" t="str">
        <f ca="1">IF(AND(ISNUMBER($V119),ISNUMBER(X$5)),IF(X$7=1,(X63)/(SUM(X$10:OFFSET(X$10,$W$5-1,0,1,1))),(1/X63)/SUM(1/X$10:OFFSET(X$10,$W$5-1,0,1,1))),"")</f>
        <v/>
      </c>
      <c r="Y119" s="202" t="str">
        <f ca="1">IF(AND(ISNUMBER($V119),ISNUMBER(Y$5)),IF(Y$7=1,(Y63)/(SUM(Y$10:OFFSET(Y$10,$W$5-1,0,1,1))),(1/Y63)/SUM(1/Y$10:OFFSET(Y$10,$W$5-1,0,1,1))),"")</f>
        <v/>
      </c>
      <c r="Z119" s="202" t="str">
        <f ca="1">IF(AND(ISNUMBER($V119),ISNUMBER(Z$5)),IF(Z$7=1,(Z63)/(SUM(Z$10:OFFSET(Z$10,$W$5-1,0,1,1))),(1/Z63)/SUM(1/Z$10:OFFSET(Z$10,$W$5-1,0,1,1))),"")</f>
        <v/>
      </c>
      <c r="AA119" s="202" t="str">
        <f ca="1">IF(AND(ISNUMBER($V119),ISNUMBER(AA$5)),IF(AA$7=1,(AA63)/(SUM(AA$10:OFFSET(AA$10,$W$5-1,0,1,1))),(1/AA63)/SUM(1/AA$10:OFFSET(AA$10,$W$5-1,0,1,1))),"")</f>
        <v/>
      </c>
      <c r="AB119" s="202" t="str">
        <f ca="1">IF(AND(ISNUMBER($V119),ISNUMBER(AB$5)),IF(AB$7=1,(AB63)/(SUM(AB$10:OFFSET(AB$10,$W$5-1,0,1,1))),(1/AB63)/SUM(1/AB$10:OFFSET(AB$10,$W$5-1,0,1,1))),"")</f>
        <v/>
      </c>
      <c r="AC119" s="202" t="str">
        <f ca="1">IF(AND(ISNUMBER($V119),ISNUMBER(AC$5)),IF(AC$7=1,(AC63)/(SUM(AC$10:OFFSET(AC$10,$W$5-1,0,1,1))),(1/AC63)/SUM(1/AC$10:OFFSET(AC$10,$W$5-1,0,1,1))),"")</f>
        <v/>
      </c>
    </row>
    <row r="120" spans="1:29" ht="14.25" customHeight="1" thickBot="1">
      <c r="A120" s="204"/>
      <c r="B120" s="308" t="s">
        <v>145</v>
      </c>
      <c r="C120" s="308"/>
      <c r="D120" s="202">
        <f ca="1">SUM(D66:D112)</f>
        <v>1.0000000000000002</v>
      </c>
      <c r="E120" s="202">
        <f t="shared" ref="E120:I120" ca="1" si="0">SUM(E66:E112)</f>
        <v>1.0000000000000002</v>
      </c>
      <c r="F120" s="202">
        <f t="shared" ca="1" si="0"/>
        <v>1</v>
      </c>
      <c r="G120" s="202">
        <f t="shared" ca="1" si="0"/>
        <v>1.0000000000000002</v>
      </c>
      <c r="H120" s="202">
        <f t="shared" ca="1" si="0"/>
        <v>1.0000000000000002</v>
      </c>
      <c r="I120" s="202">
        <f t="shared" ca="1" si="0"/>
        <v>1</v>
      </c>
      <c r="J120" s="187"/>
      <c r="K120" s="204"/>
      <c r="L120" s="308" t="s">
        <v>145</v>
      </c>
      <c r="M120" s="308"/>
      <c r="N120" s="202">
        <f ca="1">SUM(N66:N112)</f>
        <v>0.99999999999999933</v>
      </c>
      <c r="O120" s="202">
        <f t="shared" ref="O120:S120" ca="1" si="1">SUM(O66:O112)</f>
        <v>0.99999999999999989</v>
      </c>
      <c r="P120" s="202">
        <f t="shared" ca="1" si="1"/>
        <v>0.99999999999999978</v>
      </c>
      <c r="Q120" s="202">
        <f t="shared" ca="1" si="1"/>
        <v>0.99999999999999989</v>
      </c>
      <c r="R120" s="202">
        <f t="shared" ca="1" si="1"/>
        <v>0.99999999999999989</v>
      </c>
      <c r="S120" s="202">
        <f t="shared" ca="1" si="1"/>
        <v>1</v>
      </c>
      <c r="T120" s="187"/>
      <c r="U120" s="204"/>
      <c r="V120" s="308" t="s">
        <v>145</v>
      </c>
      <c r="W120" s="308"/>
      <c r="X120" s="202">
        <f ca="1">SUM(X66:X112)</f>
        <v>0.99999999999999956</v>
      </c>
      <c r="Y120" s="202">
        <f t="shared" ref="Y120:AC120" ca="1" si="2">SUM(Y66:Y112)</f>
        <v>0.99999999999999989</v>
      </c>
      <c r="Z120" s="202">
        <f t="shared" ca="1" si="2"/>
        <v>0.99999999999999956</v>
      </c>
      <c r="AA120" s="202">
        <f t="shared" ca="1" si="2"/>
        <v>1</v>
      </c>
      <c r="AB120" s="202">
        <f t="shared" ca="1" si="2"/>
        <v>0.99999999999999978</v>
      </c>
      <c r="AC120" s="202">
        <f t="shared" ca="1" si="2"/>
        <v>0.99999999999999967</v>
      </c>
    </row>
    <row r="121" spans="1:29" ht="14.25" customHeight="1" thickBot="1">
      <c r="A121" s="204"/>
      <c r="B121" s="294" t="s">
        <v>146</v>
      </c>
      <c r="C121" s="294"/>
      <c r="D121" s="294"/>
      <c r="E121" s="294"/>
      <c r="F121" s="294"/>
      <c r="G121" s="294"/>
      <c r="H121" s="294"/>
      <c r="I121" s="294"/>
      <c r="J121" s="187"/>
      <c r="K121" s="204"/>
      <c r="L121" s="294" t="s">
        <v>146</v>
      </c>
      <c r="M121" s="294"/>
      <c r="N121" s="294"/>
      <c r="O121" s="294"/>
      <c r="P121" s="294"/>
      <c r="Q121" s="294"/>
      <c r="R121" s="294"/>
      <c r="S121" s="294"/>
      <c r="T121" s="187"/>
      <c r="U121" s="204"/>
      <c r="V121" s="294" t="s">
        <v>146</v>
      </c>
      <c r="W121" s="294"/>
      <c r="X121" s="294"/>
      <c r="Y121" s="294"/>
      <c r="Z121" s="294"/>
      <c r="AA121" s="294"/>
      <c r="AB121" s="294"/>
      <c r="AC121" s="294"/>
    </row>
    <row r="122" spans="1:29" ht="14.25" customHeight="1">
      <c r="A122" s="302" t="s">
        <v>147</v>
      </c>
      <c r="B122" s="200"/>
      <c r="C122" s="205" t="s">
        <v>25</v>
      </c>
      <c r="D122" s="205" t="s">
        <v>135</v>
      </c>
      <c r="E122" s="205" t="s">
        <v>136</v>
      </c>
      <c r="F122" s="205" t="s">
        <v>137</v>
      </c>
      <c r="G122" s="205" t="s">
        <v>138</v>
      </c>
      <c r="H122" s="205" t="s">
        <v>139</v>
      </c>
      <c r="I122" s="205" t="s">
        <v>140</v>
      </c>
      <c r="J122" s="187"/>
      <c r="K122" s="302" t="s">
        <v>147</v>
      </c>
      <c r="L122" s="200"/>
      <c r="M122" s="205" t="s">
        <v>25</v>
      </c>
      <c r="N122" s="205" t="s">
        <v>135</v>
      </c>
      <c r="O122" s="205" t="s">
        <v>136</v>
      </c>
      <c r="P122" s="205" t="s">
        <v>137</v>
      </c>
      <c r="Q122" s="205" t="s">
        <v>138</v>
      </c>
      <c r="R122" s="205" t="s">
        <v>139</v>
      </c>
      <c r="S122" s="205" t="s">
        <v>140</v>
      </c>
      <c r="T122" s="187"/>
      <c r="U122" s="302" t="s">
        <v>147</v>
      </c>
      <c r="V122" s="200"/>
      <c r="W122" s="205" t="s">
        <v>25</v>
      </c>
      <c r="X122" s="205" t="s">
        <v>135</v>
      </c>
      <c r="Y122" s="205" t="s">
        <v>136</v>
      </c>
      <c r="Z122" s="205" t="s">
        <v>137</v>
      </c>
      <c r="AA122" s="205" t="s">
        <v>138</v>
      </c>
      <c r="AB122" s="205" t="s">
        <v>139</v>
      </c>
      <c r="AC122" s="205" t="s">
        <v>140</v>
      </c>
    </row>
    <row r="123" spans="1:29" ht="14.25" customHeight="1">
      <c r="A123" s="296"/>
      <c r="B123" s="197">
        <v>1</v>
      </c>
      <c r="C123" s="198" t="s">
        <v>57</v>
      </c>
      <c r="D123" s="202">
        <f t="shared" ref="D123:I138" ca="1" si="3">IF(AND(ISNUMBER($B123),ISNUMBER(D$5)),IF(D66=0,0,((D66/D$120)*(LN(D66/D$120)))),"")</f>
        <v>-9.492362506014361E-2</v>
      </c>
      <c r="E123" s="202">
        <f t="shared" ca="1" si="3"/>
        <v>-3.8224683757104083E-2</v>
      </c>
      <c r="F123" s="202">
        <f t="shared" ca="1" si="3"/>
        <v>-7.782346611760585E-2</v>
      </c>
      <c r="G123" s="202">
        <f t="shared" ca="1" si="3"/>
        <v>-6.651507656650546E-2</v>
      </c>
      <c r="H123" s="202">
        <f t="shared" ca="1" si="3"/>
        <v>-7.1342660702769498E-2</v>
      </c>
      <c r="I123" s="202">
        <f t="shared" ca="1" si="3"/>
        <v>-9.1724072983417962E-2</v>
      </c>
      <c r="J123" s="187"/>
      <c r="K123" s="296"/>
      <c r="L123" s="197">
        <v>1</v>
      </c>
      <c r="M123" s="198" t="s">
        <v>57</v>
      </c>
      <c r="N123" s="202">
        <f t="shared" ref="N123:S132" ca="1" si="4">IF(AND(ISNUMBER($L123),ISNUMBER(N$5)),IF(N66=0,0,((N66/N$120)*(LN(N66/N$120)))),"")</f>
        <v>-8.6458043309042359E-2</v>
      </c>
      <c r="O123" s="202">
        <f t="shared" ca="1" si="4"/>
        <v>-5.01768711696872E-2</v>
      </c>
      <c r="P123" s="202">
        <f t="shared" ca="1" si="4"/>
        <v>-7.1502894000032208E-2</v>
      </c>
      <c r="Q123" s="202">
        <f t="shared" ca="1" si="4"/>
        <v>-7.1037050001880875E-2</v>
      </c>
      <c r="R123" s="202">
        <f t="shared" ca="1" si="4"/>
        <v>-7.2439086420831286E-2</v>
      </c>
      <c r="S123" s="202">
        <f t="shared" ca="1" si="4"/>
        <v>-8.9981663402544654E-2</v>
      </c>
      <c r="T123" s="187"/>
      <c r="U123" s="296"/>
      <c r="V123" s="197">
        <v>1</v>
      </c>
      <c r="W123" s="198" t="s">
        <v>57</v>
      </c>
      <c r="X123" s="202">
        <f t="shared" ref="X123:AC132" ca="1" si="5">IF(AND(ISNUMBER($V123),ISNUMBER(X$5)),IF(X66=0,0,((X66/X$120)*(LN(X66/X$120)))),"")</f>
        <v>-9.0972148595629507E-2</v>
      </c>
      <c r="Y123" s="202">
        <f t="shared" ca="1" si="5"/>
        <v>-4.4482671241896088E-2</v>
      </c>
      <c r="Z123" s="202">
        <f t="shared" ca="1" si="5"/>
        <v>-7.4821769920329753E-2</v>
      </c>
      <c r="AA123" s="202">
        <f t="shared" ca="1" si="5"/>
        <v>-6.8890561688020949E-2</v>
      </c>
      <c r="AB123" s="202">
        <f t="shared" ca="1" si="5"/>
        <v>-7.1897742800224193E-2</v>
      </c>
      <c r="AC123" s="202">
        <f t="shared" ca="1" si="5"/>
        <v>-9.086324665823399E-2</v>
      </c>
    </row>
    <row r="124" spans="1:29" ht="14.25" customHeight="1">
      <c r="A124" s="296"/>
      <c r="B124" s="197">
        <v>2</v>
      </c>
      <c r="C124" s="198" t="s">
        <v>58</v>
      </c>
      <c r="D124" s="202">
        <f t="shared" ca="1" si="3"/>
        <v>-7.2214009789563438E-2</v>
      </c>
      <c r="E124" s="202">
        <f t="shared" ca="1" si="3"/>
        <v>-5.4279664728770494E-2</v>
      </c>
      <c r="F124" s="202">
        <f t="shared" ca="1" si="3"/>
        <v>-5.7603218648916425E-2</v>
      </c>
      <c r="G124" s="202">
        <f t="shared" ca="1" si="3"/>
        <v>-8.2506386636171936E-2</v>
      </c>
      <c r="H124" s="202">
        <f t="shared" ca="1" si="3"/>
        <v>-7.9483636545524733E-2</v>
      </c>
      <c r="I124" s="202">
        <f t="shared" ca="1" si="3"/>
        <v>-8.0709955744222628E-2</v>
      </c>
      <c r="J124" s="187"/>
      <c r="K124" s="296"/>
      <c r="L124" s="197">
        <v>2</v>
      </c>
      <c r="M124" s="198" t="s">
        <v>58</v>
      </c>
      <c r="N124" s="202">
        <f t="shared" ca="1" si="4"/>
        <v>-8.3947360560456194E-2</v>
      </c>
      <c r="O124" s="202">
        <f t="shared" ca="1" si="4"/>
        <v>-5.2327432772520159E-2</v>
      </c>
      <c r="P124" s="202">
        <f t="shared" ca="1" si="4"/>
        <v>-8.3652500176598837E-2</v>
      </c>
      <c r="Q124" s="202">
        <f t="shared" ca="1" si="4"/>
        <v>-9.7708115458973038E-2</v>
      </c>
      <c r="R124" s="202">
        <f t="shared" ca="1" si="4"/>
        <v>-8.4314576530466909E-2</v>
      </c>
      <c r="S124" s="202">
        <f t="shared" ca="1" si="4"/>
        <v>-8.2130256464747128E-2</v>
      </c>
      <c r="T124" s="187"/>
      <c r="U124" s="296"/>
      <c r="V124" s="197">
        <v>2</v>
      </c>
      <c r="W124" s="198" t="s">
        <v>58</v>
      </c>
      <c r="X124" s="202">
        <f t="shared" ca="1" si="5"/>
        <v>-7.7861032863843091E-2</v>
      </c>
      <c r="Y124" s="202">
        <f t="shared" ca="1" si="5"/>
        <v>-5.3283824400032022E-2</v>
      </c>
      <c r="Z124" s="202">
        <f t="shared" ca="1" si="5"/>
        <v>-7.0621804931263563E-2</v>
      </c>
      <c r="AA124" s="202">
        <f t="shared" ca="1" si="5"/>
        <v>-9.0599210316649456E-2</v>
      </c>
      <c r="AB124" s="202">
        <f t="shared" ca="1" si="5"/>
        <v>-8.1942198555143092E-2</v>
      </c>
      <c r="AC124" s="202">
        <f t="shared" ca="1" si="5"/>
        <v>-8.141482900179059E-2</v>
      </c>
    </row>
    <row r="125" spans="1:29" ht="14.25" customHeight="1" thickBot="1">
      <c r="A125" s="297"/>
      <c r="B125" s="197">
        <v>3</v>
      </c>
      <c r="C125" s="198" t="s">
        <v>59</v>
      </c>
      <c r="D125" s="202">
        <f t="shared" ca="1" si="3"/>
        <v>-5.4218628163247205E-2</v>
      </c>
      <c r="E125" s="202">
        <f t="shared" ca="1" si="3"/>
        <v>-6.9260881491716178E-2</v>
      </c>
      <c r="F125" s="202">
        <f t="shared" ca="1" si="3"/>
        <v>-7.8752850587713877E-2</v>
      </c>
      <c r="G125" s="202">
        <f t="shared" ca="1" si="3"/>
        <v>-4.5033464640310737E-2</v>
      </c>
      <c r="H125" s="202">
        <f t="shared" ca="1" si="3"/>
        <v>-8.8689103939225564E-2</v>
      </c>
      <c r="I125" s="202">
        <f t="shared" ca="1" si="3"/>
        <v>-8.2345800191123655E-2</v>
      </c>
      <c r="J125" s="187"/>
      <c r="K125" s="297"/>
      <c r="L125" s="197">
        <v>3</v>
      </c>
      <c r="M125" s="198" t="s">
        <v>59</v>
      </c>
      <c r="N125" s="202">
        <f t="shared" ca="1" si="4"/>
        <v>-5.9479754222151869E-2</v>
      </c>
      <c r="O125" s="202">
        <f t="shared" ca="1" si="4"/>
        <v>-5.5044692882049932E-2</v>
      </c>
      <c r="P125" s="202">
        <f t="shared" ca="1" si="4"/>
        <v>-7.9097559638743181E-2</v>
      </c>
      <c r="Q125" s="202">
        <f t="shared" ca="1" si="4"/>
        <v>-4.2483018395005678E-2</v>
      </c>
      <c r="R125" s="202">
        <f t="shared" ca="1" si="4"/>
        <v>-8.3268406895632766E-2</v>
      </c>
      <c r="S125" s="202">
        <f t="shared" ca="1" si="4"/>
        <v>-8.3646549204289974E-2</v>
      </c>
      <c r="T125" s="187"/>
      <c r="U125" s="297"/>
      <c r="V125" s="197">
        <v>3</v>
      </c>
      <c r="W125" s="198" t="s">
        <v>59</v>
      </c>
      <c r="X125" s="202">
        <f t="shared" ca="1" si="5"/>
        <v>-5.672890480776064E-2</v>
      </c>
      <c r="Y125" s="202">
        <f t="shared" ca="1" si="5"/>
        <v>-6.2150262098581981E-2</v>
      </c>
      <c r="Z125" s="202">
        <f t="shared" ca="1" si="5"/>
        <v>-7.8918277569661799E-2</v>
      </c>
      <c r="AA125" s="202">
        <f t="shared" ca="1" si="5"/>
        <v>-4.3709074470984724E-2</v>
      </c>
      <c r="AB125" s="202">
        <f t="shared" ca="1" si="5"/>
        <v>-8.5970190149734727E-2</v>
      </c>
      <c r="AC125" s="202">
        <f t="shared" ca="1" si="5"/>
        <v>-8.2991219638515037E-2</v>
      </c>
    </row>
    <row r="126" spans="1:29" ht="14.25" customHeight="1">
      <c r="A126" s="203"/>
      <c r="B126" s="197">
        <v>4</v>
      </c>
      <c r="C126" s="198" t="s">
        <v>60</v>
      </c>
      <c r="D126" s="202">
        <f t="shared" ca="1" si="3"/>
        <v>-7.739481261503163E-2</v>
      </c>
      <c r="E126" s="202">
        <f t="shared" ca="1" si="3"/>
        <v>-7.0965382554926307E-2</v>
      </c>
      <c r="F126" s="202">
        <f t="shared" ca="1" si="3"/>
        <v>-7.632574004276968E-2</v>
      </c>
      <c r="G126" s="202">
        <f t="shared" ca="1" si="3"/>
        <v>-8.8574877438016758E-2</v>
      </c>
      <c r="H126" s="202">
        <f t="shared" ca="1" si="3"/>
        <v>-7.7554475627391747E-2</v>
      </c>
      <c r="I126" s="202">
        <f t="shared" ca="1" si="3"/>
        <v>-0.10463969877363877</v>
      </c>
      <c r="J126" s="187"/>
      <c r="K126" s="203"/>
      <c r="L126" s="197">
        <v>4</v>
      </c>
      <c r="M126" s="198" t="s">
        <v>60</v>
      </c>
      <c r="N126" s="202">
        <f t="shared" ca="1" si="4"/>
        <v>-8.3947360560456194E-2</v>
      </c>
      <c r="O126" s="202">
        <f t="shared" ca="1" si="4"/>
        <v>-9.4776480950197015E-2</v>
      </c>
      <c r="P126" s="202">
        <f t="shared" ca="1" si="4"/>
        <v>-7.0871546506426589E-2</v>
      </c>
      <c r="Q126" s="202">
        <f t="shared" ca="1" si="4"/>
        <v>-9.0853939242177523E-2</v>
      </c>
      <c r="R126" s="202">
        <f t="shared" ca="1" si="4"/>
        <v>-8.5095114115753559E-2</v>
      </c>
      <c r="S126" s="202">
        <f t="shared" ca="1" si="4"/>
        <v>-0.10715777595734699</v>
      </c>
      <c r="T126" s="187"/>
      <c r="U126" s="203"/>
      <c r="V126" s="197">
        <v>4</v>
      </c>
      <c r="W126" s="198" t="s">
        <v>60</v>
      </c>
      <c r="X126" s="202">
        <f t="shared" ca="1" si="5"/>
        <v>-8.0522955862220552E-2</v>
      </c>
      <c r="Y126" s="202">
        <f t="shared" ca="1" si="5"/>
        <v>-8.355998237191696E-2</v>
      </c>
      <c r="Z126" s="202">
        <f t="shared" ca="1" si="5"/>
        <v>-7.3732093655562853E-2</v>
      </c>
      <c r="AA126" s="202">
        <f t="shared" ca="1" si="5"/>
        <v>-8.9767712355847629E-2</v>
      </c>
      <c r="AB126" s="202">
        <f t="shared" ca="1" si="5"/>
        <v>-8.1406945979447254E-2</v>
      </c>
      <c r="AC126" s="202">
        <f t="shared" ca="1" si="5"/>
        <v>-0.10589098573145606</v>
      </c>
    </row>
    <row r="127" spans="1:29" ht="14.25" customHeight="1">
      <c r="A127" s="203"/>
      <c r="B127" s="197">
        <v>5</v>
      </c>
      <c r="C127" s="198" t="s">
        <v>61</v>
      </c>
      <c r="D127" s="202">
        <f t="shared" ca="1" si="3"/>
        <v>-5.6476976945602289E-2</v>
      </c>
      <c r="E127" s="202">
        <f t="shared" ca="1" si="3"/>
        <v>-0.11715710758231954</v>
      </c>
      <c r="F127" s="202">
        <f t="shared" ca="1" si="3"/>
        <v>-0.10633598135420459</v>
      </c>
      <c r="G127" s="202">
        <f t="shared" ca="1" si="3"/>
        <v>-6.122594343675869E-2</v>
      </c>
      <c r="H127" s="202">
        <f t="shared" ca="1" si="3"/>
        <v>-9.1141832675816381E-2</v>
      </c>
      <c r="I127" s="202">
        <f t="shared" ca="1" si="3"/>
        <v>-8.703102192140251E-2</v>
      </c>
      <c r="J127" s="187"/>
      <c r="K127" s="203"/>
      <c r="L127" s="197">
        <v>5</v>
      </c>
      <c r="M127" s="198" t="s">
        <v>61</v>
      </c>
      <c r="N127" s="202">
        <f t="shared" ca="1" si="4"/>
        <v>-6.1426890969661474E-2</v>
      </c>
      <c r="O127" s="202">
        <f t="shared" ca="1" si="4"/>
        <v>-0.10527659314833931</v>
      </c>
      <c r="P127" s="202">
        <f t="shared" ca="1" si="4"/>
        <v>-8.5209197375032575E-2</v>
      </c>
      <c r="Q127" s="202">
        <f t="shared" ca="1" si="4"/>
        <v>-6.6335990076298965E-2</v>
      </c>
      <c r="R127" s="202">
        <f t="shared" ca="1" si="4"/>
        <v>-8.9707192357579651E-2</v>
      </c>
      <c r="S127" s="202">
        <f t="shared" ca="1" si="4"/>
        <v>-7.2884535728073643E-2</v>
      </c>
      <c r="T127" s="187"/>
      <c r="U127" s="203"/>
      <c r="V127" s="197">
        <v>5</v>
      </c>
      <c r="W127" s="198" t="s">
        <v>61</v>
      </c>
      <c r="X127" s="202">
        <f t="shared" ca="1" si="5"/>
        <v>-5.8837053582917263E-2</v>
      </c>
      <c r="Y127" s="202">
        <f t="shared" ca="1" si="5"/>
        <v>-0.11116847897389041</v>
      </c>
      <c r="Z127" s="202">
        <f t="shared" ca="1" si="5"/>
        <v>-9.65060437456665E-2</v>
      </c>
      <c r="AA127" s="202">
        <f t="shared" ca="1" si="5"/>
        <v>-6.3913436798601869E-2</v>
      </c>
      <c r="AB127" s="202">
        <f t="shared" ca="1" si="5"/>
        <v>-9.0418160326375133E-2</v>
      </c>
      <c r="AC127" s="202">
        <f t="shared" ca="1" si="5"/>
        <v>-8.0171004046738908E-2</v>
      </c>
    </row>
    <row r="128" spans="1:29" ht="14.25" customHeight="1">
      <c r="A128" s="199"/>
      <c r="B128" s="197">
        <v>6</v>
      </c>
      <c r="C128" s="198" t="s">
        <v>62</v>
      </c>
      <c r="D128" s="202">
        <f t="shared" ca="1" si="3"/>
        <v>-5.9141511310177787E-2</v>
      </c>
      <c r="E128" s="202">
        <f t="shared" ca="1" si="3"/>
        <v>-5.7089093191668931E-2</v>
      </c>
      <c r="F128" s="202">
        <f t="shared" ca="1" si="3"/>
        <v>-7.5760634669672103E-2</v>
      </c>
      <c r="G128" s="202">
        <f t="shared" ca="1" si="3"/>
        <v>-5.1825551120082892E-2</v>
      </c>
      <c r="H128" s="202">
        <f t="shared" ca="1" si="3"/>
        <v>-6.5482387702200023E-2</v>
      </c>
      <c r="I128" s="202">
        <f t="shared" ca="1" si="3"/>
        <v>-7.414719495499103E-2</v>
      </c>
      <c r="J128" s="187"/>
      <c r="K128" s="199"/>
      <c r="L128" s="197">
        <v>6</v>
      </c>
      <c r="M128" s="198" t="s">
        <v>62</v>
      </c>
      <c r="N128" s="202">
        <f t="shared" ca="1" si="4"/>
        <v>-8.1827193347656368E-2</v>
      </c>
      <c r="O128" s="202">
        <f t="shared" ca="1" si="4"/>
        <v>-5.5044692882049932E-2</v>
      </c>
      <c r="P128" s="202">
        <f t="shared" ca="1" si="4"/>
        <v>-6.2650550349654568E-2</v>
      </c>
      <c r="Q128" s="202">
        <f t="shared" ca="1" si="4"/>
        <v>-4.842565876641227E-2</v>
      </c>
      <c r="R128" s="202">
        <f t="shared" ca="1" si="4"/>
        <v>-6.6020681488545299E-2</v>
      </c>
      <c r="S128" s="202">
        <f t="shared" ca="1" si="4"/>
        <v>-7.5783832313843835E-2</v>
      </c>
      <c r="T128" s="187"/>
      <c r="U128" s="199"/>
      <c r="V128" s="197">
        <v>6</v>
      </c>
      <c r="W128" s="198" t="s">
        <v>62</v>
      </c>
      <c r="X128" s="202">
        <f t="shared" ca="1" si="5"/>
        <v>-7.026104663366467E-2</v>
      </c>
      <c r="Y128" s="202">
        <f t="shared" ca="1" si="5"/>
        <v>-5.6046306599986793E-2</v>
      </c>
      <c r="Z128" s="202">
        <f t="shared" ca="1" si="5"/>
        <v>-6.9605680200968245E-2</v>
      </c>
      <c r="AA128" s="202">
        <f t="shared" ca="1" si="5"/>
        <v>-5.0062075000019468E-2</v>
      </c>
      <c r="AB128" s="202">
        <f t="shared" ca="1" si="5"/>
        <v>-6.5754686748081423E-2</v>
      </c>
      <c r="AC128" s="202">
        <f t="shared" ca="1" si="5"/>
        <v>-7.4959758178246017E-2</v>
      </c>
    </row>
    <row r="129" spans="1:29" ht="14.25" customHeight="1">
      <c r="A129" s="199"/>
      <c r="B129" s="197">
        <v>7</v>
      </c>
      <c r="C129" s="198" t="s">
        <v>63</v>
      </c>
      <c r="D129" s="202">
        <f t="shared" ca="1" si="3"/>
        <v>-9.7393384196663282E-2</v>
      </c>
      <c r="E129" s="202">
        <f t="shared" ca="1" si="3"/>
        <v>-4.5494595879903468E-2</v>
      </c>
      <c r="F129" s="202">
        <f t="shared" ca="1" si="3"/>
        <v>-8.9183475439486348E-2</v>
      </c>
      <c r="G129" s="202">
        <f t="shared" ca="1" si="3"/>
        <v>-9.8806571376408484E-2</v>
      </c>
      <c r="H129" s="202">
        <f t="shared" ca="1" si="3"/>
        <v>-7.4336408752671571E-2</v>
      </c>
      <c r="I129" s="202">
        <f t="shared" ca="1" si="3"/>
        <v>-0.10949557483191155</v>
      </c>
      <c r="J129" s="187"/>
      <c r="K129" s="199"/>
      <c r="L129" s="197">
        <v>7</v>
      </c>
      <c r="M129" s="198" t="s">
        <v>63</v>
      </c>
      <c r="N129" s="202">
        <f t="shared" ca="1" si="4"/>
        <v>-0.11344496193201506</v>
      </c>
      <c r="O129" s="202">
        <f t="shared" ca="1" si="4"/>
        <v>-5.6532229996213434E-2</v>
      </c>
      <c r="P129" s="202">
        <f t="shared" ca="1" si="4"/>
        <v>-9.6651515247744138E-2</v>
      </c>
      <c r="Q129" s="202">
        <f t="shared" ca="1" si="4"/>
        <v>-9.7708115458973038E-2</v>
      </c>
      <c r="R129" s="202">
        <f t="shared" ca="1" si="4"/>
        <v>-7.8884821435710697E-2</v>
      </c>
      <c r="S129" s="202">
        <f t="shared" ca="1" si="4"/>
        <v>-0.10619010829915253</v>
      </c>
      <c r="T129" s="187"/>
      <c r="U129" s="199"/>
      <c r="V129" s="197">
        <v>7</v>
      </c>
      <c r="W129" s="198" t="s">
        <v>63</v>
      </c>
      <c r="X129" s="202">
        <f t="shared" ca="1" si="5"/>
        <v>-0.105150488877959</v>
      </c>
      <c r="Y129" s="202">
        <f t="shared" ca="1" si="5"/>
        <v>-5.1254544712450702E-2</v>
      </c>
      <c r="Z129" s="202">
        <f t="shared" ca="1" si="5"/>
        <v>-9.2803956832464618E-2</v>
      </c>
      <c r="AA129" s="202">
        <f t="shared" ca="1" si="5"/>
        <v>-9.8234212156527723E-2</v>
      </c>
      <c r="AB129" s="202">
        <f t="shared" ca="1" si="5"/>
        <v>-7.6650678996969729E-2</v>
      </c>
      <c r="AC129" s="202">
        <f t="shared" ca="1" si="5"/>
        <v>-0.10786572196215931</v>
      </c>
    </row>
    <row r="130" spans="1:29" ht="14.25" customHeight="1">
      <c r="A130" s="199"/>
      <c r="B130" s="197">
        <v>8</v>
      </c>
      <c r="C130" s="198" t="s">
        <v>64</v>
      </c>
      <c r="D130" s="202">
        <f t="shared" ca="1" si="3"/>
        <v>-7.9345595436737193E-2</v>
      </c>
      <c r="E130" s="202">
        <f t="shared" ca="1" si="3"/>
        <v>-0.10309422525221158</v>
      </c>
      <c r="F130" s="202">
        <f t="shared" ca="1" si="3"/>
        <v>-8.2783170194216452E-2</v>
      </c>
      <c r="G130" s="202">
        <f t="shared" ca="1" si="3"/>
        <v>-8.6456863293868258E-2</v>
      </c>
      <c r="H130" s="202">
        <f t="shared" ca="1" si="3"/>
        <v>-9.6697181996277456E-2</v>
      </c>
      <c r="I130" s="202">
        <f t="shared" ca="1" si="3"/>
        <v>-7.3862150400645588E-2</v>
      </c>
      <c r="J130" s="187"/>
      <c r="K130" s="199"/>
      <c r="L130" s="197">
        <v>8</v>
      </c>
      <c r="M130" s="198" t="s">
        <v>64</v>
      </c>
      <c r="N130" s="202">
        <f t="shared" ca="1" si="4"/>
        <v>-4.5055378064270075E-2</v>
      </c>
      <c r="O130" s="202">
        <f t="shared" ca="1" si="4"/>
        <v>-9.8266226882170099E-2</v>
      </c>
      <c r="P130" s="202">
        <f t="shared" ca="1" si="4"/>
        <v>-7.9498470048870867E-2</v>
      </c>
      <c r="Q130" s="202">
        <f t="shared" ca="1" si="4"/>
        <v>-8.8938653556480021E-2</v>
      </c>
      <c r="R130" s="202">
        <f t="shared" ca="1" si="4"/>
        <v>-8.8565356292067743E-2</v>
      </c>
      <c r="S130" s="202">
        <f t="shared" ca="1" si="4"/>
        <v>-6.7532690327806386E-2</v>
      </c>
      <c r="T130" s="187"/>
      <c r="U130" s="199"/>
      <c r="V130" s="197">
        <v>8</v>
      </c>
      <c r="W130" s="198" t="s">
        <v>64</v>
      </c>
      <c r="X130" s="202">
        <f t="shared" ca="1" si="5"/>
        <v>-6.4093413984540382E-2</v>
      </c>
      <c r="Y130" s="202">
        <f t="shared" ca="1" si="5"/>
        <v>-0.10063874398065155</v>
      </c>
      <c r="Z130" s="202">
        <f t="shared" ca="1" si="5"/>
        <v>-8.1215479512593863E-2</v>
      </c>
      <c r="AA130" s="202">
        <f t="shared" ca="1" si="5"/>
        <v>-8.7756190679512125E-2</v>
      </c>
      <c r="AB130" s="202">
        <f t="shared" ca="1" si="5"/>
        <v>-9.2632802783424117E-2</v>
      </c>
      <c r="AC130" s="202">
        <f t="shared" ca="1" si="5"/>
        <v>-7.0758317266187462E-2</v>
      </c>
    </row>
    <row r="131" spans="1:29" ht="14.25" customHeight="1">
      <c r="A131" s="199"/>
      <c r="B131" s="197">
        <v>9</v>
      </c>
      <c r="C131" s="198" t="s">
        <v>65</v>
      </c>
      <c r="D131" s="202">
        <f t="shared" ca="1" si="3"/>
        <v>-7.3825389969745969E-2</v>
      </c>
      <c r="E131" s="202">
        <f t="shared" ca="1" si="3"/>
        <v>-5.1734991545942424E-2</v>
      </c>
      <c r="F131" s="202">
        <f t="shared" ca="1" si="3"/>
        <v>-7.155671651962893E-2</v>
      </c>
      <c r="G131" s="202">
        <f t="shared" ca="1" si="3"/>
        <v>-4.8246129889597075E-2</v>
      </c>
      <c r="H131" s="202">
        <f t="shared" ca="1" si="3"/>
        <v>-6.3227439674698155E-2</v>
      </c>
      <c r="I131" s="202">
        <f t="shared" ca="1" si="3"/>
        <v>-6.063741384412203E-2</v>
      </c>
      <c r="J131" s="187"/>
      <c r="K131" s="199"/>
      <c r="L131" s="197">
        <v>9</v>
      </c>
      <c r="M131" s="198" t="s">
        <v>65</v>
      </c>
      <c r="N131" s="202">
        <f t="shared" ca="1" si="4"/>
        <v>-6.5248087412348194E-2</v>
      </c>
      <c r="O131" s="202">
        <f t="shared" ca="1" si="4"/>
        <v>-4.9866879128013755E-2</v>
      </c>
      <c r="P131" s="202">
        <f t="shared" ca="1" si="4"/>
        <v>-6.0638133543193758E-2</v>
      </c>
      <c r="Q131" s="202">
        <f t="shared" ca="1" si="4"/>
        <v>-4.5063520528702564E-2</v>
      </c>
      <c r="R131" s="202">
        <f t="shared" ca="1" si="4"/>
        <v>-6.5291285203762289E-2</v>
      </c>
      <c r="S131" s="202">
        <f t="shared" ca="1" si="4"/>
        <v>-5.5593375585937757E-2</v>
      </c>
      <c r="T131" s="187"/>
      <c r="U131" s="199"/>
      <c r="V131" s="197">
        <v>9</v>
      </c>
      <c r="W131" s="198" t="s">
        <v>65</v>
      </c>
      <c r="X131" s="202">
        <f t="shared" ca="1" si="5"/>
        <v>-6.9828330670305777E-2</v>
      </c>
      <c r="Y131" s="202">
        <f t="shared" ca="1" si="5"/>
        <v>-5.0782003227993519E-2</v>
      </c>
      <c r="Z131" s="202">
        <f t="shared" ca="1" si="5"/>
        <v>-6.6414118851274531E-2</v>
      </c>
      <c r="AA131" s="202">
        <f t="shared" ca="1" si="5"/>
        <v>-4.6595101224508703E-2</v>
      </c>
      <c r="AB131" s="202">
        <f t="shared" ca="1" si="5"/>
        <v>-6.4273995231765121E-2</v>
      </c>
      <c r="AC131" s="202">
        <f t="shared" ca="1" si="5"/>
        <v>-5.8160890829163529E-2</v>
      </c>
    </row>
    <row r="132" spans="1:29" ht="14.25" customHeight="1">
      <c r="A132" s="199"/>
      <c r="B132" s="197">
        <v>10</v>
      </c>
      <c r="C132" s="198" t="s">
        <v>66</v>
      </c>
      <c r="D132" s="202">
        <f t="shared" ca="1" si="3"/>
        <v>-9.0246101005196158E-2</v>
      </c>
      <c r="E132" s="202">
        <f t="shared" ca="1" si="3"/>
        <v>-6.9260881491716178E-2</v>
      </c>
      <c r="F132" s="202">
        <f t="shared" ca="1" si="3"/>
        <v>-7.5004177845236858E-2</v>
      </c>
      <c r="G132" s="202">
        <f t="shared" ca="1" si="3"/>
        <v>-5.660174374245764E-2</v>
      </c>
      <c r="H132" s="202">
        <f t="shared" ca="1" si="3"/>
        <v>-7.7554475627391747E-2</v>
      </c>
      <c r="I132" s="202">
        <f t="shared" ca="1" si="3"/>
        <v>-5.9547916839061799E-2</v>
      </c>
      <c r="J132" s="187"/>
      <c r="K132" s="199"/>
      <c r="L132" s="197">
        <v>10</v>
      </c>
      <c r="M132" s="198" t="s">
        <v>66</v>
      </c>
      <c r="N132" s="202">
        <f t="shared" ca="1" si="4"/>
        <v>-9.772946482352364E-2</v>
      </c>
      <c r="O132" s="202">
        <f t="shared" ca="1" si="4"/>
        <v>-6.6825584976048721E-2</v>
      </c>
      <c r="P132" s="202">
        <f t="shared" ca="1" si="4"/>
        <v>-7.1712800601356999E-2</v>
      </c>
      <c r="Q132" s="202">
        <f t="shared" ca="1" si="4"/>
        <v>-5.2915245922387916E-2</v>
      </c>
      <c r="R132" s="202">
        <f t="shared" ca="1" si="4"/>
        <v>-8.2611343639644633E-2</v>
      </c>
      <c r="S132" s="202">
        <f t="shared" ca="1" si="4"/>
        <v>-5.3617168895680606E-2</v>
      </c>
      <c r="T132" s="187"/>
      <c r="U132" s="199"/>
      <c r="V132" s="197">
        <v>10</v>
      </c>
      <c r="W132" s="198" t="s">
        <v>66</v>
      </c>
      <c r="X132" s="202">
        <f t="shared" ca="1" si="5"/>
        <v>-9.3821392400314577E-2</v>
      </c>
      <c r="Y132" s="202">
        <f t="shared" ca="1" si="5"/>
        <v>-6.8019062503078542E-2</v>
      </c>
      <c r="Z132" s="202">
        <f t="shared" ca="1" si="5"/>
        <v>-7.3433660321521557E-2</v>
      </c>
      <c r="AA132" s="202">
        <f t="shared" ca="1" si="5"/>
        <v>-5.4689996758098672E-2</v>
      </c>
      <c r="AB132" s="202">
        <f t="shared" ca="1" si="5"/>
        <v>-8.0129012626132229E-2</v>
      </c>
      <c r="AC132" s="202">
        <f t="shared" ca="1" si="5"/>
        <v>-5.6640908314237383E-2</v>
      </c>
    </row>
    <row r="133" spans="1:29" ht="14.25" customHeight="1">
      <c r="A133" s="199"/>
      <c r="B133" s="197">
        <v>11</v>
      </c>
      <c r="C133" s="198" t="s">
        <v>67</v>
      </c>
      <c r="D133" s="202">
        <f t="shared" ca="1" si="3"/>
        <v>-5.0528583894972154E-2</v>
      </c>
      <c r="E133" s="202">
        <f t="shared" ca="1" si="3"/>
        <v>-6.1954759730028751E-2</v>
      </c>
      <c r="F133" s="202">
        <f t="shared" ca="1" si="3"/>
        <v>-7.83817074749346E-2</v>
      </c>
      <c r="G133" s="202">
        <f t="shared" ca="1" si="3"/>
        <v>-6.2462731268827003E-2</v>
      </c>
      <c r="H133" s="202">
        <f t="shared" ca="1" si="3"/>
        <v>-8.5938315189495296E-2</v>
      </c>
      <c r="I133" s="202">
        <f t="shared" ca="1" si="3"/>
        <v>-7.0256735412657534E-2</v>
      </c>
      <c r="J133" s="187"/>
      <c r="K133" s="199"/>
      <c r="L133" s="197">
        <v>11</v>
      </c>
      <c r="M133" s="198" t="s">
        <v>67</v>
      </c>
      <c r="N133" s="202">
        <f t="shared" ref="N133:S142" ca="1" si="6">IF(AND(ISNUMBER($L133),ISNUMBER(N$5)),IF(N76=0,0,((N76/N$120)*(LN(N76/N$120)))),"")</f>
        <v>-5.5002783255321465E-2</v>
      </c>
      <c r="O133" s="202">
        <f t="shared" ca="1" si="6"/>
        <v>-6.5715373451322015E-2</v>
      </c>
      <c r="P133" s="202">
        <f t="shared" ca="1" si="6"/>
        <v>-6.4636863790368482E-2</v>
      </c>
      <c r="Q133" s="202">
        <f t="shared" ca="1" si="6"/>
        <v>-6.7433205183384429E-2</v>
      </c>
      <c r="R133" s="202">
        <f t="shared" ca="1" si="6"/>
        <v>-8.4575142497081784E-2</v>
      </c>
      <c r="S133" s="202">
        <f t="shared" ca="1" si="6"/>
        <v>-7.4919345097776729E-2</v>
      </c>
      <c r="T133" s="187"/>
      <c r="U133" s="199"/>
      <c r="V133" s="197">
        <v>11</v>
      </c>
      <c r="W133" s="198" t="s">
        <v>67</v>
      </c>
      <c r="X133" s="202">
        <f t="shared" ref="X133:AC142" ca="1" si="7">IF(AND(ISNUMBER($V133),ISNUMBER(X$5)),IF(X76=0,0,((X76/X$120)*(LN(X76/X$120)))),"")</f>
        <v>-5.2661063678177272E-2</v>
      </c>
      <c r="Y133" s="202">
        <f t="shared" ca="1" si="7"/>
        <v>-6.3890998656117387E-2</v>
      </c>
      <c r="Z133" s="202">
        <f t="shared" ca="1" si="7"/>
        <v>-7.1933323468500038E-2</v>
      </c>
      <c r="AA133" s="202">
        <f t="shared" ca="1" si="7"/>
        <v>-6.5076086071101574E-2</v>
      </c>
      <c r="AB133" s="202">
        <f t="shared" ca="1" si="7"/>
        <v>-8.5250654027687819E-2</v>
      </c>
      <c r="AC133" s="202">
        <f t="shared" ca="1" si="7"/>
        <v>-7.2582469897463753E-2</v>
      </c>
    </row>
    <row r="134" spans="1:29" ht="14.25" customHeight="1">
      <c r="A134" s="199"/>
      <c r="B134" s="197">
        <v>12</v>
      </c>
      <c r="C134" s="198" t="s">
        <v>68</v>
      </c>
      <c r="D134" s="202">
        <f t="shared" ca="1" si="3"/>
        <v>-5.5577887070265168E-2</v>
      </c>
      <c r="E134" s="202">
        <f t="shared" ca="1" si="3"/>
        <v>-2.1637741708103723E-2</v>
      </c>
      <c r="F134" s="202">
        <f t="shared" ca="1" si="3"/>
        <v>-7.1943357182968792E-2</v>
      </c>
      <c r="G134" s="202">
        <f t="shared" ca="1" si="3"/>
        <v>-4.779195499674662E-2</v>
      </c>
      <c r="H134" s="202">
        <f t="shared" ca="1" si="3"/>
        <v>-9.406691627295205E-2</v>
      </c>
      <c r="I134" s="202">
        <f t="shared" ca="1" si="3"/>
        <v>-7.4431750057882815E-2</v>
      </c>
      <c r="J134" s="187"/>
      <c r="K134" s="199"/>
      <c r="L134" s="197">
        <v>12</v>
      </c>
      <c r="M134" s="198" t="s">
        <v>68</v>
      </c>
      <c r="N134" s="202">
        <f t="shared" ca="1" si="6"/>
        <v>-1.0548362321912298E-2</v>
      </c>
      <c r="O134" s="202">
        <f t="shared" ca="1" si="6"/>
        <v>-4.0542684321173632E-2</v>
      </c>
      <c r="P134" s="202">
        <f t="shared" ca="1" si="6"/>
        <v>-9.2422093444279568E-2</v>
      </c>
      <c r="Q134" s="202">
        <f t="shared" ca="1" si="6"/>
        <v>-4.4637069795421445E-2</v>
      </c>
      <c r="R134" s="202">
        <f t="shared" ca="1" si="6"/>
        <v>-0.10322993366045702</v>
      </c>
      <c r="S134" s="202">
        <f t="shared" ca="1" si="6"/>
        <v>-7.6643875480971152E-2</v>
      </c>
      <c r="T134" s="187"/>
      <c r="U134" s="199"/>
      <c r="V134" s="197">
        <v>12</v>
      </c>
      <c r="W134" s="198" t="s">
        <v>68</v>
      </c>
      <c r="X134" s="202">
        <f t="shared" ca="1" si="7"/>
        <v>-3.6678436146394759E-2</v>
      </c>
      <c r="Y134" s="202">
        <f t="shared" ca="1" si="7"/>
        <v>-3.1749835898379743E-2</v>
      </c>
      <c r="Z134" s="202">
        <f t="shared" ca="1" si="7"/>
        <v>-8.2069073030539716E-2</v>
      </c>
      <c r="AA134" s="202">
        <f t="shared" ca="1" si="7"/>
        <v>-4.6155276446948175E-2</v>
      </c>
      <c r="AB134" s="202">
        <f t="shared" ca="1" si="7"/>
        <v>-9.8754897027321722E-2</v>
      </c>
      <c r="AC134" s="202">
        <f t="shared" ca="1" si="7"/>
        <v>-7.5530977058445831E-2</v>
      </c>
    </row>
    <row r="135" spans="1:29" ht="14.25" customHeight="1">
      <c r="A135" s="199"/>
      <c r="B135" s="197">
        <v>13</v>
      </c>
      <c r="C135" s="198" t="s">
        <v>69</v>
      </c>
      <c r="D135" s="202">
        <f t="shared" ca="1" si="3"/>
        <v>-6.8114418562160564E-2</v>
      </c>
      <c r="E135" s="202">
        <f t="shared" ca="1" si="3"/>
        <v>-9.784121176787533E-2</v>
      </c>
      <c r="F135" s="202">
        <f t="shared" ca="1" si="3"/>
        <v>-7.5382834776148169E-2</v>
      </c>
      <c r="G135" s="202">
        <f t="shared" ca="1" si="3"/>
        <v>-8.031312617976083E-2</v>
      </c>
      <c r="H135" s="202">
        <f t="shared" ca="1" si="3"/>
        <v>-7.8245980964775003E-2</v>
      </c>
      <c r="I135" s="202">
        <f t="shared" ca="1" si="3"/>
        <v>-5.5107823082996603E-2</v>
      </c>
      <c r="J135" s="187"/>
      <c r="K135" s="199"/>
      <c r="L135" s="197">
        <v>13</v>
      </c>
      <c r="M135" s="198" t="s">
        <v>69</v>
      </c>
      <c r="N135" s="202">
        <f t="shared" ca="1" si="6"/>
        <v>-7.3969336626843199E-2</v>
      </c>
      <c r="O135" s="202">
        <f t="shared" ca="1" si="6"/>
        <v>-9.454144995715516E-2</v>
      </c>
      <c r="P135" s="202">
        <f t="shared" ca="1" si="6"/>
        <v>-7.2758311580494853E-2</v>
      </c>
      <c r="Q135" s="202">
        <f t="shared" ca="1" si="6"/>
        <v>-7.5258899661933748E-2</v>
      </c>
      <c r="R135" s="202">
        <f t="shared" ca="1" si="6"/>
        <v>-7.766954718109946E-2</v>
      </c>
      <c r="S135" s="202">
        <f t="shared" ca="1" si="6"/>
        <v>-6.1523351352329489E-2</v>
      </c>
      <c r="T135" s="187"/>
      <c r="U135" s="199"/>
      <c r="V135" s="197">
        <v>13</v>
      </c>
      <c r="W135" s="198" t="s">
        <v>69</v>
      </c>
      <c r="X135" s="202">
        <f t="shared" ca="1" si="7"/>
        <v>-7.0907958853130351E-2</v>
      </c>
      <c r="Y135" s="202">
        <f t="shared" ca="1" si="7"/>
        <v>-9.6159699206915236E-2</v>
      </c>
      <c r="Z135" s="202">
        <f t="shared" ca="1" si="7"/>
        <v>-7.4129168695442893E-2</v>
      </c>
      <c r="AA135" s="202">
        <f t="shared" ca="1" si="7"/>
        <v>-7.7694679514497642E-2</v>
      </c>
      <c r="AB135" s="202">
        <f t="shared" ca="1" si="7"/>
        <v>-7.7954881156867314E-2</v>
      </c>
      <c r="AC135" s="202">
        <f t="shared" ca="1" si="7"/>
        <v>-5.8319978065500301E-2</v>
      </c>
    </row>
    <row r="136" spans="1:29" ht="14.25" customHeight="1">
      <c r="A136" s="199"/>
      <c r="B136" s="197">
        <v>14</v>
      </c>
      <c r="C136" s="198" t="s">
        <v>70</v>
      </c>
      <c r="D136" s="202">
        <f t="shared" ca="1" si="3"/>
        <v>-8.1274321015516293E-2</v>
      </c>
      <c r="E136" s="202">
        <f t="shared" ca="1" si="3"/>
        <v>-0.10866169791601409</v>
      </c>
      <c r="F136" s="202">
        <f t="shared" ca="1" si="3"/>
        <v>-9.1611485522078429E-2</v>
      </c>
      <c r="G136" s="202">
        <f t="shared" ca="1" si="3"/>
        <v>-7.470320527798098E-2</v>
      </c>
      <c r="H136" s="202">
        <f t="shared" ca="1" si="3"/>
        <v>-8.8689103939225564E-2</v>
      </c>
      <c r="I136" s="202">
        <f t="shared" ca="1" si="3"/>
        <v>-8.1529817041714053E-2</v>
      </c>
      <c r="J136" s="187"/>
      <c r="K136" s="199"/>
      <c r="L136" s="197">
        <v>14</v>
      </c>
      <c r="M136" s="198" t="s">
        <v>70</v>
      </c>
      <c r="N136" s="202">
        <f t="shared" ca="1" si="6"/>
        <v>-7.3969336626843199E-2</v>
      </c>
      <c r="O136" s="202">
        <f t="shared" ca="1" si="6"/>
        <v>-9.5479763911530791E-2</v>
      </c>
      <c r="P136" s="202">
        <f t="shared" ca="1" si="6"/>
        <v>-9.0739890346115612E-2</v>
      </c>
      <c r="Q136" s="202">
        <f t="shared" ca="1" si="6"/>
        <v>-7.8356450892745969E-2</v>
      </c>
      <c r="R136" s="202">
        <f t="shared" ca="1" si="6"/>
        <v>-8.4314576530466909E-2</v>
      </c>
      <c r="S136" s="202">
        <f t="shared" ca="1" si="6"/>
        <v>-8.392082427227468E-2</v>
      </c>
      <c r="T136" s="187"/>
      <c r="U136" s="199"/>
      <c r="V136" s="197">
        <v>14</v>
      </c>
      <c r="W136" s="198" t="s">
        <v>70</v>
      </c>
      <c r="X136" s="202">
        <f t="shared" ca="1" si="7"/>
        <v>-7.7861032863843091E-2</v>
      </c>
      <c r="Y136" s="202">
        <f t="shared" ca="1" si="7"/>
        <v>-0.10203099367919931</v>
      </c>
      <c r="Z136" s="202">
        <f t="shared" ca="1" si="7"/>
        <v>-9.119395103832513E-2</v>
      </c>
      <c r="AA136" s="202">
        <f t="shared" ca="1" si="7"/>
        <v>-7.6619375871020856E-2</v>
      </c>
      <c r="AB136" s="202">
        <f t="shared" ca="1" si="7"/>
        <v>-8.6491648652771758E-2</v>
      </c>
      <c r="AC136" s="202">
        <f t="shared" ca="1" si="7"/>
        <v>-8.2718093215874366E-2</v>
      </c>
    </row>
    <row r="137" spans="1:29" ht="14.25" customHeight="1">
      <c r="A137" s="199"/>
      <c r="B137" s="197">
        <v>15</v>
      </c>
      <c r="C137" s="198" t="s">
        <v>71</v>
      </c>
      <c r="D137" s="202">
        <f t="shared" ca="1" si="3"/>
        <v>-1.8131106417530874E-5</v>
      </c>
      <c r="E137" s="202">
        <f t="shared" ca="1" si="3"/>
        <v>-1.2901083515581578E-5</v>
      </c>
      <c r="F137" s="202">
        <f t="shared" ca="1" si="3"/>
        <v>-6.5843660128508341E-2</v>
      </c>
      <c r="G137" s="202">
        <f t="shared" ca="1" si="3"/>
        <v>-4.8246129889597075E-2</v>
      </c>
      <c r="H137" s="202">
        <f t="shared" ca="1" si="3"/>
        <v>-5.9238433974038003E-2</v>
      </c>
      <c r="I137" s="202">
        <f t="shared" ca="1" si="3"/>
        <v>-8.3022861106766502E-2</v>
      </c>
      <c r="J137" s="187"/>
      <c r="K137" s="199"/>
      <c r="L137" s="197">
        <v>15</v>
      </c>
      <c r="M137" s="198" t="s">
        <v>71</v>
      </c>
      <c r="N137" s="202">
        <f t="shared" ca="1" si="6"/>
        <v>-2.0066761677215285E-5</v>
      </c>
      <c r="O137" s="202">
        <f t="shared" ca="1" si="6"/>
        <v>-1.2346433574577696E-5</v>
      </c>
      <c r="P137" s="202">
        <f t="shared" ca="1" si="6"/>
        <v>-6.1982699474340534E-2</v>
      </c>
      <c r="Q137" s="202">
        <f t="shared" ca="1" si="6"/>
        <v>-4.5063520528702564E-2</v>
      </c>
      <c r="R137" s="202">
        <f t="shared" ca="1" si="6"/>
        <v>-5.8260339517162252E-2</v>
      </c>
      <c r="S137" s="202">
        <f t="shared" ca="1" si="6"/>
        <v>-8.5013639357828519E-2</v>
      </c>
      <c r="T137" s="187"/>
      <c r="U137" s="199"/>
      <c r="V137" s="197">
        <v>15</v>
      </c>
      <c r="W137" s="198" t="s">
        <v>71</v>
      </c>
      <c r="X137" s="202">
        <f t="shared" ca="1" si="7"/>
        <v>-1.904808503295605E-5</v>
      </c>
      <c r="Y137" s="202">
        <f t="shared" ca="1" si="7"/>
        <v>-1.2617448594506878E-5</v>
      </c>
      <c r="Z137" s="202">
        <f t="shared" ca="1" si="7"/>
        <v>-6.4003770028879733E-2</v>
      </c>
      <c r="AA137" s="202">
        <f t="shared" ca="1" si="7"/>
        <v>-4.6595101224508703E-2</v>
      </c>
      <c r="AB137" s="202">
        <f t="shared" ca="1" si="7"/>
        <v>-5.8744885242777739E-2</v>
      </c>
      <c r="AC137" s="202">
        <f t="shared" ca="1" si="7"/>
        <v>-8.4011641121610012E-2</v>
      </c>
    </row>
    <row r="138" spans="1:29" ht="14.25" customHeight="1">
      <c r="A138" s="199"/>
      <c r="B138" s="197">
        <v>16</v>
      </c>
      <c r="C138" s="198" t="s">
        <v>72</v>
      </c>
      <c r="D138" s="202">
        <f t="shared" ca="1" si="3"/>
        <v>-8.2421263063074471E-2</v>
      </c>
      <c r="E138" s="202">
        <f t="shared" ca="1" si="3"/>
        <v>-4.4820213449386991E-2</v>
      </c>
      <c r="F138" s="202">
        <f t="shared" ca="1" si="3"/>
        <v>-6.3214018987825582E-2</v>
      </c>
      <c r="G138" s="202">
        <f t="shared" ca="1" si="3"/>
        <v>-4.9599483146621881E-2</v>
      </c>
      <c r="H138" s="202">
        <f t="shared" ca="1" si="3"/>
        <v>-7.1630145670288831E-2</v>
      </c>
      <c r="I138" s="202">
        <f t="shared" ca="1" si="3"/>
        <v>-7.3862150400645588E-2</v>
      </c>
      <c r="J138" s="187"/>
      <c r="K138" s="199"/>
      <c r="L138" s="197">
        <v>16</v>
      </c>
      <c r="M138" s="198" t="s">
        <v>72</v>
      </c>
      <c r="N138" s="202">
        <f t="shared" ca="1" si="6"/>
        <v>-7.4415651093467455E-2</v>
      </c>
      <c r="O138" s="202">
        <f t="shared" ca="1" si="6"/>
        <v>-4.3183782610919985E-2</v>
      </c>
      <c r="P138" s="202">
        <f t="shared" ca="1" si="6"/>
        <v>-5.905414678750151E-2</v>
      </c>
      <c r="Q138" s="202">
        <f t="shared" ca="1" si="6"/>
        <v>-4.6334467652214308E-2</v>
      </c>
      <c r="R138" s="202">
        <f t="shared" ca="1" si="6"/>
        <v>-7.0469517534544002E-2</v>
      </c>
      <c r="S138" s="202">
        <f t="shared" ca="1" si="6"/>
        <v>-7.5640061555721547E-2</v>
      </c>
      <c r="T138" s="187"/>
      <c r="U138" s="199"/>
      <c r="V138" s="197">
        <v>16</v>
      </c>
      <c r="W138" s="198" t="s">
        <v>72</v>
      </c>
      <c r="X138" s="202">
        <f t="shared" ca="1" si="7"/>
        <v>-7.868452649808283E-2</v>
      </c>
      <c r="Y138" s="202">
        <f t="shared" ca="1" si="7"/>
        <v>-4.3985274171159161E-2</v>
      </c>
      <c r="Z138" s="202">
        <f t="shared" ca="1" si="7"/>
        <v>-6.1232998454423475E-2</v>
      </c>
      <c r="AA138" s="202">
        <f t="shared" ca="1" si="7"/>
        <v>-4.7905804014802017E-2</v>
      </c>
      <c r="AB138" s="202">
        <f t="shared" ca="1" si="7"/>
        <v>-7.1044568743832873E-2</v>
      </c>
      <c r="AC138" s="202">
        <f t="shared" ca="1" si="7"/>
        <v>-7.4745045234023769E-2</v>
      </c>
    </row>
    <row r="139" spans="1:29" ht="14.25" customHeight="1">
      <c r="A139" s="199"/>
      <c r="B139" s="197">
        <v>17</v>
      </c>
      <c r="C139" s="198" t="s">
        <v>73</v>
      </c>
      <c r="D139" s="202">
        <f t="shared" ref="D139:I154" ca="1" si="8">IF(AND(ISNUMBER($B139),ISNUMBER(D$5)),IF(D82=0,0,((D82/D$120)*(LN(D82/D$120)))),"")</f>
        <v>-0.10992949165622709</v>
      </c>
      <c r="E139" s="202">
        <f t="shared" ca="1" si="8"/>
        <v>-7.706786645547764E-2</v>
      </c>
      <c r="F139" s="202">
        <f t="shared" ca="1" si="8"/>
        <v>-7.5949215015908844E-2</v>
      </c>
      <c r="G139" s="202">
        <f t="shared" ca="1" si="8"/>
        <v>-5.3144198825999904E-2</v>
      </c>
      <c r="H139" s="202">
        <f t="shared" ca="1" si="8"/>
        <v>-8.6597152944267661E-2</v>
      </c>
      <c r="I139" s="202">
        <f t="shared" ca="1" si="8"/>
        <v>-9.0821116434819868E-2</v>
      </c>
      <c r="J139" s="187"/>
      <c r="K139" s="199"/>
      <c r="L139" s="197">
        <v>17</v>
      </c>
      <c r="M139" s="198" t="s">
        <v>73</v>
      </c>
      <c r="N139" s="202">
        <f t="shared" ca="1" si="6"/>
        <v>-0.11945527774431057</v>
      </c>
      <c r="O139" s="202">
        <f t="shared" ca="1" si="6"/>
        <v>-7.5965293140045659E-2</v>
      </c>
      <c r="P139" s="202">
        <f t="shared" ca="1" si="6"/>
        <v>-7.2131806288629349E-2</v>
      </c>
      <c r="Q139" s="202">
        <f t="shared" ca="1" si="6"/>
        <v>-5.920067680538716E-2</v>
      </c>
      <c r="R139" s="202">
        <f t="shared" ca="1" si="6"/>
        <v>-7.410865319376761E-2</v>
      </c>
      <c r="S139" s="202">
        <f t="shared" ca="1" si="6"/>
        <v>-9.313185569732442E-2</v>
      </c>
      <c r="T139" s="187"/>
      <c r="U139" s="199"/>
      <c r="V139" s="197">
        <v>17</v>
      </c>
      <c r="W139" s="198" t="s">
        <v>73</v>
      </c>
      <c r="X139" s="202">
        <f t="shared" ca="1" si="7"/>
        <v>-0.11449044965703921</v>
      </c>
      <c r="Y139" s="202">
        <f t="shared" ca="1" si="7"/>
        <v>-7.6504435387534445E-2</v>
      </c>
      <c r="Z139" s="202">
        <f t="shared" ca="1" si="7"/>
        <v>-7.4129168695442893E-2</v>
      </c>
      <c r="AA139" s="202">
        <f t="shared" ca="1" si="7"/>
        <v>-5.6336026335522559E-2</v>
      </c>
      <c r="AB139" s="202">
        <f t="shared" ca="1" si="7"/>
        <v>-8.0398842599176817E-2</v>
      </c>
      <c r="AC139" s="202">
        <f t="shared" ca="1" si="7"/>
        <v>-9.1969217146723597E-2</v>
      </c>
    </row>
    <row r="140" spans="1:29" ht="14.25" customHeight="1">
      <c r="A140" s="199"/>
      <c r="B140" s="197">
        <v>18</v>
      </c>
      <c r="C140" s="198" t="s">
        <v>74</v>
      </c>
      <c r="D140" s="202">
        <f t="shared" ca="1" si="8"/>
        <v>-0.10561953293881497</v>
      </c>
      <c r="E140" s="202">
        <f t="shared" ca="1" si="8"/>
        <v>-8.3482411102089149E-2</v>
      </c>
      <c r="F140" s="202">
        <f t="shared" ca="1" si="8"/>
        <v>-9.7041881298305252E-2</v>
      </c>
      <c r="G140" s="202">
        <f t="shared" ca="1" si="8"/>
        <v>-0.11981512008357426</v>
      </c>
      <c r="H140" s="202">
        <f t="shared" ca="1" si="8"/>
        <v>-0.10709517616304598</v>
      </c>
      <c r="I140" s="202">
        <f t="shared" ca="1" si="8"/>
        <v>-8.0023737148828766E-2</v>
      </c>
      <c r="J140" s="187"/>
      <c r="K140" s="199"/>
      <c r="L140" s="197">
        <v>18</v>
      </c>
      <c r="M140" s="198" t="s">
        <v>74</v>
      </c>
      <c r="N140" s="202">
        <f t="shared" ca="1" si="6"/>
        <v>-0.11416184615439959</v>
      </c>
      <c r="O140" s="202">
        <f t="shared" ca="1" si="6"/>
        <v>-9.5713591630938261E-2</v>
      </c>
      <c r="P140" s="202">
        <f t="shared" ca="1" si="6"/>
        <v>-0.1096392073060397</v>
      </c>
      <c r="Q140" s="202">
        <f t="shared" ca="1" si="6"/>
        <v>-0.11268727956671382</v>
      </c>
      <c r="R140" s="202">
        <f t="shared" ca="1" si="6"/>
        <v>-9.8952120937976021E-2</v>
      </c>
      <c r="S140" s="202">
        <f t="shared" ca="1" si="6"/>
        <v>-7.8350894360860804E-2</v>
      </c>
      <c r="T140" s="187"/>
      <c r="U140" s="199"/>
      <c r="V140" s="197">
        <v>18</v>
      </c>
      <c r="W140" s="198" t="s">
        <v>74</v>
      </c>
      <c r="X140" s="202">
        <f t="shared" ca="1" si="7"/>
        <v>-0.1097046541290194</v>
      </c>
      <c r="Y140" s="202">
        <f t="shared" ca="1" si="7"/>
        <v>-8.984714614078057E-2</v>
      </c>
      <c r="Z140" s="202">
        <f t="shared" ca="1" si="7"/>
        <v>-0.10318991953186524</v>
      </c>
      <c r="AA140" s="202">
        <f t="shared" ca="1" si="7"/>
        <v>-0.11612862412695915</v>
      </c>
      <c r="AB140" s="202">
        <f t="shared" ca="1" si="7"/>
        <v>-0.10302370193002557</v>
      </c>
      <c r="AC140" s="202">
        <f t="shared" ca="1" si="7"/>
        <v>-7.9197305556626463E-2</v>
      </c>
    </row>
    <row r="141" spans="1:29" ht="14.25" customHeight="1">
      <c r="A141" s="199"/>
      <c r="B141" s="197">
        <v>19</v>
      </c>
      <c r="C141" s="198" t="s">
        <v>75</v>
      </c>
      <c r="D141" s="202">
        <f t="shared" ca="1" si="8"/>
        <v>-2.3389840583402211E-2</v>
      </c>
      <c r="E141" s="202">
        <f t="shared" ca="1" si="8"/>
        <v>-1.7740293292931586E-2</v>
      </c>
      <c r="F141" s="202">
        <f t="shared" ca="1" si="8"/>
        <v>-7.1750151275927432E-2</v>
      </c>
      <c r="G141" s="202">
        <f t="shared" ca="1" si="8"/>
        <v>-5.2706029623517579E-2</v>
      </c>
      <c r="H141" s="202">
        <f t="shared" ca="1" si="8"/>
        <v>-6.8585807268377319E-2</v>
      </c>
      <c r="I141" s="202">
        <f t="shared" ca="1" si="8"/>
        <v>-7.6269597936879804E-2</v>
      </c>
      <c r="J141" s="187"/>
      <c r="K141" s="199"/>
      <c r="L141" s="197">
        <v>19</v>
      </c>
      <c r="M141" s="198" t="s">
        <v>75</v>
      </c>
      <c r="N141" s="202">
        <f t="shared" ca="1" si="6"/>
        <v>-3.426480084700928E-2</v>
      </c>
      <c r="O141" s="202">
        <f t="shared" ca="1" si="6"/>
        <v>-3.3314164316113788E-2</v>
      </c>
      <c r="P141" s="202">
        <f t="shared" ca="1" si="6"/>
        <v>-7.7281666038448785E-2</v>
      </c>
      <c r="Q141" s="202">
        <f t="shared" ca="1" si="6"/>
        <v>-5.8815670246975621E-2</v>
      </c>
      <c r="R141" s="202">
        <f t="shared" ca="1" si="6"/>
        <v>-7.0469517534544002E-2</v>
      </c>
      <c r="S141" s="202">
        <f t="shared" ca="1" si="6"/>
        <v>-7.8350894360860804E-2</v>
      </c>
      <c r="T141" s="187"/>
      <c r="U141" s="199"/>
      <c r="V141" s="197">
        <v>19</v>
      </c>
      <c r="W141" s="198" t="s">
        <v>75</v>
      </c>
      <c r="X141" s="202">
        <f t="shared" ca="1" si="7"/>
        <v>-2.8681555477637691E-2</v>
      </c>
      <c r="Y141" s="202">
        <f t="shared" ca="1" si="7"/>
        <v>-2.6048078609086592E-2</v>
      </c>
      <c r="Z141" s="202">
        <f t="shared" ca="1" si="7"/>
        <v>-7.4426351655956013E-2</v>
      </c>
      <c r="AA141" s="202">
        <f t="shared" ca="1" si="7"/>
        <v>-5.5926277389661452E-2</v>
      </c>
      <c r="AB141" s="202">
        <f t="shared" ca="1" si="7"/>
        <v>-6.9540639671447413E-2</v>
      </c>
      <c r="AC141" s="202">
        <f t="shared" ca="1" si="7"/>
        <v>-7.7303578854585456E-2</v>
      </c>
    </row>
    <row r="142" spans="1:29" ht="14.25" customHeight="1">
      <c r="A142" s="199"/>
      <c r="B142" s="197">
        <v>20</v>
      </c>
      <c r="C142" s="198" t="s">
        <v>76</v>
      </c>
      <c r="D142" s="202">
        <f t="shared" ca="1" si="8"/>
        <v>-6.1326024018689314E-2</v>
      </c>
      <c r="E142" s="202">
        <f t="shared" ca="1" si="8"/>
        <v>-7.6248779152165116E-2</v>
      </c>
      <c r="F142" s="202">
        <f t="shared" ca="1" si="8"/>
        <v>-8.9008780319487682E-2</v>
      </c>
      <c r="G142" s="202">
        <f t="shared" ca="1" si="8"/>
        <v>-8.6456863293868258E-2</v>
      </c>
      <c r="H142" s="202">
        <f t="shared" ca="1" si="8"/>
        <v>-7.5322391339226899E-2</v>
      </c>
      <c r="I142" s="202">
        <f t="shared" ca="1" si="8"/>
        <v>-8.9392950857315981E-2</v>
      </c>
      <c r="J142" s="187"/>
      <c r="K142" s="199"/>
      <c r="L142" s="197">
        <v>20</v>
      </c>
      <c r="M142" s="198" t="s">
        <v>76</v>
      </c>
      <c r="N142" s="202">
        <f t="shared" ca="1" si="6"/>
        <v>-6.6657134435706492E-2</v>
      </c>
      <c r="O142" s="202">
        <f t="shared" ca="1" si="6"/>
        <v>-7.9074197495862503E-2</v>
      </c>
      <c r="P142" s="202">
        <f t="shared" ca="1" si="6"/>
        <v>-8.2278893297721797E-2</v>
      </c>
      <c r="Q142" s="202">
        <f t="shared" ca="1" si="6"/>
        <v>-7.2809332011096628E-2</v>
      </c>
      <c r="R142" s="202">
        <f t="shared" ca="1" si="6"/>
        <v>-7.4799361258435934E-2</v>
      </c>
      <c r="S142" s="202">
        <f t="shared" ca="1" si="6"/>
        <v>-9.221871693043171E-2</v>
      </c>
      <c r="T142" s="187"/>
      <c r="U142" s="199"/>
      <c r="V142" s="197">
        <v>20</v>
      </c>
      <c r="W142" s="198" t="s">
        <v>76</v>
      </c>
      <c r="X142" s="202">
        <f t="shared" ca="1" si="7"/>
        <v>-6.386860065611423E-2</v>
      </c>
      <c r="Y142" s="202">
        <f t="shared" ca="1" si="7"/>
        <v>-7.770082375785807E-2</v>
      </c>
      <c r="Z142" s="202">
        <f t="shared" ca="1" si="7"/>
        <v>-8.581289685935338E-2</v>
      </c>
      <c r="AA142" s="202">
        <f t="shared" ca="1" si="7"/>
        <v>-7.9471813613428768E-2</v>
      </c>
      <c r="AB142" s="202">
        <f t="shared" ca="1" si="7"/>
        <v>-7.505824316159769E-2</v>
      </c>
      <c r="AC142" s="202">
        <f t="shared" ca="1" si="7"/>
        <v>-9.0797977519074577E-2</v>
      </c>
    </row>
    <row r="143" spans="1:29" ht="14.25" customHeight="1">
      <c r="A143" s="199"/>
      <c r="B143" s="197">
        <v>21</v>
      </c>
      <c r="C143" s="198" t="s">
        <v>77</v>
      </c>
      <c r="D143" s="202">
        <f t="shared" ca="1" si="8"/>
        <v>-0.12014291816375409</v>
      </c>
      <c r="E143" s="202">
        <f t="shared" ca="1" si="8"/>
        <v>-8.110496049008023E-2</v>
      </c>
      <c r="F143" s="202">
        <f t="shared" ca="1" si="8"/>
        <v>-8.3505952169640602E-2</v>
      </c>
      <c r="G143" s="202">
        <f t="shared" ca="1" si="8"/>
        <v>-7.8091442058978527E-2</v>
      </c>
      <c r="H143" s="202">
        <f t="shared" ca="1" si="8"/>
        <v>-6.6375316602141521E-2</v>
      </c>
      <c r="I143" s="202">
        <f t="shared" ca="1" si="8"/>
        <v>-9.7299172808287648E-2</v>
      </c>
      <c r="J143" s="187"/>
      <c r="K143" s="199"/>
      <c r="L143" s="197">
        <v>21</v>
      </c>
      <c r="M143" s="198" t="s">
        <v>77</v>
      </c>
      <c r="N143" s="202">
        <f t="shared" ref="N143:S152" ca="1" si="9">IF(AND(ISNUMBER($L143),ISNUMBER(N$5)),IF(N86=0,0,((N86/N$120)*(LN(N86/N$120)))),"")</f>
        <v>-0.12962935202715051</v>
      </c>
      <c r="O143" s="202">
        <f t="shared" ca="1" si="9"/>
        <v>-0.10349247735793289</v>
      </c>
      <c r="P143" s="202">
        <f t="shared" ca="1" si="9"/>
        <v>-8.3261147585964562E-2</v>
      </c>
      <c r="Q143" s="202">
        <f t="shared" ca="1" si="9"/>
        <v>-9.6480886119714809E-2</v>
      </c>
      <c r="R143" s="202">
        <f t="shared" ca="1" si="9"/>
        <v>-6.6020681488545299E-2</v>
      </c>
      <c r="S143" s="202">
        <f t="shared" ca="1" si="9"/>
        <v>-9.9650361016458147E-2</v>
      </c>
      <c r="T143" s="187"/>
      <c r="U143" s="199"/>
      <c r="V143" s="197">
        <v>21</v>
      </c>
      <c r="W143" s="198" t="s">
        <v>77</v>
      </c>
      <c r="X143" s="202">
        <f t="shared" ref="X143:AC152" ca="1" si="10">IF(AND(ISNUMBER($V143),ISNUMBER(X$5)),IF(X86=0,0,((X86/X$120)*(LN(X86/X$120)))),"")</f>
        <v>-0.12468380926429401</v>
      </c>
      <c r="Y143" s="202">
        <f t="shared" ca="1" si="10"/>
        <v>-9.2909479090502983E-2</v>
      </c>
      <c r="Z143" s="202">
        <f t="shared" ca="1" si="10"/>
        <v>-8.338857449596862E-2</v>
      </c>
      <c r="AA143" s="202">
        <f t="shared" ca="1" si="10"/>
        <v>-8.792468809755509E-2</v>
      </c>
      <c r="AB143" s="202">
        <f t="shared" ca="1" si="10"/>
        <v>-6.6196174452394424E-2</v>
      </c>
      <c r="AC143" s="202">
        <f t="shared" ca="1" si="10"/>
        <v>-9.84673497682204E-2</v>
      </c>
    </row>
    <row r="144" spans="1:29" ht="14.25" customHeight="1">
      <c r="A144" s="199"/>
      <c r="B144" s="197">
        <v>22</v>
      </c>
      <c r="C144" s="198" t="s">
        <v>78</v>
      </c>
      <c r="D144" s="202">
        <f t="shared" ca="1" si="8"/>
        <v>-8.9881216525998911E-2</v>
      </c>
      <c r="E144" s="202">
        <f t="shared" ca="1" si="8"/>
        <v>-9.5648504829795852E-2</v>
      </c>
      <c r="F144" s="202">
        <f t="shared" ca="1" si="8"/>
        <v>-8.2602003834186033E-2</v>
      </c>
      <c r="G144" s="202">
        <f t="shared" ca="1" si="8"/>
        <v>-8.6811628756629997E-2</v>
      </c>
      <c r="H144" s="202">
        <f t="shared" ca="1" si="8"/>
        <v>-7.0621718511081552E-2</v>
      </c>
      <c r="I144" s="202">
        <f t="shared" ca="1" si="8"/>
        <v>-6.9818671935444818E-2</v>
      </c>
      <c r="J144" s="187"/>
      <c r="K144" s="199"/>
      <c r="L144" s="197">
        <v>22</v>
      </c>
      <c r="M144" s="198" t="s">
        <v>78</v>
      </c>
      <c r="N144" s="202">
        <f t="shared" ca="1" si="9"/>
        <v>-8.3525390829895185E-2</v>
      </c>
      <c r="O144" s="202">
        <f t="shared" ca="1" si="9"/>
        <v>-9.2412391851647013E-2</v>
      </c>
      <c r="P144" s="202">
        <f t="shared" ca="1" si="9"/>
        <v>-7.1082268017819819E-2</v>
      </c>
      <c r="Q144" s="202">
        <f t="shared" ca="1" si="9"/>
        <v>-8.8938653556480021E-2</v>
      </c>
      <c r="R144" s="202">
        <f t="shared" ca="1" si="9"/>
        <v>-7.018619238262562E-2</v>
      </c>
      <c r="S144" s="202">
        <f t="shared" ca="1" si="9"/>
        <v>-6.9485830538471405E-2</v>
      </c>
      <c r="T144" s="187"/>
      <c r="U144" s="199"/>
      <c r="V144" s="197">
        <v>22</v>
      </c>
      <c r="W144" s="198" t="s">
        <v>78</v>
      </c>
      <c r="X144" s="202">
        <f t="shared" ca="1" si="10"/>
        <v>-8.6905696746245667E-2</v>
      </c>
      <c r="Y144" s="202">
        <f t="shared" ca="1" si="10"/>
        <v>-9.3999341254913105E-2</v>
      </c>
      <c r="Z144" s="202">
        <f t="shared" ca="1" si="10"/>
        <v>-7.7174817941489296E-2</v>
      </c>
      <c r="AA144" s="202">
        <f t="shared" ca="1" si="10"/>
        <v>-8.792468809755509E-2</v>
      </c>
      <c r="AB144" s="202">
        <f t="shared" ca="1" si="10"/>
        <v>-7.0401738382082135E-2</v>
      </c>
      <c r="AC144" s="202">
        <f t="shared" ca="1" si="10"/>
        <v>-6.965391656673231E-2</v>
      </c>
    </row>
    <row r="145" spans="1:29" ht="14.25" customHeight="1">
      <c r="A145" s="199"/>
      <c r="B145" s="197">
        <v>23</v>
      </c>
      <c r="C145" s="198" t="s">
        <v>79</v>
      </c>
      <c r="D145" s="202">
        <f t="shared" ca="1" si="8"/>
        <v>-5.0528583894972154E-2</v>
      </c>
      <c r="E145" s="202">
        <f t="shared" ca="1" si="8"/>
        <v>-5.1734991545942424E-2</v>
      </c>
      <c r="F145" s="202">
        <f t="shared" ca="1" si="8"/>
        <v>-6.5642948182108515E-2</v>
      </c>
      <c r="G145" s="202">
        <f t="shared" ca="1" si="8"/>
        <v>-4.3161087908654444E-2</v>
      </c>
      <c r="H145" s="202">
        <f t="shared" ca="1" si="8"/>
        <v>-6.7558073545280525E-2</v>
      </c>
      <c r="I145" s="202">
        <f t="shared" ca="1" si="8"/>
        <v>-5.813533965872629E-2</v>
      </c>
      <c r="J145" s="187"/>
      <c r="K145" s="199"/>
      <c r="L145" s="197">
        <v>23</v>
      </c>
      <c r="M145" s="198" t="s">
        <v>79</v>
      </c>
      <c r="N145" s="202">
        <f t="shared" ca="1" si="9"/>
        <v>-5.5002783255321465E-2</v>
      </c>
      <c r="O145" s="202">
        <f t="shared" ca="1" si="9"/>
        <v>-6.233649054979655E-2</v>
      </c>
      <c r="P145" s="202">
        <f t="shared" ca="1" si="9"/>
        <v>-7.0871546506426589E-2</v>
      </c>
      <c r="Q145" s="202">
        <f t="shared" ca="1" si="9"/>
        <v>-4.0290890833877678E-2</v>
      </c>
      <c r="R145" s="202">
        <f t="shared" ca="1" si="9"/>
        <v>-7.6308914793787055E-2</v>
      </c>
      <c r="S145" s="202">
        <f t="shared" ca="1" si="9"/>
        <v>-6.0261075531346187E-2</v>
      </c>
      <c r="T145" s="187"/>
      <c r="U145" s="199"/>
      <c r="V145" s="197">
        <v>23</v>
      </c>
      <c r="W145" s="198" t="s">
        <v>79</v>
      </c>
      <c r="X145" s="202">
        <f t="shared" ca="1" si="10"/>
        <v>-5.2661063678177272E-2</v>
      </c>
      <c r="Y145" s="202">
        <f t="shared" ca="1" si="10"/>
        <v>-5.7257268356297429E-2</v>
      </c>
      <c r="Z145" s="202">
        <f t="shared" ca="1" si="10"/>
        <v>-6.817223842589247E-2</v>
      </c>
      <c r="AA145" s="202">
        <f t="shared" ca="1" si="10"/>
        <v>-4.1671796113650107E-2</v>
      </c>
      <c r="AB145" s="202">
        <f t="shared" ca="1" si="10"/>
        <v>-7.203950588916623E-2</v>
      </c>
      <c r="AC145" s="202">
        <f t="shared" ca="1" si="10"/>
        <v>-5.9191914983077909E-2</v>
      </c>
    </row>
    <row r="146" spans="1:29" ht="14.25" customHeight="1">
      <c r="A146" s="199"/>
      <c r="B146" s="197">
        <v>24</v>
      </c>
      <c r="C146" s="198" t="s">
        <v>80</v>
      </c>
      <c r="D146" s="202">
        <f t="shared" ca="1" si="8"/>
        <v>-0.14189863170865447</v>
      </c>
      <c r="E146" s="202">
        <f t="shared" ca="1" si="8"/>
        <v>-0.14541978862763563</v>
      </c>
      <c r="F146" s="202">
        <f t="shared" ca="1" si="8"/>
        <v>-9.0921111424191806E-2</v>
      </c>
      <c r="G146" s="202">
        <f t="shared" ca="1" si="8"/>
        <v>-0.10660183264760553</v>
      </c>
      <c r="H146" s="202">
        <f t="shared" ca="1" si="8"/>
        <v>-0.10896778909112823</v>
      </c>
      <c r="I146" s="202">
        <f t="shared" ca="1" si="8"/>
        <v>-8.0846870851464275E-2</v>
      </c>
      <c r="J146" s="187"/>
      <c r="K146" s="199"/>
      <c r="L146" s="197">
        <v>24</v>
      </c>
      <c r="M146" s="198" t="s">
        <v>80</v>
      </c>
      <c r="N146" s="202">
        <f t="shared" ca="1" si="9"/>
        <v>-0.14242637838467884</v>
      </c>
      <c r="O146" s="202">
        <f t="shared" ca="1" si="9"/>
        <v>-0.14847388022355901</v>
      </c>
      <c r="P146" s="202">
        <f t="shared" ca="1" si="9"/>
        <v>-5.7682889313909504E-2</v>
      </c>
      <c r="Q146" s="202">
        <f t="shared" ca="1" si="9"/>
        <v>-9.27490359589732E-2</v>
      </c>
      <c r="R146" s="202">
        <f t="shared" ca="1" si="9"/>
        <v>-0.10240578427802462</v>
      </c>
      <c r="S146" s="202">
        <f t="shared" ca="1" si="9"/>
        <v>-8.1019096728019172E-2</v>
      </c>
      <c r="T146" s="187"/>
      <c r="U146" s="199"/>
      <c r="V146" s="197">
        <v>24</v>
      </c>
      <c r="W146" s="198" t="s">
        <v>80</v>
      </c>
      <c r="X146" s="202">
        <f t="shared" ca="1" si="10"/>
        <v>-0.14214823748059566</v>
      </c>
      <c r="Y146" s="202">
        <f t="shared" ca="1" si="10"/>
        <v>-0.14698882977852604</v>
      </c>
      <c r="Z146" s="202">
        <f t="shared" ca="1" si="10"/>
        <v>-7.5806228198491796E-2</v>
      </c>
      <c r="AA146" s="202">
        <f t="shared" ca="1" si="10"/>
        <v>-9.9502692426572101E-2</v>
      </c>
      <c r="AB146" s="202">
        <f t="shared" ca="1" si="10"/>
        <v>-0.1056796963213768</v>
      </c>
      <c r="AC146" s="202">
        <f t="shared" ca="1" si="10"/>
        <v>-8.0932188106378158E-2</v>
      </c>
    </row>
    <row r="147" spans="1:29" ht="14.25" customHeight="1">
      <c r="A147" s="199"/>
      <c r="B147" s="197">
        <v>25</v>
      </c>
      <c r="C147" s="198" t="s">
        <v>81</v>
      </c>
      <c r="D147" s="202">
        <f t="shared" ca="1" si="8"/>
        <v>-0.10257704274093958</v>
      </c>
      <c r="E147" s="202">
        <f t="shared" ca="1" si="8"/>
        <v>-3.8224683757104083E-2</v>
      </c>
      <c r="F147" s="202">
        <f t="shared" ca="1" si="8"/>
        <v>-0.1050590516102349</v>
      </c>
      <c r="G147" s="202">
        <f t="shared" ca="1" si="8"/>
        <v>-0.1168221832084647</v>
      </c>
      <c r="H147" s="202">
        <f t="shared" ca="1" si="8"/>
        <v>-8.0167361845351504E-2</v>
      </c>
      <c r="I147" s="202">
        <f t="shared" ca="1" si="8"/>
        <v>-8.6634292751700814E-2</v>
      </c>
      <c r="J147" s="187"/>
      <c r="K147" s="199"/>
      <c r="L147" s="197">
        <v>25</v>
      </c>
      <c r="M147" s="198" t="s">
        <v>81</v>
      </c>
      <c r="N147" s="202">
        <f t="shared" ca="1" si="9"/>
        <v>-7.4415651093467455E-2</v>
      </c>
      <c r="O147" s="202">
        <f t="shared" ca="1" si="9"/>
        <v>-3.6813560180206241E-2</v>
      </c>
      <c r="P147" s="202">
        <f t="shared" ca="1" si="9"/>
        <v>-0.10946953289022365</v>
      </c>
      <c r="Q147" s="202">
        <f t="shared" ca="1" si="9"/>
        <v>-0.10984216872488457</v>
      </c>
      <c r="R147" s="202">
        <f t="shared" ca="1" si="9"/>
        <v>-7.766954718109946E-2</v>
      </c>
      <c r="S147" s="202">
        <f t="shared" ca="1" si="9"/>
        <v>-8.8785951263301494E-2</v>
      </c>
      <c r="T147" s="187"/>
      <c r="U147" s="199"/>
      <c r="V147" s="197">
        <v>25</v>
      </c>
      <c r="W147" s="198" t="s">
        <v>81</v>
      </c>
      <c r="X147" s="202">
        <f t="shared" ca="1" si="10"/>
        <v>-8.9819721039392189E-2</v>
      </c>
      <c r="Y147" s="202">
        <f t="shared" ca="1" si="10"/>
        <v>-3.7504581741677763E-2</v>
      </c>
      <c r="Z147" s="202">
        <f t="shared" ca="1" si="10"/>
        <v>-0.10718735588224967</v>
      </c>
      <c r="AA147" s="202">
        <f t="shared" ca="1" si="10"/>
        <v>-0.11321165932787793</v>
      </c>
      <c r="AB147" s="202">
        <f t="shared" ca="1" si="10"/>
        <v>-7.8909481135337661E-2</v>
      </c>
      <c r="AC147" s="202">
        <f t="shared" ca="1" si="10"/>
        <v>-8.7703172409827224E-2</v>
      </c>
    </row>
    <row r="148" spans="1:29" ht="14.25" customHeight="1">
      <c r="A148" s="199"/>
      <c r="B148" s="197">
        <v>26</v>
      </c>
      <c r="C148" s="198" t="s">
        <v>82</v>
      </c>
      <c r="D148" s="202">
        <f t="shared" ca="1" si="8"/>
        <v>-4.6736225507856402E-2</v>
      </c>
      <c r="E148" s="202">
        <f t="shared" ca="1" si="8"/>
        <v>-8.4267718116849327E-2</v>
      </c>
      <c r="F148" s="202">
        <f t="shared" ca="1" si="8"/>
        <v>-8.4405233028432919E-2</v>
      </c>
      <c r="G148" s="202">
        <f t="shared" ca="1" si="8"/>
        <v>-0.1227627009119123</v>
      </c>
      <c r="H148" s="202">
        <f t="shared" ca="1" si="8"/>
        <v>-0.11001308670395522</v>
      </c>
      <c r="I148" s="202">
        <f t="shared" ca="1" si="8"/>
        <v>-8.2074233485482442E-2</v>
      </c>
      <c r="J148" s="187"/>
      <c r="K148" s="199"/>
      <c r="L148" s="197">
        <v>26</v>
      </c>
      <c r="M148" s="198" t="s">
        <v>82</v>
      </c>
      <c r="N148" s="202">
        <f t="shared" ca="1" si="9"/>
        <v>-5.0902413889399339E-2</v>
      </c>
      <c r="O148" s="202">
        <f t="shared" ca="1" si="9"/>
        <v>-8.338374536345379E-2</v>
      </c>
      <c r="P148" s="202">
        <f t="shared" ca="1" si="9"/>
        <v>-8.5596220444952076E-2</v>
      </c>
      <c r="Q148" s="202">
        <f t="shared" ca="1" si="9"/>
        <v>-0.13456620620737647</v>
      </c>
      <c r="R148" s="202">
        <f t="shared" ca="1" si="9"/>
        <v>-0.10729734952203814</v>
      </c>
      <c r="S148" s="202">
        <f t="shared" ca="1" si="9"/>
        <v>-8.5828803396484479E-2</v>
      </c>
      <c r="T148" s="187"/>
      <c r="U148" s="199"/>
      <c r="V148" s="197">
        <v>26</v>
      </c>
      <c r="W148" s="198" t="s">
        <v>82</v>
      </c>
      <c r="X148" s="202">
        <f t="shared" ca="1" si="10"/>
        <v>-4.8721431636318466E-2</v>
      </c>
      <c r="Y148" s="202">
        <f t="shared" ca="1" si="10"/>
        <v>-8.381582998953524E-2</v>
      </c>
      <c r="Z148" s="202">
        <f t="shared" ca="1" si="10"/>
        <v>-8.4977500160127381E-2</v>
      </c>
      <c r="AA148" s="202">
        <f t="shared" ca="1" si="10"/>
        <v>-0.12900995793145759</v>
      </c>
      <c r="AB148" s="202">
        <f t="shared" ca="1" si="10"/>
        <v>-0.10864532828609984</v>
      </c>
      <c r="AC148" s="202">
        <f t="shared" ca="1" si="10"/>
        <v>-8.3943798582632317E-2</v>
      </c>
    </row>
    <row r="149" spans="1:29" ht="14.25" customHeight="1">
      <c r="A149" s="199"/>
      <c r="B149" s="197">
        <v>27</v>
      </c>
      <c r="C149" s="198" t="s">
        <v>83</v>
      </c>
      <c r="D149" s="202">
        <f t="shared" ca="1" si="8"/>
        <v>-8.8045536481097794E-2</v>
      </c>
      <c r="E149" s="202">
        <f t="shared" ca="1" si="8"/>
        <v>-9.3677136268087727E-2</v>
      </c>
      <c r="F149" s="202">
        <f t="shared" ca="1" si="8"/>
        <v>-8.6544862276166187E-2</v>
      </c>
      <c r="G149" s="202">
        <f t="shared" ca="1" si="8"/>
        <v>-7.8835227427232452E-2</v>
      </c>
      <c r="H149" s="202">
        <f t="shared" ca="1" si="8"/>
        <v>-9.2037093466448339E-2</v>
      </c>
      <c r="I149" s="202">
        <f t="shared" ca="1" si="8"/>
        <v>-6.9964825164948272E-2</v>
      </c>
      <c r="J149" s="187"/>
      <c r="K149" s="199"/>
      <c r="L149" s="197">
        <v>27</v>
      </c>
      <c r="M149" s="198" t="s">
        <v>83</v>
      </c>
      <c r="N149" s="202">
        <f t="shared" ca="1" si="9"/>
        <v>-9.5372433177483881E-2</v>
      </c>
      <c r="O149" s="202">
        <f t="shared" ca="1" si="9"/>
        <v>-0.10032879931536444</v>
      </c>
      <c r="P149" s="202">
        <f t="shared" ca="1" si="9"/>
        <v>-7.7484396307607672E-2</v>
      </c>
      <c r="Q149" s="202">
        <f t="shared" ca="1" si="9"/>
        <v>-7.3863588045297066E-2</v>
      </c>
      <c r="R149" s="202">
        <f t="shared" ca="1" si="9"/>
        <v>-9.0590276041361328E-2</v>
      </c>
      <c r="S149" s="202">
        <f t="shared" ca="1" si="9"/>
        <v>-7.1710403018379859E-2</v>
      </c>
      <c r="T149" s="187"/>
      <c r="U149" s="199"/>
      <c r="V149" s="197">
        <v>27</v>
      </c>
      <c r="W149" s="198" t="s">
        <v>83</v>
      </c>
      <c r="X149" s="202">
        <f t="shared" ca="1" si="10"/>
        <v>-9.1545603329699313E-2</v>
      </c>
      <c r="Y149" s="202">
        <f t="shared" ca="1" si="10"/>
        <v>-9.7111736410917901E-2</v>
      </c>
      <c r="Z149" s="202">
        <f t="shared" ca="1" si="10"/>
        <v>-8.2258189141139373E-2</v>
      </c>
      <c r="AA149" s="202">
        <f t="shared" ca="1" si="10"/>
        <v>-7.6259409316820848E-2</v>
      </c>
      <c r="AB149" s="202">
        <f t="shared" ca="1" si="10"/>
        <v>-9.1307285812357294E-2</v>
      </c>
      <c r="AC149" s="202">
        <f t="shared" ca="1" si="10"/>
        <v>-7.0831676832861012E-2</v>
      </c>
    </row>
    <row r="150" spans="1:29" ht="14.25" customHeight="1">
      <c r="A150" s="199"/>
      <c r="B150" s="197">
        <v>28</v>
      </c>
      <c r="C150" s="198" t="s">
        <v>84</v>
      </c>
      <c r="D150" s="202">
        <f t="shared" ca="1" si="8"/>
        <v>-8.7305931211020843E-2</v>
      </c>
      <c r="E150" s="202">
        <f t="shared" ca="1" si="8"/>
        <v>-5.8626765742851535E-2</v>
      </c>
      <c r="F150" s="202">
        <f t="shared" ca="1" si="8"/>
        <v>-6.3009876316829277E-2</v>
      </c>
      <c r="G150" s="202">
        <f t="shared" ca="1" si="8"/>
        <v>-9.3421466336848863E-2</v>
      </c>
      <c r="H150" s="202">
        <f t="shared" ca="1" si="8"/>
        <v>-8.5938315189495296E-2</v>
      </c>
      <c r="I150" s="202">
        <f t="shared" ca="1" si="8"/>
        <v>-8.0023737148828766E-2</v>
      </c>
      <c r="J150" s="187"/>
      <c r="K150" s="199"/>
      <c r="L150" s="197">
        <v>28</v>
      </c>
      <c r="M150" s="198" t="s">
        <v>84</v>
      </c>
      <c r="N150" s="202">
        <f t="shared" ca="1" si="9"/>
        <v>-9.4579967698953868E-2</v>
      </c>
      <c r="O150" s="202">
        <f t="shared" ca="1" si="9"/>
        <v>-4.3835367991663023E-2</v>
      </c>
      <c r="P150" s="202">
        <f t="shared" ca="1" si="9"/>
        <v>-7.002591174088188E-2</v>
      </c>
      <c r="Q150" s="202">
        <f t="shared" ca="1" si="9"/>
        <v>-9.5245396118370101E-2</v>
      </c>
      <c r="R150" s="202">
        <f t="shared" ca="1" si="9"/>
        <v>-8.9707192357579651E-2</v>
      </c>
      <c r="S150" s="202">
        <f t="shared" ca="1" si="9"/>
        <v>-8.2545106351971181E-2</v>
      </c>
      <c r="T150" s="187"/>
      <c r="U150" s="199"/>
      <c r="V150" s="197">
        <v>28</v>
      </c>
      <c r="W150" s="198" t="s">
        <v>84</v>
      </c>
      <c r="X150" s="202">
        <f t="shared" ca="1" si="10"/>
        <v>-9.0780590239303363E-2</v>
      </c>
      <c r="Y150" s="202">
        <f t="shared" ca="1" si="10"/>
        <v>-5.1254544712450702E-2</v>
      </c>
      <c r="Z150" s="202">
        <f t="shared" ca="1" si="10"/>
        <v>-6.6414118851274517E-2</v>
      </c>
      <c r="AA150" s="202">
        <f t="shared" ca="1" si="10"/>
        <v>-9.4375471288196178E-2</v>
      </c>
      <c r="AB150" s="202">
        <f t="shared" ca="1" si="10"/>
        <v>-8.785320316294086E-2</v>
      </c>
      <c r="AC150" s="202">
        <f t="shared" ca="1" si="10"/>
        <v>-8.1277069559386961E-2</v>
      </c>
    </row>
    <row r="151" spans="1:29" ht="14.25" customHeight="1">
      <c r="A151" s="199"/>
      <c r="B151" s="197">
        <v>29</v>
      </c>
      <c r="C151" s="198" t="s">
        <v>85</v>
      </c>
      <c r="D151" s="202">
        <f t="shared" ca="1" si="8"/>
        <v>-7.4225788076609095E-2</v>
      </c>
      <c r="E151" s="202">
        <f t="shared" ca="1" si="8"/>
        <v>-8.6344815975593098E-2</v>
      </c>
      <c r="F151" s="202">
        <f t="shared" ca="1" si="8"/>
        <v>-8.1511007104973457E-2</v>
      </c>
      <c r="G151" s="202">
        <f t="shared" ca="1" si="8"/>
        <v>-7.3940841842995333E-2</v>
      </c>
      <c r="H151" s="202">
        <f t="shared" ca="1" si="8"/>
        <v>-9.904491007948639E-2</v>
      </c>
      <c r="I151" s="202">
        <f t="shared" ca="1" si="8"/>
        <v>-7.4289533531193427E-2</v>
      </c>
      <c r="J151" s="187"/>
      <c r="K151" s="199"/>
      <c r="L151" s="197">
        <v>29</v>
      </c>
      <c r="M151" s="198" t="s">
        <v>85</v>
      </c>
      <c r="N151" s="202">
        <f t="shared" ca="1" si="9"/>
        <v>-6.5248087412348194E-2</v>
      </c>
      <c r="O151" s="202">
        <f t="shared" ca="1" si="9"/>
        <v>-8.4631117753664942E-2</v>
      </c>
      <c r="P151" s="202">
        <f t="shared" ca="1" si="9"/>
        <v>-8.4821319158100789E-2</v>
      </c>
      <c r="Q151" s="202">
        <f t="shared" ca="1" si="9"/>
        <v>-7.9037151100282851E-2</v>
      </c>
      <c r="R151" s="202">
        <f t="shared" ca="1" si="9"/>
        <v>-9.4941997163599717E-2</v>
      </c>
      <c r="S151" s="202">
        <f t="shared" ca="1" si="9"/>
        <v>-6.5861072793063608E-2</v>
      </c>
      <c r="T151" s="187"/>
      <c r="U151" s="199"/>
      <c r="V151" s="197">
        <v>29</v>
      </c>
      <c r="W151" s="198" t="s">
        <v>85</v>
      </c>
      <c r="X151" s="202">
        <f t="shared" ca="1" si="10"/>
        <v>-7.0044833552403638E-2</v>
      </c>
      <c r="Y151" s="202">
        <f t="shared" ca="1" si="10"/>
        <v>-8.5469773541967248E-2</v>
      </c>
      <c r="Z151" s="202">
        <f t="shared" ca="1" si="10"/>
        <v>-8.3106667138482734E-2</v>
      </c>
      <c r="AA151" s="202">
        <f t="shared" ca="1" si="10"/>
        <v>-7.6619375871020856E-2</v>
      </c>
      <c r="AB151" s="202">
        <f t="shared" ca="1" si="10"/>
        <v>-9.6982631955847873E-2</v>
      </c>
      <c r="AC151" s="202">
        <f t="shared" ca="1" si="10"/>
        <v>-7.0170242470771152E-2</v>
      </c>
    </row>
    <row r="152" spans="1:29" ht="14.25" customHeight="1">
      <c r="A152" s="199"/>
      <c r="B152" s="197">
        <v>30</v>
      </c>
      <c r="C152" s="198" t="s">
        <v>86</v>
      </c>
      <c r="D152" s="202">
        <f t="shared" ca="1" si="8"/>
        <v>-1.5215770271708003E-2</v>
      </c>
      <c r="E152" s="202">
        <f t="shared" ca="1" si="8"/>
        <v>-8.6344815975593098E-2</v>
      </c>
      <c r="F152" s="202">
        <f t="shared" ca="1" si="8"/>
        <v>-7.763697593716154E-2</v>
      </c>
      <c r="G152" s="202">
        <f t="shared" ca="1" si="8"/>
        <v>-9.7140637288055831E-2</v>
      </c>
      <c r="H152" s="202">
        <f t="shared" ca="1" si="8"/>
        <v>-6.5333070513602626E-2</v>
      </c>
      <c r="I152" s="202">
        <f t="shared" ca="1" si="8"/>
        <v>-7.6690865066554245E-2</v>
      </c>
      <c r="J152" s="187"/>
      <c r="K152" s="199"/>
      <c r="L152" s="197">
        <v>30</v>
      </c>
      <c r="M152" s="198" t="s">
        <v>86</v>
      </c>
      <c r="N152" s="202">
        <f t="shared" ca="1" si="9"/>
        <v>-1.6666290703709143E-2</v>
      </c>
      <c r="O152" s="202">
        <f t="shared" ca="1" si="9"/>
        <v>-8.8564250165850233E-2</v>
      </c>
      <c r="P152" s="202">
        <f t="shared" ca="1" si="9"/>
        <v>-7.7484396307607672E-2</v>
      </c>
      <c r="Q152" s="202">
        <f t="shared" ca="1" si="9"/>
        <v>-9.1171175089888021E-2</v>
      </c>
      <c r="R152" s="202">
        <f t="shared" ca="1" si="9"/>
        <v>-7.0893578478521999E-2</v>
      </c>
      <c r="S152" s="202">
        <f t="shared" ca="1" si="9"/>
        <v>-7.8492371691516752E-2</v>
      </c>
      <c r="T152" s="187"/>
      <c r="U152" s="199"/>
      <c r="V152" s="197">
        <v>30</v>
      </c>
      <c r="W152" s="198" t="s">
        <v>86</v>
      </c>
      <c r="X152" s="202">
        <f t="shared" ca="1" si="10"/>
        <v>-1.5905366675328582E-2</v>
      </c>
      <c r="Y152" s="202">
        <f t="shared" ca="1" si="10"/>
        <v>-8.7484269639837409E-2</v>
      </c>
      <c r="Z152" s="202">
        <f t="shared" ca="1" si="10"/>
        <v>-7.7563808236772502E-2</v>
      </c>
      <c r="AA152" s="202">
        <f t="shared" ca="1" si="10"/>
        <v>-9.405020561799611E-2</v>
      </c>
      <c r="AB152" s="202">
        <f t="shared" ca="1" si="10"/>
        <v>-6.8167732300154965E-2</v>
      </c>
      <c r="AC152" s="202">
        <f t="shared" ca="1" si="10"/>
        <v>-7.7585470278049157E-2</v>
      </c>
    </row>
    <row r="153" spans="1:29" ht="14.25" customHeight="1">
      <c r="A153" s="199"/>
      <c r="B153" s="197">
        <v>31</v>
      </c>
      <c r="C153" s="198" t="s">
        <v>87</v>
      </c>
      <c r="D153" s="202">
        <f t="shared" ca="1" si="8"/>
        <v>-0.12107336144110183</v>
      </c>
      <c r="E153" s="202">
        <f t="shared" ca="1" si="8"/>
        <v>-0.11317977732530507</v>
      </c>
      <c r="F153" s="202">
        <f t="shared" ca="1" si="8"/>
        <v>-7.5571841493687827E-2</v>
      </c>
      <c r="G153" s="202">
        <f t="shared" ca="1" si="8"/>
        <v>-9.6133792242546742E-2</v>
      </c>
      <c r="H153" s="202">
        <f t="shared" ca="1" si="8"/>
        <v>-9.024209680725899E-2</v>
      </c>
      <c r="I153" s="202">
        <f t="shared" ca="1" si="8"/>
        <v>-0.10773343490122492</v>
      </c>
      <c r="J153" s="187"/>
      <c r="K153" s="199"/>
      <c r="L153" s="197">
        <v>31</v>
      </c>
      <c r="M153" s="198" t="s">
        <v>87</v>
      </c>
      <c r="N153" s="202">
        <f t="shared" ref="N153:S162" ca="1" si="11">IF(AND(ISNUMBER($L153),ISNUMBER(N$5)),IF(N96=0,0,((N96/N$120)*(LN(N96/N$120)))),"")</f>
        <v>-0.13061836146931771</v>
      </c>
      <c r="O153" s="202">
        <f t="shared" ca="1" si="11"/>
        <v>-0.10146484956256856</v>
      </c>
      <c r="P153" s="202">
        <f t="shared" ca="1" si="11"/>
        <v>-9.0175643696836241E-2</v>
      </c>
      <c r="Q153" s="202">
        <f t="shared" ca="1" si="11"/>
        <v>-9.7708115458973038E-2</v>
      </c>
      <c r="R153" s="202">
        <f t="shared" ca="1" si="11"/>
        <v>-9.2965600308564225E-2</v>
      </c>
      <c r="S153" s="202">
        <f t="shared" ca="1" si="11"/>
        <v>-0.110150320887952</v>
      </c>
      <c r="T153" s="187"/>
      <c r="U153" s="199"/>
      <c r="V153" s="197">
        <v>31</v>
      </c>
      <c r="W153" s="198" t="s">
        <v>87</v>
      </c>
      <c r="X153" s="202">
        <f t="shared" ref="X153:AC162" ca="1" si="12">IF(AND(ISNUMBER($V153),ISNUMBER(X$5)),IF(X96=0,0,((X96/X$120)*(LN(X96/X$120)))),"")</f>
        <v>-0.12564256932673132</v>
      </c>
      <c r="Y153" s="202">
        <f t="shared" ca="1" si="12"/>
        <v>-0.10727418483019691</v>
      </c>
      <c r="Z153" s="202">
        <f t="shared" ca="1" si="12"/>
        <v>-8.2730077994862677E-2</v>
      </c>
      <c r="AA153" s="202">
        <f t="shared" ca="1" si="12"/>
        <v>-9.69569564046905E-2</v>
      </c>
      <c r="AB153" s="202">
        <f t="shared" ca="1" si="12"/>
        <v>-9.1623769143828526E-2</v>
      </c>
      <c r="AC153" s="202">
        <f t="shared" ca="1" si="12"/>
        <v>-0.10893424635863261</v>
      </c>
    </row>
    <row r="154" spans="1:29" ht="14.25" customHeight="1">
      <c r="A154" s="199"/>
      <c r="B154" s="197">
        <v>32</v>
      </c>
      <c r="C154" s="198" t="s">
        <v>88</v>
      </c>
      <c r="D154" s="202">
        <f t="shared" ca="1" si="8"/>
        <v>-7.8957226750029627E-2</v>
      </c>
      <c r="E154" s="202">
        <f t="shared" ca="1" si="8"/>
        <v>-8.5309337761989443E-2</v>
      </c>
      <c r="F154" s="202">
        <f t="shared" ca="1" si="8"/>
        <v>-7.6137583239476184E-2</v>
      </c>
      <c r="G154" s="202">
        <f t="shared" ca="1" si="8"/>
        <v>-0.10691972102907517</v>
      </c>
      <c r="H154" s="202">
        <f t="shared" ca="1" si="8"/>
        <v>-7.6581586458564513E-2</v>
      </c>
      <c r="I154" s="202">
        <f t="shared" ca="1" si="8"/>
        <v>-7.9886163048441317E-2</v>
      </c>
      <c r="J154" s="187"/>
      <c r="K154" s="199"/>
      <c r="L154" s="197">
        <v>32</v>
      </c>
      <c r="M154" s="198" t="s">
        <v>88</v>
      </c>
      <c r="N154" s="202">
        <f t="shared" ca="1" si="11"/>
        <v>-0.10197408122503224</v>
      </c>
      <c r="O154" s="202">
        <f t="shared" ca="1" si="11"/>
        <v>-9.2412391851647013E-2</v>
      </c>
      <c r="P154" s="202">
        <f t="shared" ca="1" si="11"/>
        <v>-7.4210950377677193E-2</v>
      </c>
      <c r="Q154" s="202">
        <f t="shared" ca="1" si="11"/>
        <v>-0.10043991154889284</v>
      </c>
      <c r="R154" s="202">
        <f t="shared" ca="1" si="11"/>
        <v>-7.8884821435710697E-2</v>
      </c>
      <c r="S154" s="202">
        <f t="shared" ca="1" si="11"/>
        <v>-7.7357231516554908E-2</v>
      </c>
      <c r="T154" s="187"/>
      <c r="U154" s="199"/>
      <c r="V154" s="197">
        <v>32</v>
      </c>
      <c r="W154" s="198" t="s">
        <v>88</v>
      </c>
      <c r="X154" s="202">
        <f t="shared" ca="1" si="12"/>
        <v>-9.0204686589795274E-2</v>
      </c>
      <c r="Y154" s="202">
        <f t="shared" ca="1" si="12"/>
        <v>-8.8980251906934316E-2</v>
      </c>
      <c r="Z154" s="202">
        <f t="shared" ca="1" si="12"/>
        <v>-7.5216250647610672E-2</v>
      </c>
      <c r="AA154" s="202">
        <f t="shared" ca="1" si="12"/>
        <v>-0.10356648077286236</v>
      </c>
      <c r="AB154" s="202">
        <f t="shared" ca="1" si="12"/>
        <v>-7.7749622953433226E-2</v>
      </c>
      <c r="AC154" s="202">
        <f t="shared" ca="1" si="12"/>
        <v>-7.8638400833326905E-2</v>
      </c>
    </row>
    <row r="155" spans="1:29" ht="14.25" customHeight="1">
      <c r="A155" s="199"/>
      <c r="B155" s="197">
        <v>33</v>
      </c>
      <c r="C155" s="198" t="s">
        <v>89</v>
      </c>
      <c r="D155" s="202">
        <f t="shared" ref="D155:I170" ca="1" si="13">IF(AND(ISNUMBER($B155),ISNUMBER(D$5)),IF(D98=0,0,((D98/D$120)*(LN(D98/D$120)))),"")</f>
        <v>-6.8529105330854698E-2</v>
      </c>
      <c r="E155" s="202">
        <f t="shared" ca="1" si="13"/>
        <v>-0.11228465508133653</v>
      </c>
      <c r="F155" s="202">
        <f t="shared" ca="1" si="13"/>
        <v>-7.0780672448272922E-2</v>
      </c>
      <c r="G155" s="202">
        <f t="shared" ca="1" si="13"/>
        <v>-7.3558340267355943E-2</v>
      </c>
      <c r="H155" s="202">
        <f t="shared" ca="1" si="13"/>
        <v>-7.7277079738581292E-2</v>
      </c>
      <c r="I155" s="202">
        <f t="shared" ca="1" si="13"/>
        <v>-9.4152457996356201E-2</v>
      </c>
      <c r="J155" s="187"/>
      <c r="K155" s="199"/>
      <c r="L155" s="197">
        <v>33</v>
      </c>
      <c r="M155" s="198" t="s">
        <v>89</v>
      </c>
      <c r="N155" s="202">
        <f t="shared" ca="1" si="11"/>
        <v>-5.8988990502306562E-2</v>
      </c>
      <c r="O155" s="202">
        <f t="shared" ca="1" si="11"/>
        <v>-0.10055656479169114</v>
      </c>
      <c r="P155" s="202">
        <f t="shared" ca="1" si="11"/>
        <v>-8.2672462470189834E-2</v>
      </c>
      <c r="Q155" s="202">
        <f t="shared" ca="1" si="11"/>
        <v>-7.7330250352091748E-2</v>
      </c>
      <c r="R155" s="202">
        <f t="shared" ca="1" si="11"/>
        <v>-7.4799361258435934E-2</v>
      </c>
      <c r="S155" s="202">
        <f t="shared" ca="1" si="11"/>
        <v>-9.3261929246047023E-2</v>
      </c>
      <c r="T155" s="187"/>
      <c r="U155" s="199"/>
      <c r="V155" s="197">
        <v>33</v>
      </c>
      <c r="W155" s="198" t="s">
        <v>89</v>
      </c>
      <c r="X155" s="202">
        <f t="shared" ca="1" si="12"/>
        <v>-6.4093413984540382E-2</v>
      </c>
      <c r="Y155" s="202">
        <f t="shared" ca="1" si="12"/>
        <v>-0.10637273903966446</v>
      </c>
      <c r="Z155" s="202">
        <f t="shared" ca="1" si="12"/>
        <v>-7.6589644091554263E-2</v>
      </c>
      <c r="AA155" s="202">
        <f t="shared" ca="1" si="12"/>
        <v>-7.5537149077964133E-2</v>
      </c>
      <c r="AB155" s="202">
        <f t="shared" ca="1" si="12"/>
        <v>-7.6029354466167307E-2</v>
      </c>
      <c r="AC155" s="202">
        <f t="shared" ca="1" si="12"/>
        <v>-9.3711964655432578E-2</v>
      </c>
    </row>
    <row r="156" spans="1:29" ht="14.25" customHeight="1">
      <c r="A156" s="199"/>
      <c r="B156" s="197">
        <v>34</v>
      </c>
      <c r="C156" s="198" t="s">
        <v>90</v>
      </c>
      <c r="D156" s="202">
        <f t="shared" ca="1" si="13"/>
        <v>-0.10494766493303723</v>
      </c>
      <c r="E156" s="202">
        <f t="shared" ca="1" si="13"/>
        <v>-9.5648504829795852E-2</v>
      </c>
      <c r="F156" s="202">
        <f t="shared" ca="1" si="13"/>
        <v>-6.6044115653311142E-2</v>
      </c>
      <c r="G156" s="202">
        <f t="shared" ca="1" si="13"/>
        <v>-0.10691972102907517</v>
      </c>
      <c r="H156" s="202">
        <f t="shared" ca="1" si="13"/>
        <v>-7.7554475627391747E-2</v>
      </c>
      <c r="I156" s="202">
        <f t="shared" ca="1" si="13"/>
        <v>-7.1419146488470267E-2</v>
      </c>
      <c r="J156" s="187"/>
      <c r="K156" s="199"/>
      <c r="L156" s="197">
        <v>34</v>
      </c>
      <c r="M156" s="198" t="s">
        <v>90</v>
      </c>
      <c r="N156" s="202">
        <f t="shared" ca="1" si="11"/>
        <v>-0.10082604365859961</v>
      </c>
      <c r="O156" s="202">
        <f t="shared" ca="1" si="11"/>
        <v>-8.2379373697564748E-2</v>
      </c>
      <c r="P156" s="202">
        <f t="shared" ca="1" si="11"/>
        <v>-7.3797212762574907E-2</v>
      </c>
      <c r="Q156" s="202">
        <f t="shared" ca="1" si="11"/>
        <v>-0.10043991154889284</v>
      </c>
      <c r="R156" s="202">
        <f t="shared" ca="1" si="11"/>
        <v>-8.2611343639644633E-2</v>
      </c>
      <c r="S156" s="202">
        <f t="shared" ca="1" si="11"/>
        <v>-6.4634080100241645E-2</v>
      </c>
      <c r="T156" s="187"/>
      <c r="U156" s="199"/>
      <c r="V156" s="197">
        <v>34</v>
      </c>
      <c r="W156" s="198" t="s">
        <v>90</v>
      </c>
      <c r="X156" s="202">
        <f t="shared" ca="1" si="12"/>
        <v>-0.10301094364748739</v>
      </c>
      <c r="Y156" s="202">
        <f t="shared" ca="1" si="12"/>
        <v>-8.8980251906934316E-2</v>
      </c>
      <c r="Z156" s="202">
        <f t="shared" ca="1" si="12"/>
        <v>-6.9809417274497382E-2</v>
      </c>
      <c r="AA156" s="202">
        <f t="shared" ca="1" si="12"/>
        <v>-0.10356648077286236</v>
      </c>
      <c r="AB156" s="202">
        <f t="shared" ca="1" si="12"/>
        <v>-8.0129012626132229E-2</v>
      </c>
      <c r="AC156" s="202">
        <f t="shared" ca="1" si="12"/>
        <v>-6.8094912269505106E-2</v>
      </c>
    </row>
    <row r="157" spans="1:29" ht="14.25" customHeight="1">
      <c r="A157" s="199"/>
      <c r="B157" s="197">
        <v>35</v>
      </c>
      <c r="C157" s="198" t="s">
        <v>91</v>
      </c>
      <c r="D157" s="202">
        <f t="shared" ca="1" si="13"/>
        <v>-0.10894353141244602</v>
      </c>
      <c r="E157" s="202">
        <f t="shared" ca="1" si="13"/>
        <v>-0.11317977732530507</v>
      </c>
      <c r="F157" s="202">
        <f t="shared" ca="1" si="13"/>
        <v>-9.6707170188009256E-2</v>
      </c>
      <c r="G157" s="202">
        <f t="shared" ca="1" si="13"/>
        <v>-0.10500431970006489</v>
      </c>
      <c r="H157" s="202">
        <f t="shared" ca="1" si="13"/>
        <v>-9.4696613187193843E-2</v>
      </c>
      <c r="I157" s="202">
        <f t="shared" ca="1" si="13"/>
        <v>-7.9196626542698906E-2</v>
      </c>
      <c r="J157" s="187"/>
      <c r="K157" s="199"/>
      <c r="L157" s="197">
        <v>35</v>
      </c>
      <c r="M157" s="198" t="s">
        <v>91</v>
      </c>
      <c r="N157" s="202">
        <f t="shared" ca="1" si="11"/>
        <v>-0.10537654252923112</v>
      </c>
      <c r="O157" s="202">
        <f t="shared" ca="1" si="11"/>
        <v>-0.11395373551912782</v>
      </c>
      <c r="P157" s="202">
        <f t="shared" ca="1" si="11"/>
        <v>-0.10500391965357241</v>
      </c>
      <c r="Q157" s="202">
        <f t="shared" ca="1" si="11"/>
        <v>-9.8623202646649338E-2</v>
      </c>
      <c r="R157" s="202">
        <f t="shared" ca="1" si="11"/>
        <v>-0.10299483226713632</v>
      </c>
      <c r="S157" s="202">
        <f t="shared" ca="1" si="11"/>
        <v>-7.7641731220657303E-2</v>
      </c>
      <c r="T157" s="187"/>
      <c r="U157" s="199"/>
      <c r="V157" s="197">
        <v>35</v>
      </c>
      <c r="W157" s="198" t="s">
        <v>91</v>
      </c>
      <c r="X157" s="202">
        <f t="shared" ca="1" si="12"/>
        <v>-0.1072660157747484</v>
      </c>
      <c r="Y157" s="202">
        <f t="shared" ca="1" si="12"/>
        <v>-0.11357630509269796</v>
      </c>
      <c r="Z157" s="202">
        <f t="shared" ca="1" si="12"/>
        <v>-0.10073288967716391</v>
      </c>
      <c r="AA157" s="202">
        <f t="shared" ca="1" si="12"/>
        <v>-0.10170187902606861</v>
      </c>
      <c r="AB157" s="202">
        <f t="shared" ca="1" si="12"/>
        <v>-9.893726753349448E-2</v>
      </c>
      <c r="AC157" s="202">
        <f t="shared" ca="1" si="12"/>
        <v>-7.8428337101068862E-2</v>
      </c>
    </row>
    <row r="158" spans="1:29" ht="14.25" customHeight="1">
      <c r="A158" s="199"/>
      <c r="B158" s="197">
        <v>36</v>
      </c>
      <c r="C158" s="198" t="s">
        <v>92</v>
      </c>
      <c r="D158" s="202">
        <f t="shared" ca="1" si="13"/>
        <v>-0.12836168202473588</v>
      </c>
      <c r="E158" s="202">
        <f t="shared" ca="1" si="13"/>
        <v>-8.6344815975593098E-2</v>
      </c>
      <c r="F158" s="202">
        <f t="shared" ca="1" si="13"/>
        <v>-7.2905982383286702E-2</v>
      </c>
      <c r="G158" s="202">
        <f t="shared" ca="1" si="13"/>
        <v>-9.6805635108578023E-2</v>
      </c>
      <c r="H158" s="202">
        <f t="shared" ca="1" si="13"/>
        <v>-6.6375316602141521E-2</v>
      </c>
      <c r="I158" s="202">
        <f t="shared" ca="1" si="13"/>
        <v>-8.8084642862443191E-2</v>
      </c>
      <c r="J158" s="187"/>
      <c r="K158" s="199"/>
      <c r="L158" s="197">
        <v>36</v>
      </c>
      <c r="M158" s="198" t="s">
        <v>92</v>
      </c>
      <c r="N158" s="202">
        <f t="shared" ca="1" si="11"/>
        <v>-0.12426901458505579</v>
      </c>
      <c r="O158" s="202">
        <f t="shared" ca="1" si="11"/>
        <v>-0.10682396021197599</v>
      </c>
      <c r="P158" s="202">
        <f t="shared" ca="1" si="11"/>
        <v>-8.1489059132564462E-2</v>
      </c>
      <c r="Q158" s="202">
        <f t="shared" ca="1" si="11"/>
        <v>-8.3065508483508521E-2</v>
      </c>
      <c r="R158" s="202">
        <f t="shared" ca="1" si="11"/>
        <v>-7.3136795870062429E-2</v>
      </c>
      <c r="S158" s="202">
        <f t="shared" ca="1" si="11"/>
        <v>-9.0510538056140372E-2</v>
      </c>
      <c r="T158" s="187"/>
      <c r="U158" s="199"/>
      <c r="V158" s="197">
        <v>36</v>
      </c>
      <c r="W158" s="198" t="s">
        <v>92</v>
      </c>
      <c r="X158" s="202">
        <f t="shared" ca="1" si="12"/>
        <v>-0.12643797234744161</v>
      </c>
      <c r="Y158" s="202">
        <f t="shared" ca="1" si="12"/>
        <v>-9.7111736410917901E-2</v>
      </c>
      <c r="Z158" s="202">
        <f t="shared" ca="1" si="12"/>
        <v>-7.707743006443521E-2</v>
      </c>
      <c r="AA158" s="202">
        <f t="shared" ca="1" si="12"/>
        <v>-8.9767712355847629E-2</v>
      </c>
      <c r="AB158" s="202">
        <f t="shared" ca="1" si="12"/>
        <v>-6.9828183339928809E-2</v>
      </c>
      <c r="AC158" s="202">
        <f t="shared" ca="1" si="12"/>
        <v>-8.9290196200735319E-2</v>
      </c>
    </row>
    <row r="159" spans="1:29" ht="14.25" customHeight="1">
      <c r="A159" s="199"/>
      <c r="B159" s="197">
        <v>37</v>
      </c>
      <c r="C159" s="198" t="s">
        <v>93</v>
      </c>
      <c r="D159" s="202">
        <f t="shared" ca="1" si="13"/>
        <v>-1.8131106417530874E-5</v>
      </c>
      <c r="E159" s="202">
        <f t="shared" ca="1" si="13"/>
        <v>-2.8141805609561924E-2</v>
      </c>
      <c r="F159" s="202">
        <f t="shared" ca="1" si="13"/>
        <v>-7.4624658086057158E-2</v>
      </c>
      <c r="G159" s="202">
        <f t="shared" ca="1" si="13"/>
        <v>-5.9561000344349524E-2</v>
      </c>
      <c r="H159" s="202">
        <f t="shared" ca="1" si="13"/>
        <v>-6.7558073545280525E-2</v>
      </c>
      <c r="I159" s="202">
        <f t="shared" ca="1" si="13"/>
        <v>-8.2074233485482442E-2</v>
      </c>
      <c r="J159" s="187"/>
      <c r="K159" s="199"/>
      <c r="L159" s="197">
        <v>37</v>
      </c>
      <c r="M159" s="198" t="s">
        <v>93</v>
      </c>
      <c r="N159" s="202">
        <f t="shared" ca="1" si="11"/>
        <v>-8.2678370083191413E-2</v>
      </c>
      <c r="O159" s="202">
        <f t="shared" ca="1" si="11"/>
        <v>-3.4727275545466327E-2</v>
      </c>
      <c r="P159" s="202">
        <f t="shared" ca="1" si="11"/>
        <v>-8.4627057712228004E-2</v>
      </c>
      <c r="Q159" s="202">
        <f t="shared" ca="1" si="11"/>
        <v>-0.10402101630591126</v>
      </c>
      <c r="R159" s="202">
        <f t="shared" ca="1" si="11"/>
        <v>-6.5291285203762289E-2</v>
      </c>
      <c r="S159" s="202">
        <f t="shared" ca="1" si="11"/>
        <v>-8.5013639357828519E-2</v>
      </c>
      <c r="T159" s="187"/>
      <c r="U159" s="199"/>
      <c r="V159" s="197">
        <v>37</v>
      </c>
      <c r="W159" s="198" t="s">
        <v>93</v>
      </c>
      <c r="X159" s="202">
        <f t="shared" ca="1" si="12"/>
        <v>-4.6710217027552542E-2</v>
      </c>
      <c r="Y159" s="202">
        <f t="shared" ca="1" si="12"/>
        <v>-3.1564943145768562E-2</v>
      </c>
      <c r="Z159" s="202">
        <f t="shared" ca="1" si="12"/>
        <v>-7.9495476602848308E-2</v>
      </c>
      <c r="AA159" s="202">
        <f t="shared" ca="1" si="12"/>
        <v>-8.4180102498087397E-2</v>
      </c>
      <c r="AB159" s="202">
        <f t="shared" ca="1" si="12"/>
        <v>-6.6416454278894255E-2</v>
      </c>
      <c r="AC159" s="202">
        <f t="shared" ca="1" si="12"/>
        <v>-8.3536188304288203E-2</v>
      </c>
    </row>
    <row r="160" spans="1:29" ht="14.25" customHeight="1">
      <c r="A160" s="199"/>
      <c r="B160" s="197">
        <v>38</v>
      </c>
      <c r="C160" s="198" t="s">
        <v>94</v>
      </c>
      <c r="D160" s="202">
        <f t="shared" ca="1" si="13"/>
        <v>-7.5817802518468522E-2</v>
      </c>
      <c r="E160" s="202">
        <f t="shared" ca="1" si="13"/>
        <v>-9.5648504829795852E-2</v>
      </c>
      <c r="F160" s="202">
        <f t="shared" ca="1" si="13"/>
        <v>-0.10917796461546324</v>
      </c>
      <c r="G160" s="202">
        <f t="shared" ca="1" si="13"/>
        <v>-7.3174950648204784E-2</v>
      </c>
      <c r="H160" s="202">
        <f t="shared" ca="1" si="13"/>
        <v>-9.7317910617485168E-2</v>
      </c>
      <c r="I160" s="202">
        <f t="shared" ca="1" si="13"/>
        <v>-9.159535592762176E-2</v>
      </c>
      <c r="J160" s="187"/>
      <c r="K160" s="199"/>
      <c r="L160" s="197">
        <v>38</v>
      </c>
      <c r="M160" s="198" t="s">
        <v>94</v>
      </c>
      <c r="N160" s="202">
        <f t="shared" ca="1" si="11"/>
        <v>-6.7589550614601868E-2</v>
      </c>
      <c r="O160" s="202">
        <f t="shared" ca="1" si="11"/>
        <v>-9.2412391851647013E-2</v>
      </c>
      <c r="P160" s="202">
        <f t="shared" ca="1" si="11"/>
        <v>-0.10167237952546979</v>
      </c>
      <c r="Q160" s="202">
        <f t="shared" ca="1" si="11"/>
        <v>-6.9605190425046801E-2</v>
      </c>
      <c r="R160" s="202">
        <f t="shared" ca="1" si="11"/>
        <v>-9.2343538052606353E-2</v>
      </c>
      <c r="S160" s="202">
        <f t="shared" ca="1" si="11"/>
        <v>-8.7447907119545518E-2</v>
      </c>
      <c r="T160" s="187"/>
      <c r="U160" s="199"/>
      <c r="V160" s="197">
        <v>38</v>
      </c>
      <c r="W160" s="198" t="s">
        <v>94</v>
      </c>
      <c r="X160" s="202">
        <f t="shared" ca="1" si="12"/>
        <v>-7.1980458407180661E-2</v>
      </c>
      <c r="Y160" s="202">
        <f t="shared" ca="1" si="12"/>
        <v>-9.3999341254913105E-2</v>
      </c>
      <c r="Z160" s="202">
        <f t="shared" ca="1" si="12"/>
        <v>-0.105615156213998</v>
      </c>
      <c r="AA160" s="202">
        <f t="shared" ca="1" si="12"/>
        <v>-7.132201111430124E-2</v>
      </c>
      <c r="AB160" s="202">
        <f t="shared" ca="1" si="12"/>
        <v>-9.4820678053282911E-2</v>
      </c>
      <c r="AC160" s="202">
        <f t="shared" ca="1" si="12"/>
        <v>-8.9553332544343653E-2</v>
      </c>
    </row>
    <row r="161" spans="1:29" ht="14.25" customHeight="1">
      <c r="A161" s="199"/>
      <c r="B161" s="197">
        <v>39</v>
      </c>
      <c r="C161" s="198" t="s">
        <v>95</v>
      </c>
      <c r="D161" s="202">
        <f t="shared" ca="1" si="13"/>
        <v>-5.0060335675377876E-2</v>
      </c>
      <c r="E161" s="202">
        <f t="shared" ca="1" si="13"/>
        <v>-8.1901078894719204E-2</v>
      </c>
      <c r="F161" s="202">
        <f t="shared" ca="1" si="13"/>
        <v>-8.9183475439486348E-2</v>
      </c>
      <c r="G161" s="202">
        <f t="shared" ca="1" si="13"/>
        <v>-7.8835227427232452E-2</v>
      </c>
      <c r="H161" s="202">
        <f t="shared" ca="1" si="13"/>
        <v>-8.2202353356778987E-2</v>
      </c>
      <c r="I161" s="202">
        <f t="shared" ca="1" si="13"/>
        <v>-0.1133159433740189</v>
      </c>
      <c r="J161" s="187"/>
      <c r="K161" s="199"/>
      <c r="L161" s="197">
        <v>39</v>
      </c>
      <c r="M161" s="198" t="s">
        <v>95</v>
      </c>
      <c r="N161" s="202">
        <f t="shared" ca="1" si="11"/>
        <v>-5.6009617535444499E-2</v>
      </c>
      <c r="O161" s="202">
        <f t="shared" ca="1" si="11"/>
        <v>-6.8202475929821232E-2</v>
      </c>
      <c r="P161" s="202">
        <f t="shared" ca="1" si="11"/>
        <v>-8.5402815473957561E-2</v>
      </c>
      <c r="Q161" s="202">
        <f t="shared" ca="1" si="11"/>
        <v>-8.2067210318256395E-2</v>
      </c>
      <c r="R161" s="202">
        <f t="shared" ca="1" si="11"/>
        <v>-8.1687250728897237E-2</v>
      </c>
      <c r="S161" s="202">
        <f t="shared" ca="1" si="11"/>
        <v>-0.11192355702962488</v>
      </c>
      <c r="T161" s="187"/>
      <c r="U161" s="199"/>
      <c r="V161" s="197">
        <v>39</v>
      </c>
      <c r="W161" s="198" t="s">
        <v>95</v>
      </c>
      <c r="X161" s="202">
        <f t="shared" ca="1" si="12"/>
        <v>-5.2903601150608784E-2</v>
      </c>
      <c r="Y161" s="202">
        <f t="shared" ca="1" si="12"/>
        <v>-7.5030510056456209E-2</v>
      </c>
      <c r="Z161" s="202">
        <f t="shared" ca="1" si="12"/>
        <v>-8.7380143634890828E-2</v>
      </c>
      <c r="AA161" s="202">
        <f t="shared" ca="1" si="12"/>
        <v>-8.052926983192947E-2</v>
      </c>
      <c r="AB161" s="202">
        <f t="shared" ca="1" si="12"/>
        <v>-8.1942198555143092E-2</v>
      </c>
      <c r="AC161" s="202">
        <f t="shared" ca="1" si="12"/>
        <v>-0.11262762009805494</v>
      </c>
    </row>
    <row r="162" spans="1:29" ht="14.25" customHeight="1">
      <c r="A162" s="199"/>
      <c r="B162" s="197">
        <v>40</v>
      </c>
      <c r="C162" s="198" t="s">
        <v>96</v>
      </c>
      <c r="D162" s="202">
        <f t="shared" ca="1" si="13"/>
        <v>-8.7676119146586434E-2</v>
      </c>
      <c r="E162" s="202">
        <f t="shared" ca="1" si="13"/>
        <v>-0.10309422525221158</v>
      </c>
      <c r="F162" s="202">
        <f t="shared" ca="1" si="13"/>
        <v>-9.2127536718955266E-2</v>
      </c>
      <c r="G162" s="202">
        <f t="shared" ca="1" si="13"/>
        <v>-0.12681605471427299</v>
      </c>
      <c r="H162" s="202">
        <f t="shared" ca="1" si="13"/>
        <v>-8.6860001114316646E-2</v>
      </c>
      <c r="I162" s="202">
        <f t="shared" ca="1" si="13"/>
        <v>-7.2285542332975794E-2</v>
      </c>
      <c r="J162" s="187"/>
      <c r="K162" s="199"/>
      <c r="L162" s="197">
        <v>40</v>
      </c>
      <c r="M162" s="198" t="s">
        <v>96</v>
      </c>
      <c r="N162" s="202">
        <f t="shared" ca="1" si="11"/>
        <v>-5.8002566482465066E-2</v>
      </c>
      <c r="O162" s="202">
        <f t="shared" ca="1" si="11"/>
        <v>-9.9643822566196069E-2</v>
      </c>
      <c r="P162" s="202">
        <f t="shared" ca="1" si="11"/>
        <v>-9.4457107653236685E-2</v>
      </c>
      <c r="Q162" s="202">
        <f t="shared" ca="1" si="11"/>
        <v>-0.12043694294243432</v>
      </c>
      <c r="R162" s="202">
        <f t="shared" ca="1" si="11"/>
        <v>-8.3661456449147575E-2</v>
      </c>
      <c r="S162" s="202">
        <f t="shared" ca="1" si="11"/>
        <v>-7.7072251457248345E-2</v>
      </c>
      <c r="T162" s="187"/>
      <c r="U162" s="199"/>
      <c r="V162" s="197">
        <v>40</v>
      </c>
      <c r="W162" s="198" t="s">
        <v>96</v>
      </c>
      <c r="X162" s="202">
        <f t="shared" ca="1" si="12"/>
        <v>-7.4315550953722012E-2</v>
      </c>
      <c r="Y162" s="202">
        <f t="shared" ca="1" si="12"/>
        <v>-0.1013361684957667</v>
      </c>
      <c r="Z162" s="202">
        <f t="shared" ca="1" si="12"/>
        <v>-9.3248649156396649E-2</v>
      </c>
      <c r="AA162" s="202">
        <f t="shared" ca="1" si="12"/>
        <v>-0.12351339352011891</v>
      </c>
      <c r="AB162" s="202">
        <f t="shared" ca="1" si="12"/>
        <v>-8.5250654027687819E-2</v>
      </c>
      <c r="AC162" s="202">
        <f t="shared" ca="1" si="12"/>
        <v>-7.4673412622439622E-2</v>
      </c>
    </row>
    <row r="163" spans="1:29" ht="14.25" customHeight="1">
      <c r="A163" s="199"/>
      <c r="B163" s="197">
        <v>41</v>
      </c>
      <c r="C163" s="198" t="s">
        <v>97</v>
      </c>
      <c r="D163" s="202">
        <f t="shared" ca="1" si="13"/>
        <v>-0.14493783146130843</v>
      </c>
      <c r="E163" s="202">
        <f t="shared" ca="1" si="13"/>
        <v>-0.14655345629617234</v>
      </c>
      <c r="F163" s="202">
        <f t="shared" ca="1" si="13"/>
        <v>-0.12683595991806113</v>
      </c>
      <c r="G163" s="202">
        <f t="shared" ca="1" si="13"/>
        <v>-0.1230550251643262</v>
      </c>
      <c r="H163" s="202">
        <f t="shared" ca="1" si="13"/>
        <v>-8.5011780459461839E-2</v>
      </c>
      <c r="I163" s="202">
        <f t="shared" ca="1" si="13"/>
        <v>-0.10100560368179132</v>
      </c>
      <c r="J163" s="187"/>
      <c r="K163" s="199"/>
      <c r="L163" s="197">
        <v>41</v>
      </c>
      <c r="M163" s="198" t="s">
        <v>97</v>
      </c>
      <c r="N163" s="202">
        <f t="shared" ref="N163:S172" ca="1" si="14">IF(AND(ISNUMBER($L163),ISNUMBER(N$5)),IF(N106=0,0,((N106/N$120)*(LN(N106/N$120)))),"")</f>
        <v>-0.14580564007607091</v>
      </c>
      <c r="O163" s="202">
        <f t="shared" ca="1" si="14"/>
        <v>-0.13806190289548795</v>
      </c>
      <c r="P163" s="202">
        <f t="shared" ca="1" si="14"/>
        <v>-0.13518422782338577</v>
      </c>
      <c r="Q163" s="202">
        <f t="shared" ca="1" si="14"/>
        <v>-0.1154908242201271</v>
      </c>
      <c r="R163" s="202">
        <f t="shared" ca="1" si="14"/>
        <v>-7.821074436297662E-2</v>
      </c>
      <c r="S163" s="202">
        <f t="shared" ca="1" si="14"/>
        <v>-0.10127574597211934</v>
      </c>
      <c r="T163" s="187"/>
      <c r="U163" s="199"/>
      <c r="V163" s="197">
        <v>41</v>
      </c>
      <c r="W163" s="198" t="s">
        <v>97</v>
      </c>
      <c r="X163" s="202">
        <f t="shared" ref="X163:AC172" ca="1" si="15">IF(AND(ISNUMBER($V163),ISNUMBER(X$5)),IF(X106=0,0,((X106/X$120)*(LN(X106/X$120)))),"")</f>
        <v>-0.14534845918179565</v>
      </c>
      <c r="Y163" s="202">
        <f t="shared" ca="1" si="15"/>
        <v>-0.14225249267743043</v>
      </c>
      <c r="Z163" s="202">
        <f t="shared" ca="1" si="15"/>
        <v>-0.13088429669495411</v>
      </c>
      <c r="AA163" s="202">
        <f t="shared" ca="1" si="15"/>
        <v>-0.11914477815219304</v>
      </c>
      <c r="AB163" s="202">
        <f t="shared" ca="1" si="15"/>
        <v>-8.1607860250951639E-2</v>
      </c>
      <c r="AC163" s="202">
        <f t="shared" ca="1" si="15"/>
        <v>-0.10113944191427081</v>
      </c>
    </row>
    <row r="164" spans="1:29" ht="14.25" customHeight="1">
      <c r="A164" s="199"/>
      <c r="B164" s="197">
        <v>42</v>
      </c>
      <c r="C164" s="198" t="s">
        <v>98</v>
      </c>
      <c r="D164" s="202">
        <f t="shared" ca="1" si="13"/>
        <v>-8.0119692165061027E-2</v>
      </c>
      <c r="E164" s="202">
        <f t="shared" ca="1" si="13"/>
        <v>-6.4624494533953095E-2</v>
      </c>
      <c r="F164" s="202">
        <f t="shared" ca="1" si="13"/>
        <v>-5.8447848840831984E-2</v>
      </c>
      <c r="G164" s="202">
        <f t="shared" ca="1" si="13"/>
        <v>-8.3592678180725744E-2</v>
      </c>
      <c r="H164" s="202">
        <f t="shared" ca="1" si="13"/>
        <v>-6.2468413863901839E-2</v>
      </c>
      <c r="I164" s="202">
        <f t="shared" ca="1" si="13"/>
        <v>-5.7344699698107973E-2</v>
      </c>
      <c r="J164" s="187"/>
      <c r="K164" s="199"/>
      <c r="L164" s="197">
        <v>42</v>
      </c>
      <c r="M164" s="198" t="s">
        <v>98</v>
      </c>
      <c r="N164" s="202">
        <f t="shared" ca="1" si="14"/>
        <v>-7.2623114517712001E-2</v>
      </c>
      <c r="O164" s="202">
        <f t="shared" ca="1" si="14"/>
        <v>-5.6235944566596384E-2</v>
      </c>
      <c r="P164" s="202">
        <f t="shared" ca="1" si="14"/>
        <v>-7.1082268017819819E-2</v>
      </c>
      <c r="Q164" s="202">
        <f t="shared" ca="1" si="14"/>
        <v>-8.6352497409434376E-2</v>
      </c>
      <c r="R164" s="202">
        <f t="shared" ca="1" si="14"/>
        <v>-6.1442102012043642E-2</v>
      </c>
      <c r="S164" s="202">
        <f t="shared" ca="1" si="14"/>
        <v>-5.3782904662423588E-2</v>
      </c>
      <c r="T164" s="187"/>
      <c r="U164" s="199"/>
      <c r="V164" s="197">
        <v>42</v>
      </c>
      <c r="W164" s="198" t="s">
        <v>98</v>
      </c>
      <c r="X164" s="202">
        <f t="shared" ca="1" si="15"/>
        <v>-7.6618224813192623E-2</v>
      </c>
      <c r="Y164" s="202">
        <f t="shared" ca="1" si="15"/>
        <v>-6.0389430444847132E-2</v>
      </c>
      <c r="Z164" s="202">
        <f t="shared" ca="1" si="15"/>
        <v>-6.4636157080132026E-2</v>
      </c>
      <c r="AA164" s="202">
        <f t="shared" ca="1" si="15"/>
        <v>-8.5038169896236471E-2</v>
      </c>
      <c r="AB164" s="202">
        <f t="shared" ca="1" si="15"/>
        <v>-6.1950552763997538E-2</v>
      </c>
      <c r="AC164" s="202">
        <f t="shared" ca="1" si="15"/>
        <v>-5.5591709163648223E-2</v>
      </c>
    </row>
    <row r="165" spans="1:29" ht="14.25" customHeight="1">
      <c r="A165" s="199"/>
      <c r="B165" s="197">
        <v>43</v>
      </c>
      <c r="C165" s="198" t="s">
        <v>99</v>
      </c>
      <c r="D165" s="202">
        <f t="shared" ca="1" si="13"/>
        <v>-9.277977486823473E-2</v>
      </c>
      <c r="E165" s="202">
        <f t="shared" ca="1" si="13"/>
        <v>-9.9048196637645025E-2</v>
      </c>
      <c r="F165" s="202">
        <f t="shared" ca="1" si="13"/>
        <v>-7.5571841493687827E-2</v>
      </c>
      <c r="G165" s="202">
        <f t="shared" ca="1" si="13"/>
        <v>-5.9978969495161578E-2</v>
      </c>
      <c r="H165" s="202">
        <f t="shared" ca="1" si="13"/>
        <v>-9.2673858669869255E-2</v>
      </c>
      <c r="I165" s="202">
        <f t="shared" ca="1" si="13"/>
        <v>-9.0173360309834902E-2</v>
      </c>
      <c r="J165" s="187"/>
      <c r="K165" s="199"/>
      <c r="L165" s="197">
        <v>43</v>
      </c>
      <c r="M165" s="198" t="s">
        <v>99</v>
      </c>
      <c r="N165" s="202">
        <f t="shared" ca="1" si="14"/>
        <v>-8.6873029909476526E-2</v>
      </c>
      <c r="O165" s="202">
        <f t="shared" ca="1" si="14"/>
        <v>-8.5869665897443492E-2</v>
      </c>
      <c r="P165" s="202">
        <f t="shared" ca="1" si="14"/>
        <v>-7.3174658191566377E-2</v>
      </c>
      <c r="Q165" s="202">
        <f t="shared" ca="1" si="14"/>
        <v>-5.6092083722238201E-2</v>
      </c>
      <c r="R165" s="202">
        <f t="shared" ca="1" si="14"/>
        <v>-9.8350112056196148E-2</v>
      </c>
      <c r="S165" s="202">
        <f t="shared" ca="1" si="14"/>
        <v>-9.1037859455174217E-2</v>
      </c>
      <c r="T165" s="187"/>
      <c r="U165" s="199"/>
      <c r="V165" s="197">
        <v>43</v>
      </c>
      <c r="W165" s="198" t="s">
        <v>99</v>
      </c>
      <c r="X165" s="202">
        <f t="shared" ca="1" si="15"/>
        <v>-9.0012307193697544E-2</v>
      </c>
      <c r="Y165" s="202">
        <f t="shared" ca="1" si="15"/>
        <v>-9.2422985611713762E-2</v>
      </c>
      <c r="Z165" s="202">
        <f t="shared" ca="1" si="15"/>
        <v>-7.4426351655956013E-2</v>
      </c>
      <c r="AA165" s="202">
        <f t="shared" ca="1" si="15"/>
        <v>-5.7963590892411584E-2</v>
      </c>
      <c r="AB165" s="202">
        <f t="shared" ca="1" si="15"/>
        <v>-9.5564798440062437E-2</v>
      </c>
      <c r="AC165" s="202">
        <f t="shared" ca="1" si="15"/>
        <v>-9.0602027761450293E-2</v>
      </c>
    </row>
    <row r="166" spans="1:29" ht="14.25" customHeight="1">
      <c r="A166" s="199"/>
      <c r="B166" s="197">
        <v>44</v>
      </c>
      <c r="C166" s="198" t="s">
        <v>100</v>
      </c>
      <c r="D166" s="202">
        <f t="shared" ca="1" si="13"/>
        <v>-7.3021671771987401E-2</v>
      </c>
      <c r="E166" s="202">
        <f t="shared" ca="1" si="13"/>
        <v>-9.2683384124817011E-2</v>
      </c>
      <c r="F166" s="202">
        <f t="shared" ca="1" si="13"/>
        <v>-7.632574004276968E-2</v>
      </c>
      <c r="G166" s="202">
        <f t="shared" ca="1" si="13"/>
        <v>-6.2051583899648634E-2</v>
      </c>
      <c r="H166" s="202">
        <f t="shared" ca="1" si="13"/>
        <v>-6.5482387702200023E-2</v>
      </c>
      <c r="I166" s="202">
        <f t="shared" ca="1" si="13"/>
        <v>-7.6831053131252464E-2</v>
      </c>
      <c r="J166" s="187"/>
      <c r="K166" s="199"/>
      <c r="L166" s="197">
        <v>44</v>
      </c>
      <c r="M166" s="198" t="s">
        <v>100</v>
      </c>
      <c r="N166" s="202">
        <f t="shared" ca="1" si="14"/>
        <v>-6.3826214861898906E-2</v>
      </c>
      <c r="O166" s="202">
        <f t="shared" ca="1" si="14"/>
        <v>-0.10682396021197599</v>
      </c>
      <c r="P166" s="202">
        <f t="shared" ca="1" si="14"/>
        <v>-7.4417432459686156E-2</v>
      </c>
      <c r="Q166" s="202">
        <f t="shared" ca="1" si="14"/>
        <v>-6.6702575634167885E-2</v>
      </c>
      <c r="R166" s="202">
        <f t="shared" ca="1" si="14"/>
        <v>-7.1878774530948278E-2</v>
      </c>
      <c r="S166" s="202">
        <f t="shared" ca="1" si="14"/>
        <v>-8.032096281144753E-2</v>
      </c>
      <c r="T166" s="187"/>
      <c r="U166" s="199"/>
      <c r="V166" s="197">
        <v>44</v>
      </c>
      <c r="W166" s="198" t="s">
        <v>100</v>
      </c>
      <c r="X166" s="202">
        <f t="shared" ca="1" si="15"/>
        <v>-6.874142715860547E-2</v>
      </c>
      <c r="Y166" s="202">
        <f t="shared" ca="1" si="15"/>
        <v>-0.10005555320854874</v>
      </c>
      <c r="Z166" s="202">
        <f t="shared" ca="1" si="15"/>
        <v>-7.541314149086871E-2</v>
      </c>
      <c r="AA166" s="202">
        <f t="shared" ca="1" si="15"/>
        <v>-6.4495849123844692E-2</v>
      </c>
      <c r="AB166" s="202">
        <f t="shared" ca="1" si="15"/>
        <v>-6.8747233145303344E-2</v>
      </c>
      <c r="AC166" s="202">
        <f t="shared" ca="1" si="15"/>
        <v>-7.8568408447602392E-2</v>
      </c>
    </row>
    <row r="167" spans="1:29" ht="14.25" customHeight="1">
      <c r="A167" s="199"/>
      <c r="B167" s="197">
        <v>45</v>
      </c>
      <c r="C167" s="198" t="s">
        <v>101</v>
      </c>
      <c r="D167" s="202">
        <f t="shared" ca="1" si="13"/>
        <v>-0.10695613872047695</v>
      </c>
      <c r="E167" s="202">
        <f t="shared" ca="1" si="13"/>
        <v>-0.11138533455945918</v>
      </c>
      <c r="F167" s="202">
        <f t="shared" ca="1" si="13"/>
        <v>-0.10215387092641427</v>
      </c>
      <c r="G167" s="202">
        <f t="shared" ca="1" si="13"/>
        <v>-9.5121387122481929E-2</v>
      </c>
      <c r="H167" s="202">
        <f t="shared" ca="1" si="13"/>
        <v>-0.10978129330490577</v>
      </c>
      <c r="I167" s="202">
        <f t="shared" ca="1" si="13"/>
        <v>-8.0298554206456929E-2</v>
      </c>
      <c r="J167" s="187"/>
      <c r="K167" s="199"/>
      <c r="L167" s="197">
        <v>45</v>
      </c>
      <c r="M167" s="198" t="s">
        <v>101</v>
      </c>
      <c r="N167" s="202">
        <f t="shared" ca="1" si="14"/>
        <v>-0.10311510550041128</v>
      </c>
      <c r="O167" s="202">
        <f t="shared" ca="1" si="14"/>
        <v>-0.10901278178291168</v>
      </c>
      <c r="P167" s="202">
        <f t="shared" ca="1" si="14"/>
        <v>-8.7900690159424893E-2</v>
      </c>
      <c r="Q167" s="202">
        <f t="shared" ca="1" si="14"/>
        <v>-8.9259294747128001E-2</v>
      </c>
      <c r="R167" s="202">
        <f t="shared" ca="1" si="14"/>
        <v>-0.10810043226623102</v>
      </c>
      <c r="S167" s="202">
        <f t="shared" ca="1" si="14"/>
        <v>-8.0040911927704739E-2</v>
      </c>
      <c r="T167" s="187"/>
      <c r="U167" s="199"/>
      <c r="V167" s="197">
        <v>45</v>
      </c>
      <c r="W167" s="198" t="s">
        <v>101</v>
      </c>
      <c r="X167" s="202">
        <f t="shared" ca="1" si="15"/>
        <v>-0.105150488877959</v>
      </c>
      <c r="Y167" s="202">
        <f t="shared" ca="1" si="15"/>
        <v>-0.11017466509149339</v>
      </c>
      <c r="Z167" s="202">
        <f t="shared" ca="1" si="15"/>
        <v>-9.5455943234793603E-2</v>
      </c>
      <c r="AA167" s="202">
        <f t="shared" ca="1" si="15"/>
        <v>-9.208628290233703E-2</v>
      </c>
      <c r="AB167" s="202">
        <f t="shared" ca="1" si="15"/>
        <v>-0.10893359693510099</v>
      </c>
      <c r="AC167" s="202">
        <f t="shared" ca="1" si="15"/>
        <v>-8.0171004046738908E-2</v>
      </c>
    </row>
    <row r="168" spans="1:29" ht="14.25" customHeight="1">
      <c r="A168" s="199"/>
      <c r="B168" s="197">
        <v>46</v>
      </c>
      <c r="C168" s="198" t="s">
        <v>102</v>
      </c>
      <c r="D168" s="202">
        <f t="shared" ca="1" si="13"/>
        <v>-7.4625221543170306E-2</v>
      </c>
      <c r="E168" s="202">
        <f t="shared" ca="1" si="13"/>
        <v>-7.0682543100594714E-2</v>
      </c>
      <c r="F168" s="202">
        <f t="shared" ca="1" si="13"/>
        <v>-8.1328502546329826E-2</v>
      </c>
      <c r="G168" s="202">
        <f t="shared" ca="1" si="13"/>
        <v>-9.6470021073952972E-2</v>
      </c>
      <c r="H168" s="202">
        <f t="shared" ca="1" si="13"/>
        <v>-6.829284425682848E-2</v>
      </c>
      <c r="I168" s="202">
        <f t="shared" ca="1" si="13"/>
        <v>-8.4369127930024976E-2</v>
      </c>
      <c r="J168" s="187"/>
      <c r="K168" s="199"/>
      <c r="L168" s="197">
        <v>46</v>
      </c>
      <c r="M168" s="198" t="s">
        <v>102</v>
      </c>
      <c r="N168" s="202">
        <f t="shared" ca="1" si="14"/>
        <v>-4.006559160219559E-2</v>
      </c>
      <c r="O168" s="202">
        <f t="shared" ca="1" si="14"/>
        <v>-6.9567584965916293E-2</v>
      </c>
      <c r="P168" s="202">
        <f t="shared" ca="1" si="14"/>
        <v>-8.9987166422190096E-2</v>
      </c>
      <c r="Q168" s="202">
        <f t="shared" ca="1" si="14"/>
        <v>-9.1487852877976034E-2</v>
      </c>
      <c r="R168" s="202">
        <f t="shared" ca="1" si="14"/>
        <v>-6.6020681488545299E-2</v>
      </c>
      <c r="S168" s="202">
        <f t="shared" ca="1" si="14"/>
        <v>-8.1575571059871316E-2</v>
      </c>
      <c r="T168" s="187"/>
      <c r="U168" s="199"/>
      <c r="V168" s="197">
        <v>46</v>
      </c>
      <c r="W168" s="198" t="s">
        <v>102</v>
      </c>
      <c r="X168" s="202">
        <f t="shared" ca="1" si="15"/>
        <v>-5.9301472243895176E-2</v>
      </c>
      <c r="Y168" s="202">
        <f t="shared" ca="1" si="15"/>
        <v>-7.0112830022985337E-2</v>
      </c>
      <c r="Z168" s="202">
        <f t="shared" ca="1" si="15"/>
        <v>-8.5534872318807381E-2</v>
      </c>
      <c r="AA168" s="202">
        <f t="shared" ca="1" si="15"/>
        <v>-9.3887354559683014E-2</v>
      </c>
      <c r="AB168" s="202">
        <f t="shared" ca="1" si="15"/>
        <v>-6.7148506707058991E-2</v>
      </c>
      <c r="AC168" s="202">
        <f t="shared" ca="1" si="15"/>
        <v>-8.2991219638515037E-2</v>
      </c>
    </row>
    <row r="169" spans="1:29" ht="14.25" customHeight="1">
      <c r="A169" s="199"/>
      <c r="B169" s="197">
        <v>47</v>
      </c>
      <c r="C169" s="198" t="s">
        <v>103</v>
      </c>
      <c r="D169" s="202">
        <f t="shared" ca="1" si="13"/>
        <v>-0.10189417763200516</v>
      </c>
      <c r="E169" s="202">
        <f t="shared" ca="1" si="13"/>
        <v>-0.12318627582584442</v>
      </c>
      <c r="F169" s="202">
        <f t="shared" ca="1" si="13"/>
        <v>-8.8308283459249209E-2</v>
      </c>
      <c r="G169" s="202">
        <f t="shared" ca="1" si="13"/>
        <v>-7.3558340267355943E-2</v>
      </c>
      <c r="H169" s="202">
        <f t="shared" ca="1" si="13"/>
        <v>-7.8245980964775003E-2</v>
      </c>
      <c r="I169" s="202">
        <f t="shared" ca="1" si="13"/>
        <v>-8.2345800191123655E-2</v>
      </c>
      <c r="J169" s="187"/>
      <c r="K169" s="199"/>
      <c r="L169" s="197">
        <v>47</v>
      </c>
      <c r="M169" s="198" t="s">
        <v>103</v>
      </c>
      <c r="N169" s="202">
        <f t="shared" ca="1" si="14"/>
        <v>-9.772946482352364E-2</v>
      </c>
      <c r="O169" s="202">
        <f t="shared" ca="1" si="14"/>
        <v>-0.11918424297931385</v>
      </c>
      <c r="P169" s="202">
        <f t="shared" ca="1" si="14"/>
        <v>-8.3261147585964562E-2</v>
      </c>
      <c r="Q169" s="202">
        <f t="shared" ca="1" si="14"/>
        <v>-7.7330250352091748E-2</v>
      </c>
      <c r="R169" s="202">
        <f t="shared" ca="1" si="14"/>
        <v>-7.766954718109946E-2</v>
      </c>
      <c r="S169" s="202">
        <f t="shared" ca="1" si="14"/>
        <v>-8.3509249670764063E-2</v>
      </c>
      <c r="T169" s="187"/>
      <c r="U169" s="199"/>
      <c r="V169" s="197">
        <v>47</v>
      </c>
      <c r="W169" s="198" t="s">
        <v>103</v>
      </c>
      <c r="X169" s="202">
        <f t="shared" ca="1" si="15"/>
        <v>-9.9937433861870845E-2</v>
      </c>
      <c r="Y169" s="202">
        <f t="shared" ca="1" si="15"/>
        <v>-0.12114816255172367</v>
      </c>
      <c r="Z169" s="202">
        <f t="shared" ca="1" si="15"/>
        <v>-8.5905474180526367E-2</v>
      </c>
      <c r="AA169" s="202">
        <f t="shared" ca="1" si="15"/>
        <v>-7.5537149077964133E-2</v>
      </c>
      <c r="AB169" s="202">
        <f t="shared" ca="1" si="15"/>
        <v>-7.7954881156867314E-2</v>
      </c>
      <c r="AC169" s="202">
        <f t="shared" ca="1" si="15"/>
        <v>-8.2922978297358022E-2</v>
      </c>
    </row>
    <row r="170" spans="1:29" ht="14.25" hidden="1" customHeight="1">
      <c r="A170" s="199"/>
      <c r="B170" s="206"/>
      <c r="C170" s="207"/>
      <c r="D170" s="202" t="str">
        <f t="shared" si="13"/>
        <v/>
      </c>
      <c r="E170" s="202" t="str">
        <f t="shared" si="13"/>
        <v/>
      </c>
      <c r="F170" s="202" t="str">
        <f t="shared" si="13"/>
        <v/>
      </c>
      <c r="G170" s="202" t="str">
        <f t="shared" si="13"/>
        <v/>
      </c>
      <c r="H170" s="202" t="str">
        <f t="shared" si="13"/>
        <v/>
      </c>
      <c r="I170" s="202" t="str">
        <f t="shared" si="13"/>
        <v/>
      </c>
      <c r="J170" s="187"/>
      <c r="K170" s="199"/>
      <c r="L170" s="206"/>
      <c r="M170" s="207"/>
      <c r="N170" s="202" t="str">
        <f t="shared" si="14"/>
        <v/>
      </c>
      <c r="O170" s="202" t="str">
        <f t="shared" si="14"/>
        <v/>
      </c>
      <c r="P170" s="202" t="str">
        <f t="shared" si="14"/>
        <v/>
      </c>
      <c r="Q170" s="202" t="str">
        <f t="shared" si="14"/>
        <v/>
      </c>
      <c r="R170" s="202" t="str">
        <f t="shared" si="14"/>
        <v/>
      </c>
      <c r="S170" s="202" t="str">
        <f t="shared" si="14"/>
        <v/>
      </c>
      <c r="T170" s="187"/>
      <c r="U170" s="199"/>
      <c r="V170" s="206"/>
      <c r="W170" s="207"/>
      <c r="X170" s="202" t="str">
        <f t="shared" si="15"/>
        <v/>
      </c>
      <c r="Y170" s="202" t="str">
        <f t="shared" si="15"/>
        <v/>
      </c>
      <c r="Z170" s="202" t="str">
        <f t="shared" si="15"/>
        <v/>
      </c>
      <c r="AA170" s="202" t="str">
        <f t="shared" si="15"/>
        <v/>
      </c>
      <c r="AB170" s="202" t="str">
        <f t="shared" si="15"/>
        <v/>
      </c>
      <c r="AC170" s="202" t="str">
        <f t="shared" si="15"/>
        <v/>
      </c>
    </row>
    <row r="171" spans="1:29" ht="14.25" hidden="1" customHeight="1">
      <c r="A171" s="199"/>
      <c r="B171" s="206"/>
      <c r="C171" s="207"/>
      <c r="D171" s="202" t="str">
        <f t="shared" ref="D171:I176" si="16">IF(AND(ISNUMBER($B171),ISNUMBER(D$5)),IF(D114=0,0,((D114/D$120)*(LN(D114/D$120)))),"")</f>
        <v/>
      </c>
      <c r="E171" s="202" t="str">
        <f t="shared" si="16"/>
        <v/>
      </c>
      <c r="F171" s="202" t="str">
        <f t="shared" si="16"/>
        <v/>
      </c>
      <c r="G171" s="202" t="str">
        <f t="shared" si="16"/>
        <v/>
      </c>
      <c r="H171" s="202" t="str">
        <f t="shared" si="16"/>
        <v/>
      </c>
      <c r="I171" s="202" t="str">
        <f t="shared" si="16"/>
        <v/>
      </c>
      <c r="J171" s="187"/>
      <c r="K171" s="199"/>
      <c r="L171" s="206"/>
      <c r="M171" s="207"/>
      <c r="N171" s="202" t="str">
        <f t="shared" si="14"/>
        <v/>
      </c>
      <c r="O171" s="202" t="str">
        <f t="shared" si="14"/>
        <v/>
      </c>
      <c r="P171" s="202" t="str">
        <f t="shared" si="14"/>
        <v/>
      </c>
      <c r="Q171" s="202" t="str">
        <f t="shared" si="14"/>
        <v/>
      </c>
      <c r="R171" s="202" t="str">
        <f t="shared" si="14"/>
        <v/>
      </c>
      <c r="S171" s="202" t="str">
        <f t="shared" si="14"/>
        <v/>
      </c>
      <c r="T171" s="187"/>
      <c r="U171" s="199"/>
      <c r="V171" s="206"/>
      <c r="W171" s="207"/>
      <c r="X171" s="202" t="str">
        <f t="shared" si="15"/>
        <v/>
      </c>
      <c r="Y171" s="202" t="str">
        <f t="shared" si="15"/>
        <v/>
      </c>
      <c r="Z171" s="202" t="str">
        <f t="shared" si="15"/>
        <v/>
      </c>
      <c r="AA171" s="202" t="str">
        <f t="shared" si="15"/>
        <v/>
      </c>
      <c r="AB171" s="202" t="str">
        <f t="shared" si="15"/>
        <v/>
      </c>
      <c r="AC171" s="202" t="str">
        <f t="shared" si="15"/>
        <v/>
      </c>
    </row>
    <row r="172" spans="1:29" ht="14.25" hidden="1" customHeight="1">
      <c r="A172" s="199"/>
      <c r="B172" s="206"/>
      <c r="C172" s="207"/>
      <c r="D172" s="202" t="str">
        <f t="shared" si="16"/>
        <v/>
      </c>
      <c r="E172" s="202" t="str">
        <f t="shared" si="16"/>
        <v/>
      </c>
      <c r="F172" s="202" t="str">
        <f t="shared" si="16"/>
        <v/>
      </c>
      <c r="G172" s="202" t="str">
        <f t="shared" si="16"/>
        <v/>
      </c>
      <c r="H172" s="202" t="str">
        <f t="shared" si="16"/>
        <v/>
      </c>
      <c r="I172" s="202" t="str">
        <f t="shared" si="16"/>
        <v/>
      </c>
      <c r="J172" s="187"/>
      <c r="K172" s="199"/>
      <c r="L172" s="206"/>
      <c r="M172" s="207"/>
      <c r="N172" s="202" t="str">
        <f t="shared" si="14"/>
        <v/>
      </c>
      <c r="O172" s="202" t="str">
        <f t="shared" si="14"/>
        <v/>
      </c>
      <c r="P172" s="202" t="str">
        <f t="shared" si="14"/>
        <v/>
      </c>
      <c r="Q172" s="202" t="str">
        <f t="shared" si="14"/>
        <v/>
      </c>
      <c r="R172" s="202" t="str">
        <f t="shared" si="14"/>
        <v/>
      </c>
      <c r="S172" s="202" t="str">
        <f t="shared" si="14"/>
        <v/>
      </c>
      <c r="T172" s="187"/>
      <c r="U172" s="199"/>
      <c r="V172" s="206"/>
      <c r="W172" s="207"/>
      <c r="X172" s="202" t="str">
        <f t="shared" si="15"/>
        <v/>
      </c>
      <c r="Y172" s="202" t="str">
        <f t="shared" si="15"/>
        <v/>
      </c>
      <c r="Z172" s="202" t="str">
        <f t="shared" si="15"/>
        <v/>
      </c>
      <c r="AA172" s="202" t="str">
        <f t="shared" si="15"/>
        <v/>
      </c>
      <c r="AB172" s="202" t="str">
        <f t="shared" si="15"/>
        <v/>
      </c>
      <c r="AC172" s="202" t="str">
        <f t="shared" si="15"/>
        <v/>
      </c>
    </row>
    <row r="173" spans="1:29" ht="14.25" hidden="1" customHeight="1">
      <c r="A173" s="199"/>
      <c r="B173" s="206"/>
      <c r="C173" s="207"/>
      <c r="D173" s="202" t="str">
        <f t="shared" si="16"/>
        <v/>
      </c>
      <c r="E173" s="202" t="str">
        <f t="shared" si="16"/>
        <v/>
      </c>
      <c r="F173" s="202" t="str">
        <f t="shared" si="16"/>
        <v/>
      </c>
      <c r="G173" s="202" t="str">
        <f t="shared" si="16"/>
        <v/>
      </c>
      <c r="H173" s="202" t="str">
        <f t="shared" si="16"/>
        <v/>
      </c>
      <c r="I173" s="202" t="str">
        <f t="shared" si="16"/>
        <v/>
      </c>
      <c r="J173" s="187"/>
      <c r="K173" s="199"/>
      <c r="L173" s="206"/>
      <c r="M173" s="207"/>
      <c r="N173" s="202" t="str">
        <f t="shared" ref="N173:S176" si="17">IF(AND(ISNUMBER($L173),ISNUMBER(N$5)),IF(N116=0,0,((N116/N$120)*(LN(N116/N$120)))),"")</f>
        <v/>
      </c>
      <c r="O173" s="202" t="str">
        <f t="shared" si="17"/>
        <v/>
      </c>
      <c r="P173" s="202" t="str">
        <f t="shared" si="17"/>
        <v/>
      </c>
      <c r="Q173" s="202" t="str">
        <f t="shared" si="17"/>
        <v/>
      </c>
      <c r="R173" s="202" t="str">
        <f t="shared" si="17"/>
        <v/>
      </c>
      <c r="S173" s="202" t="str">
        <f t="shared" si="17"/>
        <v/>
      </c>
      <c r="T173" s="187"/>
      <c r="U173" s="199"/>
      <c r="V173" s="206"/>
      <c r="W173" s="207"/>
      <c r="X173" s="202" t="str">
        <f t="shared" ref="X173:AC176" si="18">IF(AND(ISNUMBER($V173),ISNUMBER(X$5)),IF(X116=0,0,((X116/X$120)*(LN(X116/X$120)))),"")</f>
        <v/>
      </c>
      <c r="Y173" s="202" t="str">
        <f t="shared" si="18"/>
        <v/>
      </c>
      <c r="Z173" s="202" t="str">
        <f t="shared" si="18"/>
        <v/>
      </c>
      <c r="AA173" s="202" t="str">
        <f t="shared" si="18"/>
        <v/>
      </c>
      <c r="AB173" s="202" t="str">
        <f t="shared" si="18"/>
        <v/>
      </c>
      <c r="AC173" s="202" t="str">
        <f t="shared" si="18"/>
        <v/>
      </c>
    </row>
    <row r="174" spans="1:29" ht="14.25" hidden="1" customHeight="1">
      <c r="A174" s="199"/>
      <c r="B174" s="206"/>
      <c r="C174" s="207"/>
      <c r="D174" s="202" t="str">
        <f t="shared" si="16"/>
        <v/>
      </c>
      <c r="E174" s="202" t="str">
        <f t="shared" si="16"/>
        <v/>
      </c>
      <c r="F174" s="202" t="str">
        <f t="shared" si="16"/>
        <v/>
      </c>
      <c r="G174" s="202" t="str">
        <f t="shared" si="16"/>
        <v/>
      </c>
      <c r="H174" s="202" t="str">
        <f t="shared" si="16"/>
        <v/>
      </c>
      <c r="I174" s="202" t="str">
        <f t="shared" si="16"/>
        <v/>
      </c>
      <c r="J174" s="187"/>
      <c r="K174" s="199"/>
      <c r="L174" s="206"/>
      <c r="M174" s="207"/>
      <c r="N174" s="202" t="str">
        <f t="shared" si="17"/>
        <v/>
      </c>
      <c r="O174" s="202" t="str">
        <f t="shared" si="17"/>
        <v/>
      </c>
      <c r="P174" s="202" t="str">
        <f t="shared" si="17"/>
        <v/>
      </c>
      <c r="Q174" s="202" t="str">
        <f t="shared" si="17"/>
        <v/>
      </c>
      <c r="R174" s="202" t="str">
        <f t="shared" si="17"/>
        <v/>
      </c>
      <c r="S174" s="202" t="str">
        <f t="shared" si="17"/>
        <v/>
      </c>
      <c r="T174" s="187"/>
      <c r="U174" s="199"/>
      <c r="V174" s="206"/>
      <c r="W174" s="207"/>
      <c r="X174" s="202" t="str">
        <f t="shared" si="18"/>
        <v/>
      </c>
      <c r="Y174" s="202" t="str">
        <f t="shared" si="18"/>
        <v/>
      </c>
      <c r="Z174" s="202" t="str">
        <f t="shared" si="18"/>
        <v/>
      </c>
      <c r="AA174" s="202" t="str">
        <f t="shared" si="18"/>
        <v/>
      </c>
      <c r="AB174" s="202" t="str">
        <f t="shared" si="18"/>
        <v/>
      </c>
      <c r="AC174" s="202" t="str">
        <f t="shared" si="18"/>
        <v/>
      </c>
    </row>
    <row r="175" spans="1:29" ht="14.25" hidden="1" customHeight="1">
      <c r="A175" s="199"/>
      <c r="B175" s="206"/>
      <c r="C175" s="207"/>
      <c r="D175" s="202" t="str">
        <f t="shared" si="16"/>
        <v/>
      </c>
      <c r="E175" s="202" t="str">
        <f t="shared" si="16"/>
        <v/>
      </c>
      <c r="F175" s="202" t="str">
        <f t="shared" si="16"/>
        <v/>
      </c>
      <c r="G175" s="202" t="str">
        <f t="shared" si="16"/>
        <v/>
      </c>
      <c r="H175" s="202" t="str">
        <f t="shared" si="16"/>
        <v/>
      </c>
      <c r="I175" s="202" t="str">
        <f t="shared" si="16"/>
        <v/>
      </c>
      <c r="J175" s="187"/>
      <c r="K175" s="199"/>
      <c r="L175" s="206"/>
      <c r="M175" s="207"/>
      <c r="N175" s="202" t="str">
        <f t="shared" si="17"/>
        <v/>
      </c>
      <c r="O175" s="202" t="str">
        <f t="shared" si="17"/>
        <v/>
      </c>
      <c r="P175" s="202" t="str">
        <f t="shared" si="17"/>
        <v/>
      </c>
      <c r="Q175" s="202" t="str">
        <f t="shared" si="17"/>
        <v/>
      </c>
      <c r="R175" s="202" t="str">
        <f t="shared" si="17"/>
        <v/>
      </c>
      <c r="S175" s="202" t="str">
        <f t="shared" si="17"/>
        <v/>
      </c>
      <c r="T175" s="187"/>
      <c r="U175" s="199"/>
      <c r="V175" s="206"/>
      <c r="W175" s="207"/>
      <c r="X175" s="202" t="str">
        <f t="shared" si="18"/>
        <v/>
      </c>
      <c r="Y175" s="202" t="str">
        <f t="shared" si="18"/>
        <v/>
      </c>
      <c r="Z175" s="202" t="str">
        <f t="shared" si="18"/>
        <v/>
      </c>
      <c r="AA175" s="202" t="str">
        <f t="shared" si="18"/>
        <v/>
      </c>
      <c r="AB175" s="202" t="str">
        <f t="shared" si="18"/>
        <v/>
      </c>
      <c r="AC175" s="202" t="str">
        <f t="shared" si="18"/>
        <v/>
      </c>
    </row>
    <row r="176" spans="1:29" ht="14.25" hidden="1" customHeight="1">
      <c r="A176" s="199"/>
      <c r="B176" s="206"/>
      <c r="C176" s="207"/>
      <c r="D176" s="202" t="str">
        <f t="shared" si="16"/>
        <v/>
      </c>
      <c r="E176" s="202" t="str">
        <f t="shared" si="16"/>
        <v/>
      </c>
      <c r="F176" s="202" t="str">
        <f t="shared" si="16"/>
        <v/>
      </c>
      <c r="G176" s="202" t="str">
        <f t="shared" si="16"/>
        <v/>
      </c>
      <c r="H176" s="202" t="str">
        <f t="shared" si="16"/>
        <v/>
      </c>
      <c r="I176" s="202" t="str">
        <f t="shared" si="16"/>
        <v/>
      </c>
      <c r="J176" s="187"/>
      <c r="K176" s="199"/>
      <c r="L176" s="206"/>
      <c r="M176" s="207"/>
      <c r="N176" s="202" t="str">
        <f t="shared" si="17"/>
        <v/>
      </c>
      <c r="O176" s="202" t="str">
        <f t="shared" si="17"/>
        <v/>
      </c>
      <c r="P176" s="202" t="str">
        <f t="shared" si="17"/>
        <v/>
      </c>
      <c r="Q176" s="202" t="str">
        <f t="shared" si="17"/>
        <v/>
      </c>
      <c r="R176" s="202" t="str">
        <f t="shared" si="17"/>
        <v/>
      </c>
      <c r="S176" s="202" t="str">
        <f t="shared" si="17"/>
        <v/>
      </c>
      <c r="T176" s="187"/>
      <c r="U176" s="199"/>
      <c r="V176" s="206"/>
      <c r="W176" s="207"/>
      <c r="X176" s="202" t="str">
        <f t="shared" si="18"/>
        <v/>
      </c>
      <c r="Y176" s="202" t="str">
        <f t="shared" si="18"/>
        <v/>
      </c>
      <c r="Z176" s="202" t="str">
        <f t="shared" si="18"/>
        <v/>
      </c>
      <c r="AA176" s="202" t="str">
        <f t="shared" si="18"/>
        <v/>
      </c>
      <c r="AB176" s="202" t="str">
        <f t="shared" si="18"/>
        <v/>
      </c>
      <c r="AC176" s="202" t="str">
        <f t="shared" si="18"/>
        <v/>
      </c>
    </row>
    <row r="177" spans="1:29" ht="14.25" customHeight="1">
      <c r="A177" s="208"/>
      <c r="B177" s="307" t="s">
        <v>145</v>
      </c>
      <c r="C177" s="307"/>
      <c r="D177" s="202">
        <f ca="1">SUM(D123:D169)</f>
        <v>-3.7086566414855597</v>
      </c>
      <c r="E177" s="202">
        <f t="shared" ref="E177:I177" ca="1" si="19">SUM(E123:E169)</f>
        <v>-3.7103197324275001</v>
      </c>
      <c r="F177" s="202">
        <f t="shared" ca="1" si="19"/>
        <v>-3.8243285927788202</v>
      </c>
      <c r="G177" s="202">
        <f t="shared" ca="1" si="19"/>
        <v>-3.7761772668284572</v>
      </c>
      <c r="H177" s="202">
        <f t="shared" ca="1" si="19"/>
        <v>-3.8255978287945664</v>
      </c>
      <c r="I177" s="202">
        <f t="shared" ca="1" si="19"/>
        <v>-3.8267486284760013</v>
      </c>
      <c r="J177" s="187"/>
      <c r="K177" s="208"/>
      <c r="L177" s="307" t="s">
        <v>145</v>
      </c>
      <c r="M177" s="307"/>
      <c r="N177" s="202">
        <f ca="1">SUM(N123:N169)</f>
        <v>-3.7051691395180142</v>
      </c>
      <c r="O177" s="202">
        <f t="shared" ref="O177:S177" ca="1" si="20">SUM(O123:O169)</f>
        <v>-3.7292853376364166</v>
      </c>
      <c r="P177" s="202">
        <f t="shared" ca="1" si="20"/>
        <v>-3.8207065732334331</v>
      </c>
      <c r="Q177" s="202">
        <f t="shared" ca="1" si="20"/>
        <v>-3.7807036705008326</v>
      </c>
      <c r="R177" s="202">
        <f t="shared" ca="1" si="20"/>
        <v>-3.829116767024721</v>
      </c>
      <c r="S177" s="202">
        <f t="shared" ca="1" si="20"/>
        <v>-3.8244278785261612</v>
      </c>
      <c r="T177" s="187"/>
      <c r="U177" s="208"/>
      <c r="V177" s="307" t="s">
        <v>145</v>
      </c>
      <c r="W177" s="307"/>
      <c r="X177" s="202">
        <f ca="1">SUM(X123:X169)</f>
        <v>-3.7225256905062101</v>
      </c>
      <c r="Y177" s="202">
        <f t="shared" ref="Y177:AC177" ca="1" si="21">SUM(Y123:Y169)</f>
        <v>-3.7238939893317218</v>
      </c>
      <c r="Z177" s="202">
        <f t="shared" ca="1" si="21"/>
        <v>-3.8263943774862201</v>
      </c>
      <c r="AA177" s="202">
        <f t="shared" ca="1" si="21"/>
        <v>-3.7814711901253268</v>
      </c>
      <c r="AB177" s="202">
        <f t="shared" ca="1" si="21"/>
        <v>-3.8281567784858956</v>
      </c>
      <c r="AC177" s="202">
        <f t="shared" ca="1" si="21"/>
        <v>-3.8261253651120053</v>
      </c>
    </row>
    <row r="178" spans="1:29" ht="14.25" hidden="1" customHeight="1">
      <c r="A178" s="209"/>
      <c r="B178" s="187"/>
      <c r="C178" s="187"/>
      <c r="D178" s="187"/>
      <c r="E178" s="187"/>
      <c r="F178" s="187"/>
      <c r="G178" s="187"/>
      <c r="H178" s="187"/>
      <c r="I178" s="187"/>
      <c r="J178" s="187"/>
      <c r="K178" s="209"/>
      <c r="L178" s="187"/>
      <c r="M178" s="187"/>
      <c r="N178" s="187"/>
      <c r="O178" s="187"/>
      <c r="P178" s="187"/>
      <c r="Q178" s="187"/>
      <c r="R178" s="187"/>
      <c r="S178" s="187"/>
      <c r="T178" s="187"/>
      <c r="U178" s="209"/>
      <c r="V178" s="187"/>
      <c r="W178" s="187"/>
      <c r="X178" s="187"/>
      <c r="Y178" s="187"/>
      <c r="Z178" s="187"/>
      <c r="AA178" s="187"/>
      <c r="AB178" s="187"/>
      <c r="AC178" s="187"/>
    </row>
    <row r="179" spans="1:29" ht="14.25" hidden="1" customHeight="1">
      <c r="A179" s="206"/>
      <c r="B179" s="187"/>
      <c r="C179" s="187"/>
      <c r="D179" s="187"/>
      <c r="E179" s="187"/>
      <c r="F179" s="187"/>
      <c r="G179" s="187"/>
      <c r="H179" s="187"/>
      <c r="I179" s="187"/>
      <c r="J179" s="187"/>
      <c r="K179" s="206"/>
      <c r="L179" s="187"/>
      <c r="M179" s="187"/>
      <c r="N179" s="187"/>
      <c r="O179" s="187"/>
      <c r="P179" s="187"/>
      <c r="Q179" s="187"/>
      <c r="R179" s="187"/>
      <c r="S179" s="187"/>
      <c r="T179" s="187"/>
      <c r="U179" s="206"/>
      <c r="V179" s="187"/>
      <c r="W179" s="187"/>
      <c r="X179" s="187"/>
      <c r="Y179" s="187"/>
      <c r="Z179" s="187"/>
      <c r="AA179" s="187"/>
      <c r="AB179" s="187"/>
      <c r="AC179" s="187"/>
    </row>
    <row r="180" spans="1:29" ht="14.25" hidden="1" customHeight="1">
      <c r="A180" s="206"/>
      <c r="B180" s="187"/>
      <c r="C180" s="187"/>
      <c r="D180" s="187"/>
      <c r="E180" s="187"/>
      <c r="F180" s="187"/>
      <c r="G180" s="187"/>
      <c r="H180" s="187"/>
      <c r="I180" s="187"/>
      <c r="J180" s="187"/>
      <c r="K180" s="206"/>
      <c r="L180" s="187"/>
      <c r="M180" s="187"/>
      <c r="N180" s="187"/>
      <c r="O180" s="187"/>
      <c r="P180" s="187"/>
      <c r="Q180" s="187"/>
      <c r="R180" s="187"/>
      <c r="S180" s="187"/>
      <c r="T180" s="187"/>
      <c r="U180" s="206"/>
      <c r="V180" s="187"/>
      <c r="W180" s="187"/>
      <c r="X180" s="187"/>
      <c r="Y180" s="187"/>
      <c r="Z180" s="187"/>
      <c r="AA180" s="187"/>
      <c r="AB180" s="187"/>
      <c r="AC180" s="187"/>
    </row>
    <row r="181" spans="1:29" ht="14.25" hidden="1" customHeight="1" thickBot="1">
      <c r="A181" s="210"/>
      <c r="B181" s="187"/>
      <c r="C181" s="187"/>
      <c r="D181" s="187"/>
      <c r="E181" s="187"/>
      <c r="F181" s="187"/>
      <c r="G181" s="187"/>
      <c r="H181" s="187"/>
      <c r="I181" s="187"/>
      <c r="J181" s="187"/>
      <c r="K181" s="210"/>
      <c r="L181" s="187"/>
      <c r="M181" s="187"/>
      <c r="N181" s="187"/>
      <c r="O181" s="187"/>
      <c r="P181" s="187"/>
      <c r="Q181" s="187"/>
      <c r="R181" s="187"/>
      <c r="S181" s="187"/>
      <c r="T181" s="187"/>
      <c r="U181" s="210"/>
      <c r="V181" s="187"/>
      <c r="W181" s="187"/>
      <c r="X181" s="187"/>
      <c r="Y181" s="187"/>
      <c r="Z181" s="187"/>
      <c r="AA181" s="187"/>
      <c r="AB181" s="187"/>
      <c r="AC181" s="187"/>
    </row>
    <row r="182" spans="1:29" ht="14.25" hidden="1" customHeight="1">
      <c r="A182" s="187"/>
      <c r="B182" s="187"/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187"/>
      <c r="AA182" s="187"/>
      <c r="AB182" s="187"/>
      <c r="AC182" s="187"/>
    </row>
    <row r="183" spans="1:29" ht="14.25" hidden="1" customHeight="1">
      <c r="A183" s="187"/>
      <c r="B183" s="187"/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187"/>
      <c r="AA183" s="187"/>
      <c r="AB183" s="187"/>
      <c r="AC183" s="187"/>
    </row>
    <row r="184" spans="1:29" ht="14.25" hidden="1" customHeight="1">
      <c r="A184" s="187"/>
      <c r="B184" s="187"/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187"/>
      <c r="AA184" s="187"/>
      <c r="AB184" s="187"/>
      <c r="AC184" s="187"/>
    </row>
    <row r="185" spans="1:29" ht="14.25" hidden="1" customHeight="1">
      <c r="A185" s="187"/>
      <c r="B185" s="187"/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187"/>
      <c r="AA185" s="187"/>
      <c r="AB185" s="187"/>
      <c r="AC185" s="187"/>
    </row>
    <row r="186" spans="1:29" ht="14.25" hidden="1" customHeight="1">
      <c r="A186" s="187"/>
      <c r="B186" s="187"/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187"/>
      <c r="AA186" s="187"/>
      <c r="AB186" s="187"/>
      <c r="AC186" s="187"/>
    </row>
    <row r="187" spans="1:29" ht="14.25" hidden="1" customHeight="1">
      <c r="A187" s="187"/>
      <c r="B187" s="187"/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187"/>
      <c r="AA187" s="187"/>
      <c r="AB187" s="187"/>
      <c r="AC187" s="187"/>
    </row>
    <row r="188" spans="1:29" ht="14.25" hidden="1" customHeight="1">
      <c r="A188" s="187"/>
      <c r="B188" s="187"/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187"/>
      <c r="AA188" s="187"/>
      <c r="AB188" s="187"/>
      <c r="AC188" s="187"/>
    </row>
    <row r="189" spans="1:29" ht="14.25" hidden="1" customHeight="1">
      <c r="A189" s="187"/>
      <c r="B189" s="187"/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187"/>
      <c r="AA189" s="187"/>
      <c r="AB189" s="187"/>
      <c r="AC189" s="187"/>
    </row>
    <row r="190" spans="1:29" ht="14.25" hidden="1" customHeight="1">
      <c r="A190" s="187"/>
      <c r="B190" s="187"/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187"/>
      <c r="AA190" s="187"/>
      <c r="AB190" s="187"/>
      <c r="AC190" s="187"/>
    </row>
    <row r="191" spans="1:29" ht="14.25" hidden="1" customHeight="1">
      <c r="A191" s="187"/>
      <c r="B191" s="187"/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187"/>
      <c r="AA191" s="187"/>
      <c r="AB191" s="187"/>
      <c r="AC191" s="187"/>
    </row>
    <row r="192" spans="1:29" ht="14.25" hidden="1" customHeight="1">
      <c r="A192" s="187"/>
      <c r="B192" s="187"/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187"/>
      <c r="AA192" s="187"/>
      <c r="AB192" s="187"/>
      <c r="AC192" s="187"/>
    </row>
    <row r="193" spans="1:29" ht="14.25" hidden="1" customHeight="1">
      <c r="A193" s="187"/>
      <c r="B193" s="187"/>
      <c r="C193" s="187"/>
      <c r="D193" s="187"/>
      <c r="E193" s="187"/>
      <c r="F193" s="187"/>
      <c r="G193" s="187"/>
      <c r="H193" s="187"/>
      <c r="I193" s="187"/>
      <c r="J193" s="187"/>
      <c r="K193" s="187"/>
      <c r="L193" s="187"/>
      <c r="M193" s="187"/>
      <c r="N193" s="187"/>
      <c r="O193" s="187"/>
      <c r="P193" s="187"/>
      <c r="Q193" s="187"/>
      <c r="R193" s="187"/>
      <c r="S193" s="187"/>
      <c r="T193" s="187"/>
      <c r="U193" s="187"/>
      <c r="V193" s="187"/>
      <c r="W193" s="187"/>
      <c r="X193" s="187"/>
      <c r="Y193" s="187"/>
      <c r="Z193" s="187"/>
      <c r="AA193" s="187"/>
      <c r="AB193" s="187"/>
      <c r="AC193" s="187"/>
    </row>
    <row r="194" spans="1:29" ht="14.25" hidden="1" customHeight="1">
      <c r="A194" s="187"/>
      <c r="B194" s="187"/>
      <c r="C194" s="187"/>
      <c r="D194" s="187"/>
      <c r="E194" s="187"/>
      <c r="F194" s="187"/>
      <c r="G194" s="187"/>
      <c r="H194" s="187"/>
      <c r="I194" s="187"/>
      <c r="J194" s="187"/>
      <c r="K194" s="187"/>
      <c r="L194" s="187"/>
      <c r="M194" s="187"/>
      <c r="N194" s="187"/>
      <c r="O194" s="187"/>
      <c r="P194" s="187"/>
      <c r="Q194" s="187"/>
      <c r="R194" s="187"/>
      <c r="S194" s="187"/>
      <c r="T194" s="187"/>
      <c r="U194" s="187"/>
      <c r="V194" s="187"/>
      <c r="W194" s="187"/>
      <c r="X194" s="187"/>
      <c r="Y194" s="187"/>
      <c r="Z194" s="187"/>
      <c r="AA194" s="187"/>
      <c r="AB194" s="187"/>
      <c r="AC194" s="187"/>
    </row>
    <row r="195" spans="1:29" ht="14.25" hidden="1" customHeight="1">
      <c r="A195" s="187"/>
      <c r="B195" s="187"/>
      <c r="C195" s="187"/>
      <c r="D195" s="187"/>
      <c r="E195" s="187"/>
      <c r="F195" s="187"/>
      <c r="G195" s="187"/>
      <c r="H195" s="187"/>
      <c r="I195" s="187"/>
      <c r="J195" s="187"/>
      <c r="K195" s="187"/>
      <c r="L195" s="187"/>
      <c r="M195" s="187"/>
      <c r="N195" s="187"/>
      <c r="O195" s="187"/>
      <c r="P195" s="187"/>
      <c r="Q195" s="187"/>
      <c r="R195" s="187"/>
      <c r="S195" s="187"/>
      <c r="T195" s="187"/>
      <c r="U195" s="187"/>
      <c r="V195" s="187"/>
      <c r="W195" s="187"/>
      <c r="X195" s="187"/>
      <c r="Y195" s="187"/>
      <c r="Z195" s="187"/>
      <c r="AA195" s="187"/>
      <c r="AB195" s="187"/>
      <c r="AC195" s="187"/>
    </row>
    <row r="196" spans="1:29" ht="14.25" hidden="1" customHeight="1">
      <c r="A196" s="187"/>
      <c r="B196" s="187"/>
      <c r="C196" s="187"/>
      <c r="D196" s="187"/>
      <c r="E196" s="187"/>
      <c r="F196" s="187"/>
      <c r="G196" s="187"/>
      <c r="H196" s="187"/>
      <c r="I196" s="187"/>
      <c r="J196" s="187"/>
      <c r="K196" s="187"/>
      <c r="L196" s="187"/>
      <c r="M196" s="187"/>
      <c r="N196" s="187"/>
      <c r="O196" s="187"/>
      <c r="P196" s="187"/>
      <c r="Q196" s="187"/>
      <c r="R196" s="187"/>
      <c r="S196" s="187"/>
      <c r="T196" s="187"/>
      <c r="U196" s="187"/>
      <c r="V196" s="187"/>
      <c r="W196" s="187"/>
      <c r="X196" s="187"/>
      <c r="Y196" s="187"/>
      <c r="Z196" s="187"/>
      <c r="AA196" s="187"/>
      <c r="AB196" s="187"/>
      <c r="AC196" s="187"/>
    </row>
    <row r="197" spans="1:29" ht="14.25" hidden="1" customHeight="1">
      <c r="A197" s="187"/>
      <c r="B197" s="187"/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/>
      <c r="AA197" s="187"/>
      <c r="AB197" s="187"/>
      <c r="AC197" s="187"/>
    </row>
    <row r="198" spans="1:29" ht="14.25" hidden="1" customHeight="1">
      <c r="A198" s="187"/>
      <c r="B198" s="187"/>
      <c r="C198" s="187"/>
      <c r="D198" s="187"/>
      <c r="E198" s="187"/>
      <c r="F198" s="187"/>
      <c r="G198" s="187"/>
      <c r="H198" s="187"/>
      <c r="I198" s="187"/>
      <c r="J198" s="187"/>
      <c r="K198" s="187"/>
      <c r="L198" s="187"/>
      <c r="M198" s="187"/>
      <c r="N198" s="187"/>
      <c r="O198" s="187"/>
      <c r="P198" s="187"/>
      <c r="Q198" s="187"/>
      <c r="R198" s="187"/>
      <c r="S198" s="187"/>
      <c r="T198" s="187"/>
      <c r="U198" s="187"/>
      <c r="V198" s="187"/>
      <c r="W198" s="187"/>
      <c r="X198" s="187"/>
      <c r="Y198" s="187"/>
      <c r="Z198" s="187"/>
      <c r="AA198" s="187"/>
      <c r="AB198" s="187"/>
      <c r="AC198" s="187"/>
    </row>
    <row r="199" spans="1:29" ht="14.25" hidden="1" customHeight="1">
      <c r="A199" s="187"/>
      <c r="B199" s="187"/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187"/>
      <c r="AA199" s="187"/>
      <c r="AB199" s="187"/>
      <c r="AC199" s="187"/>
    </row>
    <row r="200" spans="1:29" ht="14.25" hidden="1" customHeight="1">
      <c r="A200" s="187"/>
      <c r="B200" s="187"/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187"/>
      <c r="AA200" s="187"/>
      <c r="AB200" s="187"/>
      <c r="AC200" s="187"/>
    </row>
    <row r="201" spans="1:29" ht="14.25" hidden="1" customHeight="1">
      <c r="A201" s="187"/>
      <c r="B201" s="187"/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187"/>
      <c r="AA201" s="187"/>
      <c r="AB201" s="187"/>
      <c r="AC201" s="187"/>
    </row>
    <row r="202" spans="1:29" ht="14.25" hidden="1" customHeight="1">
      <c r="A202" s="187"/>
      <c r="B202" s="187"/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187"/>
      <c r="AA202" s="187"/>
      <c r="AB202" s="187"/>
      <c r="AC202" s="187"/>
    </row>
    <row r="203" spans="1:29" ht="14.25" hidden="1" customHeight="1">
      <c r="A203" s="187"/>
      <c r="B203" s="187"/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187"/>
      <c r="AA203" s="187"/>
      <c r="AB203" s="187"/>
      <c r="AC203" s="187"/>
    </row>
    <row r="204" spans="1:29" ht="14.25" hidden="1" customHeight="1">
      <c r="A204" s="187"/>
      <c r="B204" s="187"/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187"/>
      <c r="AA204" s="187"/>
      <c r="AB204" s="187"/>
      <c r="AC204" s="187"/>
    </row>
    <row r="205" spans="1:29" ht="14.25" hidden="1" customHeight="1">
      <c r="A205" s="187"/>
      <c r="B205" s="187"/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187"/>
      <c r="AA205" s="187"/>
      <c r="AB205" s="187"/>
      <c r="AC205" s="187"/>
    </row>
    <row r="206" spans="1:29" ht="14.25" hidden="1" customHeight="1">
      <c r="A206" s="187"/>
      <c r="B206" s="187"/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187"/>
      <c r="AA206" s="187"/>
      <c r="AB206" s="187"/>
      <c r="AC206" s="187"/>
    </row>
    <row r="207" spans="1:29" ht="14.25" hidden="1" customHeight="1">
      <c r="A207" s="187"/>
      <c r="B207" s="187"/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187"/>
      <c r="AA207" s="187"/>
      <c r="AB207" s="187"/>
      <c r="AC207" s="187"/>
    </row>
    <row r="208" spans="1:29" ht="14.25" hidden="1" customHeight="1">
      <c r="A208" s="187"/>
      <c r="B208" s="187"/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187"/>
      <c r="AA208" s="187"/>
      <c r="AB208" s="187"/>
      <c r="AC208" s="187"/>
    </row>
    <row r="209" spans="1:29" ht="14.25" hidden="1" customHeight="1">
      <c r="A209" s="187"/>
      <c r="B209" s="187"/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187"/>
      <c r="AA209" s="187"/>
      <c r="AB209" s="187"/>
      <c r="AC209" s="187"/>
    </row>
    <row r="210" spans="1:29" ht="14.25" hidden="1" customHeight="1">
      <c r="A210" s="187"/>
      <c r="B210" s="187"/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187"/>
      <c r="AA210" s="187"/>
      <c r="AB210" s="187"/>
      <c r="AC210" s="187"/>
    </row>
    <row r="211" spans="1:29" ht="14.25" hidden="1" customHeight="1">
      <c r="A211" s="187"/>
      <c r="B211" s="187"/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187"/>
      <c r="AA211" s="187"/>
      <c r="AB211" s="187"/>
      <c r="AC211" s="187"/>
    </row>
    <row r="212" spans="1:29" ht="14.25" hidden="1" customHeight="1">
      <c r="A212" s="187"/>
      <c r="B212" s="187"/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187"/>
      <c r="AA212" s="187"/>
      <c r="AB212" s="187"/>
      <c r="AC212" s="187"/>
    </row>
    <row r="213" spans="1:29" ht="14.25" hidden="1" customHeight="1">
      <c r="A213" s="187"/>
      <c r="B213" s="187"/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187"/>
      <c r="AA213" s="187"/>
      <c r="AB213" s="187"/>
      <c r="AC213" s="187"/>
    </row>
    <row r="214" spans="1:29" ht="14.25" hidden="1" customHeight="1">
      <c r="A214" s="187"/>
      <c r="B214" s="187"/>
      <c r="C214" s="187"/>
      <c r="D214" s="187"/>
      <c r="E214" s="187"/>
      <c r="F214" s="187"/>
      <c r="G214" s="187"/>
      <c r="H214" s="187"/>
      <c r="I214" s="187"/>
      <c r="J214" s="187"/>
      <c r="K214" s="187"/>
      <c r="L214" s="187"/>
      <c r="M214" s="187"/>
      <c r="N214" s="187"/>
      <c r="O214" s="187"/>
      <c r="P214" s="187"/>
      <c r="Q214" s="187"/>
      <c r="R214" s="187"/>
      <c r="S214" s="187"/>
      <c r="T214" s="187"/>
      <c r="U214" s="187"/>
      <c r="V214" s="187"/>
      <c r="W214" s="187"/>
      <c r="X214" s="187"/>
      <c r="Y214" s="187"/>
      <c r="Z214" s="187"/>
      <c r="AA214" s="187"/>
      <c r="AB214" s="187"/>
      <c r="AC214" s="187"/>
    </row>
    <row r="215" spans="1:29" ht="14.25" hidden="1" customHeight="1">
      <c r="A215" s="187"/>
      <c r="B215" s="187"/>
      <c r="C215" s="187"/>
      <c r="D215" s="187"/>
      <c r="E215" s="187"/>
      <c r="F215" s="187"/>
      <c r="G215" s="187"/>
      <c r="H215" s="187"/>
      <c r="I215" s="187"/>
      <c r="J215" s="187"/>
      <c r="K215" s="187"/>
      <c r="L215" s="187"/>
      <c r="M215" s="187"/>
      <c r="N215" s="187"/>
      <c r="O215" s="187"/>
      <c r="P215" s="187"/>
      <c r="Q215" s="187"/>
      <c r="R215" s="187"/>
      <c r="S215" s="187"/>
      <c r="T215" s="187"/>
      <c r="U215" s="187"/>
      <c r="V215" s="187"/>
      <c r="W215" s="187"/>
      <c r="X215" s="187"/>
      <c r="Y215" s="187"/>
      <c r="Z215" s="187"/>
      <c r="AA215" s="187"/>
      <c r="AB215" s="187"/>
      <c r="AC215" s="187"/>
    </row>
    <row r="216" spans="1:29" ht="14.25" hidden="1" customHeight="1">
      <c r="A216" s="187"/>
      <c r="B216" s="187"/>
      <c r="C216" s="187"/>
      <c r="D216" s="187"/>
      <c r="E216" s="187"/>
      <c r="F216" s="187"/>
      <c r="G216" s="187"/>
      <c r="H216" s="187"/>
      <c r="I216" s="187"/>
      <c r="J216" s="187"/>
      <c r="K216" s="187"/>
      <c r="L216" s="187"/>
      <c r="M216" s="187"/>
      <c r="N216" s="187"/>
      <c r="O216" s="187"/>
      <c r="P216" s="187"/>
      <c r="Q216" s="187"/>
      <c r="R216" s="187"/>
      <c r="S216" s="187"/>
      <c r="T216" s="187"/>
      <c r="U216" s="187"/>
      <c r="V216" s="187"/>
      <c r="W216" s="187"/>
      <c r="X216" s="187"/>
      <c r="Y216" s="187"/>
      <c r="Z216" s="187"/>
      <c r="AA216" s="187"/>
      <c r="AB216" s="187"/>
      <c r="AC216" s="187"/>
    </row>
    <row r="217" spans="1:29" ht="14.25" hidden="1" customHeight="1">
      <c r="A217" s="187"/>
      <c r="B217" s="187"/>
      <c r="C217" s="187"/>
      <c r="D217" s="187"/>
      <c r="E217" s="187"/>
      <c r="F217" s="187"/>
      <c r="G217" s="187"/>
      <c r="H217" s="187"/>
      <c r="I217" s="187"/>
      <c r="J217" s="187"/>
      <c r="K217" s="187"/>
      <c r="L217" s="187"/>
      <c r="M217" s="187"/>
      <c r="N217" s="187"/>
      <c r="O217" s="187"/>
      <c r="P217" s="187"/>
      <c r="Q217" s="187"/>
      <c r="R217" s="187"/>
      <c r="S217" s="187"/>
      <c r="T217" s="187"/>
      <c r="U217" s="187"/>
      <c r="V217" s="187"/>
      <c r="W217" s="187"/>
      <c r="X217" s="187"/>
      <c r="Y217" s="187"/>
      <c r="Z217" s="187"/>
      <c r="AA217" s="187"/>
      <c r="AB217" s="187"/>
      <c r="AC217" s="187"/>
    </row>
    <row r="218" spans="1:29" ht="14.25" hidden="1" customHeight="1">
      <c r="A218" s="187"/>
      <c r="B218" s="187"/>
      <c r="C218" s="187"/>
      <c r="D218" s="187"/>
      <c r="E218" s="187"/>
      <c r="F218" s="187"/>
      <c r="G218" s="187"/>
      <c r="H218" s="187"/>
      <c r="I218" s="187"/>
      <c r="J218" s="187"/>
      <c r="K218" s="187"/>
      <c r="L218" s="187"/>
      <c r="M218" s="187"/>
      <c r="N218" s="187"/>
      <c r="O218" s="187"/>
      <c r="P218" s="187"/>
      <c r="Q218" s="187"/>
      <c r="R218" s="187"/>
      <c r="S218" s="187"/>
      <c r="T218" s="187"/>
      <c r="U218" s="187"/>
      <c r="V218" s="187"/>
      <c r="W218" s="187"/>
      <c r="X218" s="187"/>
      <c r="Y218" s="187"/>
      <c r="Z218" s="187"/>
      <c r="AA218" s="187"/>
      <c r="AB218" s="187"/>
      <c r="AC218" s="187"/>
    </row>
    <row r="219" spans="1:29" ht="14.25" hidden="1" customHeight="1">
      <c r="A219" s="187"/>
      <c r="B219" s="187"/>
      <c r="C219" s="187"/>
      <c r="D219" s="187"/>
      <c r="E219" s="187"/>
      <c r="F219" s="187"/>
      <c r="G219" s="187"/>
      <c r="H219" s="187"/>
      <c r="I219" s="187"/>
      <c r="J219" s="187"/>
      <c r="K219" s="187"/>
      <c r="L219" s="187"/>
      <c r="M219" s="187"/>
      <c r="N219" s="187"/>
      <c r="O219" s="187"/>
      <c r="P219" s="187"/>
      <c r="Q219" s="187"/>
      <c r="R219" s="187"/>
      <c r="S219" s="187"/>
      <c r="T219" s="187"/>
      <c r="U219" s="187"/>
      <c r="V219" s="187"/>
      <c r="W219" s="187"/>
      <c r="X219" s="187"/>
      <c r="Y219" s="187"/>
      <c r="Z219" s="187"/>
      <c r="AA219" s="187"/>
      <c r="AB219" s="187"/>
      <c r="AC219" s="187"/>
    </row>
    <row r="220" spans="1:29" ht="14.25" hidden="1" customHeight="1">
      <c r="A220" s="187"/>
      <c r="B220" s="187"/>
      <c r="C220" s="187"/>
      <c r="D220" s="187"/>
      <c r="E220" s="187"/>
      <c r="F220" s="187"/>
      <c r="G220" s="187"/>
      <c r="H220" s="187"/>
      <c r="I220" s="187"/>
      <c r="J220" s="187"/>
      <c r="K220" s="187"/>
      <c r="L220" s="187"/>
      <c r="M220" s="187"/>
      <c r="N220" s="187"/>
      <c r="O220" s="187"/>
      <c r="P220" s="187"/>
      <c r="Q220" s="187"/>
      <c r="R220" s="187"/>
      <c r="S220" s="187"/>
      <c r="T220" s="187"/>
      <c r="U220" s="187"/>
      <c r="V220" s="187"/>
      <c r="W220" s="187"/>
      <c r="X220" s="187"/>
      <c r="Y220" s="187"/>
      <c r="Z220" s="187"/>
      <c r="AA220" s="187"/>
      <c r="AB220" s="187"/>
      <c r="AC220" s="187"/>
    </row>
    <row r="221" spans="1:29" ht="14.25" hidden="1" customHeight="1">
      <c r="A221" s="187"/>
      <c r="B221" s="187"/>
      <c r="C221" s="187"/>
      <c r="D221" s="187"/>
      <c r="E221" s="187"/>
      <c r="F221" s="187"/>
      <c r="G221" s="187"/>
      <c r="H221" s="187"/>
      <c r="I221" s="187"/>
      <c r="J221" s="187"/>
      <c r="K221" s="187"/>
      <c r="L221" s="187"/>
      <c r="M221" s="187"/>
      <c r="N221" s="187"/>
      <c r="O221" s="187"/>
      <c r="P221" s="187"/>
      <c r="Q221" s="187"/>
      <c r="R221" s="187"/>
      <c r="S221" s="187"/>
      <c r="T221" s="187"/>
      <c r="U221" s="187"/>
      <c r="V221" s="187"/>
      <c r="W221" s="187"/>
      <c r="X221" s="187"/>
      <c r="Y221" s="187"/>
      <c r="Z221" s="187"/>
      <c r="AA221" s="187"/>
      <c r="AB221" s="187"/>
      <c r="AC221" s="187"/>
    </row>
    <row r="222" spans="1:29" ht="14.25" hidden="1" customHeight="1">
      <c r="A222" s="187"/>
      <c r="B222" s="187"/>
      <c r="C222" s="187"/>
      <c r="D222" s="187"/>
      <c r="E222" s="187"/>
      <c r="F222" s="187"/>
      <c r="G222" s="187"/>
      <c r="H222" s="187"/>
      <c r="I222" s="187"/>
      <c r="J222" s="187"/>
      <c r="K222" s="187"/>
      <c r="L222" s="187"/>
      <c r="M222" s="187"/>
      <c r="N222" s="187"/>
      <c r="O222" s="187"/>
      <c r="P222" s="187"/>
      <c r="Q222" s="187"/>
      <c r="R222" s="187"/>
      <c r="S222" s="187"/>
      <c r="T222" s="187"/>
      <c r="U222" s="187"/>
      <c r="V222" s="187"/>
      <c r="W222" s="187"/>
      <c r="X222" s="187"/>
      <c r="Y222" s="187"/>
      <c r="Z222" s="187"/>
      <c r="AA222" s="187"/>
      <c r="AB222" s="187"/>
      <c r="AC222" s="187"/>
    </row>
    <row r="223" spans="1:29" ht="14.25" hidden="1" customHeight="1">
      <c r="A223" s="187"/>
      <c r="B223" s="187"/>
      <c r="C223" s="187"/>
      <c r="D223" s="187"/>
      <c r="E223" s="187"/>
      <c r="F223" s="187"/>
      <c r="G223" s="187"/>
      <c r="H223" s="187"/>
      <c r="I223" s="187"/>
      <c r="J223" s="187"/>
      <c r="K223" s="187"/>
      <c r="L223" s="187"/>
      <c r="M223" s="187"/>
      <c r="N223" s="187"/>
      <c r="O223" s="187"/>
      <c r="P223" s="187"/>
      <c r="Q223" s="187"/>
      <c r="R223" s="187"/>
      <c r="S223" s="187"/>
      <c r="T223" s="187"/>
      <c r="U223" s="187"/>
      <c r="V223" s="187"/>
      <c r="W223" s="187"/>
      <c r="X223" s="187"/>
      <c r="Y223" s="187"/>
      <c r="Z223" s="187"/>
      <c r="AA223" s="187"/>
      <c r="AB223" s="187"/>
      <c r="AC223" s="187"/>
    </row>
    <row r="224" spans="1:29" ht="14.25" hidden="1" customHeight="1">
      <c r="A224" s="187"/>
      <c r="B224" s="187"/>
      <c r="C224" s="187"/>
      <c r="D224" s="187"/>
      <c r="E224" s="187"/>
      <c r="F224" s="187"/>
      <c r="G224" s="187"/>
      <c r="H224" s="187"/>
      <c r="I224" s="187"/>
      <c r="J224" s="187"/>
      <c r="K224" s="187"/>
      <c r="L224" s="187"/>
      <c r="M224" s="187"/>
      <c r="N224" s="187"/>
      <c r="O224" s="187"/>
      <c r="P224" s="187"/>
      <c r="Q224" s="187"/>
      <c r="R224" s="187"/>
      <c r="S224" s="187"/>
      <c r="T224" s="187"/>
      <c r="U224" s="187"/>
      <c r="V224" s="187"/>
      <c r="W224" s="187"/>
      <c r="X224" s="187"/>
      <c r="Y224" s="187"/>
      <c r="Z224" s="187"/>
      <c r="AA224" s="187"/>
      <c r="AB224" s="187"/>
      <c r="AC224" s="187"/>
    </row>
    <row r="225" spans="1:29" ht="14.25" hidden="1" customHeight="1">
      <c r="A225" s="187"/>
      <c r="B225" s="187"/>
      <c r="C225" s="187"/>
      <c r="D225" s="187"/>
      <c r="E225" s="187"/>
      <c r="F225" s="187"/>
      <c r="G225" s="187"/>
      <c r="H225" s="187"/>
      <c r="I225" s="187"/>
      <c r="J225" s="187"/>
      <c r="K225" s="187"/>
      <c r="L225" s="187"/>
      <c r="M225" s="187"/>
      <c r="N225" s="187"/>
      <c r="O225" s="187"/>
      <c r="P225" s="187"/>
      <c r="Q225" s="187"/>
      <c r="R225" s="187"/>
      <c r="S225" s="187"/>
      <c r="T225" s="187"/>
      <c r="U225" s="187"/>
      <c r="V225" s="187"/>
      <c r="W225" s="187"/>
      <c r="X225" s="187"/>
      <c r="Y225" s="187"/>
      <c r="Z225" s="187"/>
      <c r="AA225" s="187"/>
      <c r="AB225" s="187"/>
      <c r="AC225" s="187"/>
    </row>
    <row r="226" spans="1:29" ht="14.25" hidden="1" customHeight="1">
      <c r="A226" s="187"/>
      <c r="B226" s="187"/>
      <c r="C226" s="187"/>
      <c r="D226" s="187"/>
      <c r="E226" s="187"/>
      <c r="F226" s="187"/>
      <c r="G226" s="187"/>
      <c r="H226" s="187"/>
      <c r="I226" s="187"/>
      <c r="J226" s="187"/>
      <c r="K226" s="187"/>
      <c r="L226" s="187"/>
      <c r="M226" s="187"/>
      <c r="N226" s="187"/>
      <c r="O226" s="187"/>
      <c r="P226" s="187"/>
      <c r="Q226" s="187"/>
      <c r="R226" s="187"/>
      <c r="S226" s="187"/>
      <c r="T226" s="187"/>
      <c r="U226" s="187"/>
      <c r="V226" s="187"/>
      <c r="W226" s="187"/>
      <c r="X226" s="187"/>
      <c r="Y226" s="187"/>
      <c r="Z226" s="187"/>
      <c r="AA226" s="187"/>
      <c r="AB226" s="187"/>
      <c r="AC226" s="187"/>
    </row>
    <row r="227" spans="1:29" ht="14.25" hidden="1" customHeight="1">
      <c r="A227" s="187"/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87"/>
      <c r="N227" s="187"/>
      <c r="O227" s="187"/>
      <c r="P227" s="187"/>
      <c r="Q227" s="187"/>
      <c r="R227" s="187"/>
      <c r="S227" s="187"/>
      <c r="T227" s="187"/>
      <c r="U227" s="187"/>
      <c r="V227" s="187"/>
      <c r="W227" s="187"/>
      <c r="X227" s="187"/>
      <c r="Y227" s="187"/>
      <c r="Z227" s="187"/>
      <c r="AA227" s="187"/>
      <c r="AB227" s="187"/>
      <c r="AC227" s="187"/>
    </row>
    <row r="228" spans="1:29" ht="14.25" hidden="1" customHeight="1">
      <c r="A228" s="187"/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87"/>
      <c r="N228" s="187"/>
      <c r="O228" s="187"/>
      <c r="P228" s="187"/>
      <c r="Q228" s="187"/>
      <c r="R228" s="187"/>
      <c r="S228" s="187"/>
      <c r="T228" s="187"/>
      <c r="U228" s="187"/>
      <c r="V228" s="187"/>
      <c r="W228" s="187"/>
      <c r="X228" s="187"/>
      <c r="Y228" s="187"/>
      <c r="Z228" s="187"/>
      <c r="AA228" s="187"/>
      <c r="AB228" s="187"/>
      <c r="AC228" s="187"/>
    </row>
    <row r="229" spans="1:29" ht="14.25" hidden="1" customHeight="1">
      <c r="A229" s="187"/>
      <c r="B229" s="187"/>
      <c r="C229" s="187"/>
      <c r="D229" s="187"/>
      <c r="E229" s="187"/>
      <c r="F229" s="187"/>
      <c r="G229" s="187"/>
      <c r="H229" s="187"/>
      <c r="I229" s="187"/>
      <c r="J229" s="187"/>
      <c r="K229" s="187"/>
      <c r="L229" s="187"/>
      <c r="M229" s="187"/>
      <c r="N229" s="187"/>
      <c r="O229" s="187"/>
      <c r="P229" s="187"/>
      <c r="Q229" s="187"/>
      <c r="R229" s="187"/>
      <c r="S229" s="187"/>
      <c r="T229" s="187"/>
      <c r="U229" s="187"/>
      <c r="V229" s="187"/>
      <c r="W229" s="187"/>
      <c r="X229" s="187"/>
      <c r="Y229" s="187"/>
      <c r="Z229" s="187"/>
      <c r="AA229" s="187"/>
      <c r="AB229" s="187"/>
      <c r="AC229" s="187"/>
    </row>
    <row r="230" spans="1:29" ht="14.25" hidden="1" customHeight="1">
      <c r="A230" s="187"/>
      <c r="B230" s="187"/>
      <c r="C230" s="187"/>
      <c r="D230" s="187"/>
      <c r="E230" s="187"/>
      <c r="F230" s="187"/>
      <c r="G230" s="187"/>
      <c r="H230" s="187"/>
      <c r="I230" s="187"/>
      <c r="J230" s="187"/>
      <c r="K230" s="187"/>
      <c r="L230" s="187"/>
      <c r="M230" s="187"/>
      <c r="N230" s="187"/>
      <c r="O230" s="187"/>
      <c r="P230" s="187"/>
      <c r="Q230" s="187"/>
      <c r="R230" s="187"/>
      <c r="S230" s="187"/>
      <c r="T230" s="187"/>
      <c r="U230" s="187"/>
      <c r="V230" s="187"/>
      <c r="W230" s="187"/>
      <c r="X230" s="187"/>
      <c r="Y230" s="187"/>
      <c r="Z230" s="187"/>
      <c r="AA230" s="187"/>
      <c r="AB230" s="187"/>
      <c r="AC230" s="187"/>
    </row>
    <row r="231" spans="1:29" ht="14.25" hidden="1" customHeight="1">
      <c r="A231" s="187"/>
      <c r="B231" s="187"/>
      <c r="C231" s="187"/>
      <c r="D231" s="187"/>
      <c r="E231" s="187"/>
      <c r="F231" s="187"/>
      <c r="G231" s="187"/>
      <c r="H231" s="187"/>
      <c r="I231" s="187"/>
      <c r="J231" s="187"/>
      <c r="K231" s="187"/>
      <c r="L231" s="187"/>
      <c r="M231" s="187"/>
      <c r="N231" s="187"/>
      <c r="O231" s="187"/>
      <c r="P231" s="187"/>
      <c r="Q231" s="187"/>
      <c r="R231" s="187"/>
      <c r="S231" s="187"/>
      <c r="T231" s="187"/>
      <c r="U231" s="187"/>
      <c r="V231" s="187"/>
      <c r="W231" s="187"/>
      <c r="X231" s="187"/>
      <c r="Y231" s="187"/>
      <c r="Z231" s="187"/>
      <c r="AA231" s="187"/>
      <c r="AB231" s="187"/>
      <c r="AC231" s="187"/>
    </row>
    <row r="232" spans="1:29" ht="14.25" hidden="1" customHeight="1">
      <c r="A232" s="187"/>
      <c r="B232" s="187"/>
      <c r="C232" s="187"/>
      <c r="D232" s="187"/>
      <c r="E232" s="187"/>
      <c r="F232" s="187"/>
      <c r="G232" s="187"/>
      <c r="H232" s="187"/>
      <c r="I232" s="187"/>
      <c r="J232" s="187"/>
      <c r="K232" s="187"/>
      <c r="L232" s="187"/>
      <c r="M232" s="187"/>
      <c r="N232" s="187"/>
      <c r="O232" s="187"/>
      <c r="P232" s="187"/>
      <c r="Q232" s="187"/>
      <c r="R232" s="187"/>
      <c r="S232" s="187"/>
      <c r="T232" s="187"/>
      <c r="U232" s="187"/>
      <c r="V232" s="187"/>
      <c r="W232" s="187"/>
      <c r="X232" s="187"/>
      <c r="Y232" s="187"/>
      <c r="Z232" s="187"/>
      <c r="AA232" s="187"/>
      <c r="AB232" s="187"/>
      <c r="AC232" s="187"/>
    </row>
    <row r="233" spans="1:29" ht="14.25" customHeight="1">
      <c r="A233" s="187"/>
      <c r="B233" s="303" t="s">
        <v>148</v>
      </c>
      <c r="C233" s="303" t="s">
        <v>142</v>
      </c>
      <c r="D233" s="211">
        <f t="shared" ref="D233:I233" ca="1" si="22">IF(ISNUMBER(D$5),-(D177*(1/LN($C$5))),"")</f>
        <v>0.96325051014624619</v>
      </c>
      <c r="E233" s="212">
        <f t="shared" ca="1" si="22"/>
        <v>0.96368246525913637</v>
      </c>
      <c r="F233" s="212">
        <f t="shared" ca="1" si="22"/>
        <v>0.99329402100850106</v>
      </c>
      <c r="G233" s="212">
        <f t="shared" ca="1" si="22"/>
        <v>0.98078766256941774</v>
      </c>
      <c r="H233" s="212">
        <f t="shared" ca="1" si="22"/>
        <v>0.99362368006239876</v>
      </c>
      <c r="I233" s="212">
        <f t="shared" ca="1" si="22"/>
        <v>0.99392257761139757</v>
      </c>
      <c r="J233" s="187"/>
      <c r="K233" s="187"/>
      <c r="L233" s="303" t="s">
        <v>148</v>
      </c>
      <c r="M233" s="303" t="s">
        <v>142</v>
      </c>
      <c r="N233" s="211">
        <f t="shared" ref="N233:S233" ca="1" si="23">IF(ISNUMBER(N$5),-(N177*(1/LN($M$5))),"")</f>
        <v>0.96234470020638918</v>
      </c>
      <c r="O233" s="212">
        <f t="shared" ca="1" si="23"/>
        <v>0.96860840763092826</v>
      </c>
      <c r="P233" s="212">
        <f t="shared" ca="1" si="23"/>
        <v>0.99235327277750374</v>
      </c>
      <c r="Q233" s="212">
        <f t="shared" ca="1" si="23"/>
        <v>0.98196330676299748</v>
      </c>
      <c r="R233" s="212">
        <f t="shared" ca="1" si="23"/>
        <v>0.99453765495224233</v>
      </c>
      <c r="S233" s="212">
        <f t="shared" ca="1" si="23"/>
        <v>0.99331980852565926</v>
      </c>
      <c r="T233" s="187"/>
      <c r="U233" s="187"/>
      <c r="V233" s="303" t="s">
        <v>148</v>
      </c>
      <c r="W233" s="303" t="s">
        <v>142</v>
      </c>
      <c r="X233" s="211">
        <f t="shared" ref="X233:AC233" ca="1" si="24">IF(ISNUMBER(X$5),-(X177*(1/LN($W$5))),"")</f>
        <v>0.96685272243922171</v>
      </c>
      <c r="Y233" s="212">
        <f t="shared" ca="1" si="24"/>
        <v>0.96720811110663385</v>
      </c>
      <c r="Z233" s="212">
        <f t="shared" ca="1" si="24"/>
        <v>0.99383056789477686</v>
      </c>
      <c r="AA233" s="212">
        <f t="shared" ca="1" si="24"/>
        <v>0.9821626548669905</v>
      </c>
      <c r="AB233" s="212">
        <f t="shared" ca="1" si="24"/>
        <v>0.99428831683897134</v>
      </c>
      <c r="AC233" s="212">
        <f t="shared" ca="1" si="24"/>
        <v>0.99376069722953397</v>
      </c>
    </row>
    <row r="234" spans="1:29" ht="14.25" customHeight="1">
      <c r="A234" s="187"/>
      <c r="B234" s="304" t="s">
        <v>149</v>
      </c>
      <c r="C234" s="304"/>
      <c r="D234" s="213" t="str">
        <f t="shared" ref="D234:I234" si="25">D9</f>
        <v>PR</v>
      </c>
      <c r="E234" s="213" t="str">
        <f t="shared" si="25"/>
        <v>DR</v>
      </c>
      <c r="F234" s="213" t="str">
        <f t="shared" si="25"/>
        <v>RR</v>
      </c>
      <c r="G234" s="213" t="str">
        <f t="shared" si="25"/>
        <v>HS</v>
      </c>
      <c r="H234" s="213" t="str">
        <f t="shared" si="25"/>
        <v>CA</v>
      </c>
      <c r="I234" s="213" t="str">
        <f t="shared" si="25"/>
        <v>RE</v>
      </c>
      <c r="J234" s="187"/>
      <c r="K234" s="187"/>
      <c r="L234" s="304" t="s">
        <v>149</v>
      </c>
      <c r="M234" s="304"/>
      <c r="N234" s="213" t="str">
        <f t="shared" ref="N234:S234" si="26">N9</f>
        <v>PR</v>
      </c>
      <c r="O234" s="213" t="str">
        <f t="shared" si="26"/>
        <v>DR</v>
      </c>
      <c r="P234" s="213" t="str">
        <f t="shared" si="26"/>
        <v>RR</v>
      </c>
      <c r="Q234" s="213" t="str">
        <f t="shared" si="26"/>
        <v>HS</v>
      </c>
      <c r="R234" s="213" t="str">
        <f t="shared" si="26"/>
        <v>CA</v>
      </c>
      <c r="S234" s="213" t="str">
        <f t="shared" si="26"/>
        <v>RE</v>
      </c>
      <c r="T234" s="187"/>
      <c r="U234" s="187"/>
      <c r="V234" s="304" t="s">
        <v>149</v>
      </c>
      <c r="W234" s="304"/>
      <c r="X234" s="213" t="str">
        <f t="shared" ref="X234:AC234" si="27">X9</f>
        <v>PR</v>
      </c>
      <c r="Y234" s="213" t="str">
        <f t="shared" si="27"/>
        <v>DR</v>
      </c>
      <c r="Z234" s="213" t="str">
        <f t="shared" si="27"/>
        <v>RR</v>
      </c>
      <c r="AA234" s="213" t="str">
        <f t="shared" si="27"/>
        <v>HS</v>
      </c>
      <c r="AB234" s="213" t="str">
        <f t="shared" si="27"/>
        <v>CA</v>
      </c>
      <c r="AC234" s="213" t="str">
        <f t="shared" si="27"/>
        <v>RE</v>
      </c>
    </row>
    <row r="235" spans="1:29" ht="14.25" customHeight="1">
      <c r="A235" s="187"/>
      <c r="B235" s="303" t="s">
        <v>150</v>
      </c>
      <c r="C235" s="303" t="s">
        <v>150</v>
      </c>
      <c r="D235" s="214">
        <f t="shared" ref="D235:I235" ca="1" si="28">IF(ISNUMBER(D$5),1-D233,"")</f>
        <v>3.6749489853753814E-2</v>
      </c>
      <c r="E235" s="215">
        <f t="shared" ca="1" si="28"/>
        <v>3.6317534740863633E-2</v>
      </c>
      <c r="F235" s="215">
        <f t="shared" ca="1" si="28"/>
        <v>6.7059789914989398E-3</v>
      </c>
      <c r="G235" s="215">
        <f t="shared" ca="1" si="28"/>
        <v>1.921233743058226E-2</v>
      </c>
      <c r="H235" s="215">
        <f t="shared" ca="1" si="28"/>
        <v>6.3763199376012381E-3</v>
      </c>
      <c r="I235" s="215">
        <f t="shared" ca="1" si="28"/>
        <v>6.077422388602427E-3</v>
      </c>
      <c r="J235" s="187"/>
      <c r="K235" s="187"/>
      <c r="L235" s="303" t="s">
        <v>150</v>
      </c>
      <c r="M235" s="303" t="s">
        <v>150</v>
      </c>
      <c r="N235" s="214">
        <f t="shared" ref="N235:S235" ca="1" si="29">IF(ISNUMBER(N$5),1-N233,"")</f>
        <v>3.7655299793610819E-2</v>
      </c>
      <c r="O235" s="215">
        <f t="shared" ca="1" si="29"/>
        <v>3.1391592369071741E-2</v>
      </c>
      <c r="P235" s="215">
        <f t="shared" ca="1" si="29"/>
        <v>7.6467272224962635E-3</v>
      </c>
      <c r="Q235" s="215">
        <f t="shared" ca="1" si="29"/>
        <v>1.8036693237002521E-2</v>
      </c>
      <c r="R235" s="215">
        <f t="shared" ca="1" si="29"/>
        <v>5.4623450477576663E-3</v>
      </c>
      <c r="S235" s="215">
        <f t="shared" ca="1" si="29"/>
        <v>6.6801914743407353E-3</v>
      </c>
      <c r="T235" s="187"/>
      <c r="U235" s="187"/>
      <c r="V235" s="303" t="s">
        <v>150</v>
      </c>
      <c r="W235" s="303" t="s">
        <v>150</v>
      </c>
      <c r="X235" s="214">
        <f t="shared" ref="X235:AC235" ca="1" si="30">IF(ISNUMBER(X$5),1-X233,"")</f>
        <v>3.3147277560778288E-2</v>
      </c>
      <c r="Y235" s="215">
        <f t="shared" ca="1" si="30"/>
        <v>3.279188889336615E-2</v>
      </c>
      <c r="Z235" s="215">
        <f t="shared" ca="1" si="30"/>
        <v>6.1694321052231382E-3</v>
      </c>
      <c r="AA235" s="215">
        <f t="shared" ca="1" si="30"/>
        <v>1.7837345133009497E-2</v>
      </c>
      <c r="AB235" s="215">
        <f t="shared" ca="1" si="30"/>
        <v>5.7116831610286578E-3</v>
      </c>
      <c r="AC235" s="215">
        <f t="shared" ca="1" si="30"/>
        <v>6.2393027704660264E-3</v>
      </c>
    </row>
    <row r="236" spans="1:29" ht="14.25" customHeight="1" thickBot="1">
      <c r="A236" s="187"/>
      <c r="B236" s="303" t="s">
        <v>151</v>
      </c>
      <c r="C236" s="303" t="s">
        <v>142</v>
      </c>
      <c r="D236" s="216">
        <f t="shared" ref="D236:I236" ca="1" si="31">IF(ISNUMBER(D$5),D235/SUM($D$235:$I$235),"")</f>
        <v>0.32977200414215746</v>
      </c>
      <c r="E236" s="217">
        <f t="shared" ca="1" si="31"/>
        <v>0.32589584956575057</v>
      </c>
      <c r="F236" s="217">
        <f t="shared" ca="1" si="31"/>
        <v>6.0176185861690788E-2</v>
      </c>
      <c r="G236" s="217">
        <f t="shared" ca="1" si="31"/>
        <v>0.17240214881762053</v>
      </c>
      <c r="H236" s="217">
        <f t="shared" ca="1" si="31"/>
        <v>5.721798624259191E-2</v>
      </c>
      <c r="I236" s="217">
        <f t="shared" ca="1" si="31"/>
        <v>5.4535825370188716E-2</v>
      </c>
      <c r="J236" s="187"/>
      <c r="K236" s="187"/>
      <c r="L236" s="303" t="s">
        <v>151</v>
      </c>
      <c r="M236" s="303" t="s">
        <v>142</v>
      </c>
      <c r="N236" s="216">
        <f t="shared" ref="N236:S236" ca="1" si="32">IF(ISNUMBER(N$5),N235/SUM($N$235:$S$235),"")</f>
        <v>0.35233738124428282</v>
      </c>
      <c r="O236" s="217">
        <f t="shared" ca="1" si="32"/>
        <v>0.29372841297318347</v>
      </c>
      <c r="P236" s="217">
        <f t="shared" ca="1" si="32"/>
        <v>7.1549764825424286E-2</v>
      </c>
      <c r="Q236" s="217">
        <f t="shared" ca="1" si="32"/>
        <v>0.16876777761068903</v>
      </c>
      <c r="R236" s="217">
        <f t="shared" ca="1" si="32"/>
        <v>5.1110689866454562E-2</v>
      </c>
      <c r="S236" s="217">
        <f t="shared" ca="1" si="32"/>
        <v>6.2505973479965796E-2</v>
      </c>
      <c r="T236" s="187"/>
      <c r="U236" s="187"/>
      <c r="V236" s="303" t="s">
        <v>151</v>
      </c>
      <c r="W236" s="303" t="s">
        <v>142</v>
      </c>
      <c r="X236" s="216">
        <f t="shared" ref="X236:AC236" ca="1" si="33">IF(ISNUMBER(X$5),X235/SUM($X$235:$AC$235),"")</f>
        <v>0.32530202512611095</v>
      </c>
      <c r="Y236" s="217">
        <f t="shared" ca="1" si="33"/>
        <v>0.32181429817767421</v>
      </c>
      <c r="Z236" s="217">
        <f t="shared" ca="1" si="33"/>
        <v>6.0545809652912286E-2</v>
      </c>
      <c r="AA236" s="217">
        <f t="shared" ca="1" si="33"/>
        <v>0.17505282248299148</v>
      </c>
      <c r="AB236" s="217">
        <f t="shared" ca="1" si="33"/>
        <v>5.6053535490342796E-2</v>
      </c>
      <c r="AC236" s="217">
        <f t="shared" ca="1" si="33"/>
        <v>6.1231509069968312E-2</v>
      </c>
    </row>
  </sheetData>
  <sheetProtection algorithmName="SHA-512" hashValue="kNz77QDdNB8byoDfvi7+pToL0zB7Bn6hPCFayHHOFR38zOXlSHZ1/6YS7uDdbXykwfUlSLTapoZiQI70PsNPAA==" saltValue="wcecr88xFQyFA9lVH7RiWA==" spinCount="100000" sheet="1" formatCells="0" formatColumns="0" formatRows="0" insertColumns="0" insertRows="0" insertHyperlinks="0" deleteColumns="0" deleteRows="0" sort="0" autoFilter="0" pivotTables="0"/>
  <mergeCells count="55">
    <mergeCell ref="A2:I2"/>
    <mergeCell ref="K2:S2"/>
    <mergeCell ref="U2:AC2"/>
    <mergeCell ref="A1:AC1"/>
    <mergeCell ref="B235:C235"/>
    <mergeCell ref="L235:M235"/>
    <mergeCell ref="V235:W235"/>
    <mergeCell ref="A122:A125"/>
    <mergeCell ref="K122:K125"/>
    <mergeCell ref="U122:U125"/>
    <mergeCell ref="B177:C177"/>
    <mergeCell ref="L177:M177"/>
    <mergeCell ref="V177:W177"/>
    <mergeCell ref="B120:C120"/>
    <mergeCell ref="L120:M120"/>
    <mergeCell ref="V120:W120"/>
    <mergeCell ref="B236:C236"/>
    <mergeCell ref="L236:M236"/>
    <mergeCell ref="V236:W236"/>
    <mergeCell ref="B233:C233"/>
    <mergeCell ref="L233:M233"/>
    <mergeCell ref="V233:W233"/>
    <mergeCell ref="B234:C234"/>
    <mergeCell ref="L234:M234"/>
    <mergeCell ref="V234:W234"/>
    <mergeCell ref="B121:I121"/>
    <mergeCell ref="L121:S121"/>
    <mergeCell ref="V121:AC121"/>
    <mergeCell ref="B64:I64"/>
    <mergeCell ref="L64:S64"/>
    <mergeCell ref="V64:AC64"/>
    <mergeCell ref="A65:A68"/>
    <mergeCell ref="K65:K68"/>
    <mergeCell ref="U65:U68"/>
    <mergeCell ref="B8:I8"/>
    <mergeCell ref="L8:S8"/>
    <mergeCell ref="V8:AC8"/>
    <mergeCell ref="A9:A12"/>
    <mergeCell ref="K9:K12"/>
    <mergeCell ref="U9:U12"/>
    <mergeCell ref="A5:B5"/>
    <mergeCell ref="K5:L5"/>
    <mergeCell ref="U5:V5"/>
    <mergeCell ref="A6:B6"/>
    <mergeCell ref="K6:L6"/>
    <mergeCell ref="U6:V6"/>
    <mergeCell ref="A3:I3"/>
    <mergeCell ref="K3:S3"/>
    <mergeCell ref="U3:AC3"/>
    <mergeCell ref="A4:B4"/>
    <mergeCell ref="C4:I4"/>
    <mergeCell ref="K4:L4"/>
    <mergeCell ref="M4:S4"/>
    <mergeCell ref="U4:V4"/>
    <mergeCell ref="W4:AC4"/>
  </mergeCells>
  <conditionalFormatting sqref="A178:A181">
    <cfRule type="notContainsBlanks" dxfId="94" priority="33">
      <formula>LEN(TRIM(A178))&gt;0</formula>
    </cfRule>
  </conditionalFormatting>
  <conditionalFormatting sqref="B10:B63">
    <cfRule type="notContainsBlanks" dxfId="93" priority="40">
      <formula>LEN(TRIM(B10))&gt;0</formula>
    </cfRule>
  </conditionalFormatting>
  <conditionalFormatting sqref="B120">
    <cfRule type="notContainsBlanks" dxfId="92" priority="36">
      <formula>LEN(TRIM(B120))&gt;0</formula>
    </cfRule>
  </conditionalFormatting>
  <conditionalFormatting sqref="B170:B177">
    <cfRule type="notContainsBlanks" dxfId="91" priority="31">
      <formula>LEN(TRIM(B170))&gt;0</formula>
    </cfRule>
  </conditionalFormatting>
  <conditionalFormatting sqref="B233 B235:B236 L235:L236 V235:V236">
    <cfRule type="expression" dxfId="90" priority="32">
      <formula>#REF!&lt;$C$5+1</formula>
    </cfRule>
  </conditionalFormatting>
  <conditionalFormatting sqref="C170:C176">
    <cfRule type="expression" dxfId="89" priority="38">
      <formula>B170&lt;$C$5+1</formula>
    </cfRule>
  </conditionalFormatting>
  <conditionalFormatting sqref="C233">
    <cfRule type="expression" dxfId="88" priority="41">
      <formula>A180&lt;$C$5+1</formula>
    </cfRule>
  </conditionalFormatting>
  <conditionalFormatting sqref="C235:C236">
    <cfRule type="expression" dxfId="87" priority="35">
      <formula>A181&lt;$C$5+1</formula>
    </cfRule>
  </conditionalFormatting>
  <conditionalFormatting sqref="C9:I9">
    <cfRule type="notContainsBlanks" dxfId="86" priority="39">
      <formula>LEN(TRIM(C9))&gt;0</formula>
    </cfRule>
  </conditionalFormatting>
  <conditionalFormatting sqref="C65:I65">
    <cfRule type="notContainsBlanks" dxfId="85" priority="37">
      <formula>LEN(TRIM(C65))&gt;0</formula>
    </cfRule>
  </conditionalFormatting>
  <conditionalFormatting sqref="C122:I122">
    <cfRule type="notContainsBlanks" dxfId="84" priority="34">
      <formula>LEN(TRIM(C122))&gt;0</formula>
    </cfRule>
  </conditionalFormatting>
  <conditionalFormatting sqref="K178:K181">
    <cfRule type="notContainsBlanks" dxfId="83" priority="22">
      <formula>LEN(TRIM(K178))&gt;0</formula>
    </cfRule>
  </conditionalFormatting>
  <conditionalFormatting sqref="L57:L63">
    <cfRule type="notContainsBlanks" dxfId="82" priority="29">
      <formula>LEN(TRIM(L57))&gt;0</formula>
    </cfRule>
  </conditionalFormatting>
  <conditionalFormatting sqref="L120">
    <cfRule type="notContainsBlanks" dxfId="81" priority="25">
      <formula>LEN(TRIM(L120))&gt;0</formula>
    </cfRule>
  </conditionalFormatting>
  <conditionalFormatting sqref="L170:L177">
    <cfRule type="notContainsBlanks" dxfId="80" priority="20">
      <formula>LEN(TRIM(L170))&gt;0</formula>
    </cfRule>
  </conditionalFormatting>
  <conditionalFormatting sqref="L233">
    <cfRule type="expression" dxfId="79" priority="21">
      <formula>#REF!&lt;$C$5+1</formula>
    </cfRule>
  </conditionalFormatting>
  <conditionalFormatting sqref="M170:M176">
    <cfRule type="expression" dxfId="78" priority="27">
      <formula>L170&lt;$C$5+1</formula>
    </cfRule>
  </conditionalFormatting>
  <conditionalFormatting sqref="M233">
    <cfRule type="expression" dxfId="77" priority="30">
      <formula>K180&lt;$C$5+1</formula>
    </cfRule>
  </conditionalFormatting>
  <conditionalFormatting sqref="M235:M236">
    <cfRule type="expression" dxfId="76" priority="24">
      <formula>K181&lt;$C$5+1</formula>
    </cfRule>
  </conditionalFormatting>
  <conditionalFormatting sqref="M9:S9">
    <cfRule type="notContainsBlanks" dxfId="75" priority="28">
      <formula>LEN(TRIM(M9))&gt;0</formula>
    </cfRule>
  </conditionalFormatting>
  <conditionalFormatting sqref="M65:S65">
    <cfRule type="notContainsBlanks" dxfId="74" priority="26">
      <formula>LEN(TRIM(M65))&gt;0</formula>
    </cfRule>
  </conditionalFormatting>
  <conditionalFormatting sqref="M122:S122">
    <cfRule type="notContainsBlanks" dxfId="73" priority="23">
      <formula>LEN(TRIM(M122))&gt;0</formula>
    </cfRule>
  </conditionalFormatting>
  <conditionalFormatting sqref="U178:U181">
    <cfRule type="notContainsBlanks" dxfId="72" priority="11">
      <formula>LEN(TRIM(U178))&gt;0</formula>
    </cfRule>
  </conditionalFormatting>
  <conditionalFormatting sqref="V57:V63">
    <cfRule type="notContainsBlanks" dxfId="71" priority="18">
      <formula>LEN(TRIM(V57))&gt;0</formula>
    </cfRule>
  </conditionalFormatting>
  <conditionalFormatting sqref="V120">
    <cfRule type="notContainsBlanks" dxfId="70" priority="14">
      <formula>LEN(TRIM(V120))&gt;0</formula>
    </cfRule>
  </conditionalFormatting>
  <conditionalFormatting sqref="V170:V177">
    <cfRule type="notContainsBlanks" dxfId="69" priority="9">
      <formula>LEN(TRIM(V170))&gt;0</formula>
    </cfRule>
  </conditionalFormatting>
  <conditionalFormatting sqref="V233">
    <cfRule type="expression" dxfId="68" priority="10">
      <formula>#REF!&lt;$C$5+1</formula>
    </cfRule>
  </conditionalFormatting>
  <conditionalFormatting sqref="W170:W176">
    <cfRule type="expression" dxfId="67" priority="16">
      <formula>V170&lt;$C$5+1</formula>
    </cfRule>
  </conditionalFormatting>
  <conditionalFormatting sqref="W233">
    <cfRule type="expression" dxfId="66" priority="19">
      <formula>U180&lt;$C$5+1</formula>
    </cfRule>
  </conditionalFormatting>
  <conditionalFormatting sqref="W235:W236">
    <cfRule type="expression" dxfId="65" priority="13">
      <formula>U181&lt;$C$5+1</formula>
    </cfRule>
  </conditionalFormatting>
  <conditionalFormatting sqref="W9:AC9">
    <cfRule type="notContainsBlanks" dxfId="64" priority="17">
      <formula>LEN(TRIM(W9))&gt;0</formula>
    </cfRule>
  </conditionalFormatting>
  <conditionalFormatting sqref="W65:AC65">
    <cfRule type="notContainsBlanks" dxfId="63" priority="15">
      <formula>LEN(TRIM(W65))&gt;0</formula>
    </cfRule>
  </conditionalFormatting>
  <conditionalFormatting sqref="W122:AC122">
    <cfRule type="notContainsBlanks" dxfId="62" priority="12">
      <formula>LEN(TRIM(W122))&gt;0</formula>
    </cfRule>
  </conditionalFormatting>
  <conditionalFormatting sqref="L10:L56">
    <cfRule type="notContainsBlanks" dxfId="61" priority="8">
      <formula>LEN(TRIM(L10))&gt;0</formula>
    </cfRule>
  </conditionalFormatting>
  <conditionalFormatting sqref="V10:V56">
    <cfRule type="notContainsBlanks" dxfId="60" priority="7">
      <formula>LEN(TRIM(V10))&gt;0</formula>
    </cfRule>
  </conditionalFormatting>
  <conditionalFormatting sqref="V66:V112">
    <cfRule type="notContainsBlanks" dxfId="59" priority="6">
      <formula>LEN(TRIM(V66))&gt;0</formula>
    </cfRule>
  </conditionalFormatting>
  <conditionalFormatting sqref="B66:B112">
    <cfRule type="notContainsBlanks" dxfId="58" priority="5">
      <formula>LEN(TRIM(B66))&gt;0</formula>
    </cfRule>
  </conditionalFormatting>
  <conditionalFormatting sqref="L66:L112">
    <cfRule type="notContainsBlanks" dxfId="57" priority="4">
      <formula>LEN(TRIM(L66))&gt;0</formula>
    </cfRule>
  </conditionalFormatting>
  <conditionalFormatting sqref="L123:L169">
    <cfRule type="notContainsBlanks" dxfId="56" priority="3">
      <formula>LEN(TRIM(L123))&gt;0</formula>
    </cfRule>
  </conditionalFormatting>
  <conditionalFormatting sqref="B123:B169">
    <cfRule type="notContainsBlanks" dxfId="55" priority="2">
      <formula>LEN(TRIM(B123))&gt;0</formula>
    </cfRule>
  </conditionalFormatting>
  <conditionalFormatting sqref="V123:V169">
    <cfRule type="notContainsBlanks" dxfId="54" priority="1">
      <formula>LEN(TRIM(V123))&gt;0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87"/>
  <sheetViews>
    <sheetView topLeftCell="A33" workbookViewId="0">
      <selection activeCell="K9" sqref="K9:K12"/>
    </sheetView>
  </sheetViews>
  <sheetFormatPr defaultRowHeight="14.25"/>
  <cols>
    <col min="3" max="3" width="24" customWidth="1"/>
    <col min="13" max="13" width="19" customWidth="1"/>
    <col min="23" max="23" width="18.875" customWidth="1"/>
  </cols>
  <sheetData>
    <row r="1" spans="1:29" ht="49.5" customHeight="1">
      <c r="A1" s="306" t="str">
        <f>Main!B26</f>
        <v>Step 3: Prioritizing Non-EU Countries Using an Integrated Entropy-CoCoSo Method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</row>
    <row r="2" spans="1:29" ht="18">
      <c r="A2" s="305" t="str">
        <f>Main!C26</f>
        <v>3.a. Non-EU countries based on 2019 data</v>
      </c>
      <c r="B2" s="305"/>
      <c r="C2" s="305"/>
      <c r="D2" s="305"/>
      <c r="E2" s="305"/>
      <c r="F2" s="305"/>
      <c r="G2" s="305"/>
      <c r="H2" s="305"/>
      <c r="I2" s="187"/>
      <c r="J2" s="187"/>
      <c r="K2" s="305" t="str">
        <f>Main!C27</f>
        <v>3.b. Non-EU countries based on 2021 data</v>
      </c>
      <c r="L2" s="305"/>
      <c r="M2" s="305"/>
      <c r="N2" s="305"/>
      <c r="O2" s="305"/>
      <c r="P2" s="305"/>
      <c r="Q2" s="305"/>
      <c r="R2" s="305"/>
      <c r="S2" s="187"/>
      <c r="T2" s="187"/>
      <c r="U2" s="305" t="str">
        <f>Main!C28</f>
        <v>3.c. Non-EU countries based on 2017-2021 data</v>
      </c>
      <c r="V2" s="305"/>
      <c r="W2" s="305"/>
      <c r="X2" s="305"/>
      <c r="Y2" s="305"/>
      <c r="Z2" s="305"/>
      <c r="AA2" s="305"/>
      <c r="AB2" s="305"/>
      <c r="AC2" s="187"/>
    </row>
    <row r="3" spans="1:29" ht="18.75" customHeight="1" thickBot="1">
      <c r="A3" s="289" t="s">
        <v>128</v>
      </c>
      <c r="B3" s="289"/>
      <c r="C3" s="289"/>
      <c r="D3" s="289"/>
      <c r="E3" s="289"/>
      <c r="F3" s="289"/>
      <c r="G3" s="289"/>
      <c r="H3" s="289"/>
      <c r="I3" s="289"/>
      <c r="J3" s="187"/>
      <c r="K3" s="289" t="s">
        <v>128</v>
      </c>
      <c r="L3" s="289"/>
      <c r="M3" s="289"/>
      <c r="N3" s="289"/>
      <c r="O3" s="289"/>
      <c r="P3" s="289"/>
      <c r="Q3" s="289"/>
      <c r="R3" s="289"/>
      <c r="S3" s="289"/>
      <c r="T3" s="187"/>
      <c r="U3" s="289" t="s">
        <v>128</v>
      </c>
      <c r="V3" s="289"/>
      <c r="W3" s="289"/>
      <c r="X3" s="289"/>
      <c r="Y3" s="289"/>
      <c r="Z3" s="289"/>
      <c r="AA3" s="289"/>
      <c r="AB3" s="289"/>
      <c r="AC3" s="289"/>
    </row>
    <row r="4" spans="1:29" ht="18">
      <c r="A4" s="290" t="s">
        <v>129</v>
      </c>
      <c r="B4" s="291"/>
      <c r="C4" s="292"/>
      <c r="D4" s="293"/>
      <c r="E4" s="293"/>
      <c r="F4" s="293"/>
      <c r="G4" s="293"/>
      <c r="H4" s="293"/>
      <c r="I4" s="293"/>
      <c r="J4" s="187"/>
      <c r="K4" s="290" t="s">
        <v>129</v>
      </c>
      <c r="L4" s="291"/>
      <c r="M4" s="292"/>
      <c r="N4" s="293"/>
      <c r="O4" s="293"/>
      <c r="P4" s="293"/>
      <c r="Q4" s="293"/>
      <c r="R4" s="293"/>
      <c r="S4" s="293"/>
      <c r="T4" s="187"/>
      <c r="U4" s="290" t="s">
        <v>129</v>
      </c>
      <c r="V4" s="291"/>
      <c r="W4" s="292"/>
      <c r="X4" s="293"/>
      <c r="Y4" s="293"/>
      <c r="Z4" s="293"/>
      <c r="AA4" s="293"/>
      <c r="AB4" s="293"/>
      <c r="AC4" s="293"/>
    </row>
    <row r="5" spans="1:29">
      <c r="A5" s="298" t="s">
        <v>130</v>
      </c>
      <c r="B5" s="299"/>
      <c r="C5" s="188">
        <v>27</v>
      </c>
      <c r="D5" s="189">
        <v>1</v>
      </c>
      <c r="E5" s="189">
        <v>2</v>
      </c>
      <c r="F5" s="189">
        <v>3</v>
      </c>
      <c r="G5" s="189">
        <v>4</v>
      </c>
      <c r="H5" s="189">
        <v>5</v>
      </c>
      <c r="I5" s="189">
        <v>6</v>
      </c>
      <c r="J5" s="187"/>
      <c r="K5" s="298" t="s">
        <v>130</v>
      </c>
      <c r="L5" s="299"/>
      <c r="M5" s="188">
        <v>27</v>
      </c>
      <c r="N5" s="189">
        <v>1</v>
      </c>
      <c r="O5" s="189">
        <v>2</v>
      </c>
      <c r="P5" s="189">
        <v>3</v>
      </c>
      <c r="Q5" s="189">
        <v>4</v>
      </c>
      <c r="R5" s="189">
        <v>5</v>
      </c>
      <c r="S5" s="189">
        <v>6</v>
      </c>
      <c r="T5" s="187"/>
      <c r="U5" s="298" t="s">
        <v>130</v>
      </c>
      <c r="V5" s="299"/>
      <c r="W5" s="188">
        <v>27</v>
      </c>
      <c r="X5" s="189">
        <v>1</v>
      </c>
      <c r="Y5" s="189">
        <v>2</v>
      </c>
      <c r="Z5" s="189">
        <v>3</v>
      </c>
      <c r="AA5" s="189">
        <v>4</v>
      </c>
      <c r="AB5" s="189">
        <v>5</v>
      </c>
      <c r="AC5" s="189">
        <v>6</v>
      </c>
    </row>
    <row r="6" spans="1:29" ht="15" thickBot="1">
      <c r="A6" s="300" t="s">
        <v>131</v>
      </c>
      <c r="B6" s="301"/>
      <c r="C6" s="190">
        <v>6</v>
      </c>
      <c r="D6" s="191"/>
      <c r="E6" s="191"/>
      <c r="F6" s="191"/>
      <c r="G6" s="191"/>
      <c r="H6" s="191"/>
      <c r="I6" s="191"/>
      <c r="J6" s="187"/>
      <c r="K6" s="300" t="s">
        <v>131</v>
      </c>
      <c r="L6" s="301"/>
      <c r="M6" s="190">
        <v>6</v>
      </c>
      <c r="N6" s="191"/>
      <c r="O6" s="191"/>
      <c r="P6" s="191"/>
      <c r="Q6" s="191"/>
      <c r="R6" s="191"/>
      <c r="S6" s="191"/>
      <c r="T6" s="187"/>
      <c r="U6" s="300" t="s">
        <v>131</v>
      </c>
      <c r="V6" s="301"/>
      <c r="W6" s="190">
        <v>6</v>
      </c>
      <c r="X6" s="191"/>
      <c r="Y6" s="191"/>
      <c r="Z6" s="191"/>
      <c r="AA6" s="191"/>
      <c r="AB6" s="191"/>
      <c r="AC6" s="191"/>
    </row>
    <row r="7" spans="1:29" ht="15.75" thickTop="1">
      <c r="A7" s="192"/>
      <c r="B7" s="193"/>
      <c r="C7" s="193" t="s">
        <v>132</v>
      </c>
      <c r="D7" s="194">
        <v>1</v>
      </c>
      <c r="E7" s="194">
        <v>1</v>
      </c>
      <c r="F7" s="194">
        <v>1</v>
      </c>
      <c r="G7" s="194">
        <v>1</v>
      </c>
      <c r="H7" s="194">
        <v>1</v>
      </c>
      <c r="I7" s="194">
        <v>1</v>
      </c>
      <c r="J7" s="187"/>
      <c r="K7" s="192"/>
      <c r="L7" s="193"/>
      <c r="M7" s="193" t="s">
        <v>132</v>
      </c>
      <c r="N7" s="194">
        <v>1</v>
      </c>
      <c r="O7" s="194">
        <v>1</v>
      </c>
      <c r="P7" s="194">
        <v>1</v>
      </c>
      <c r="Q7" s="194">
        <v>1</v>
      </c>
      <c r="R7" s="194">
        <v>1</v>
      </c>
      <c r="S7" s="194">
        <v>1</v>
      </c>
      <c r="T7" s="187"/>
      <c r="U7" s="192"/>
      <c r="V7" s="193"/>
      <c r="W7" s="193" t="s">
        <v>132</v>
      </c>
      <c r="X7" s="194">
        <v>1</v>
      </c>
      <c r="Y7" s="194">
        <v>1</v>
      </c>
      <c r="Z7" s="194">
        <v>1</v>
      </c>
      <c r="AA7" s="194">
        <v>1</v>
      </c>
      <c r="AB7" s="194">
        <v>1</v>
      </c>
      <c r="AC7" s="194">
        <v>1</v>
      </c>
    </row>
    <row r="8" spans="1:29" ht="15.75" thickBot="1">
      <c r="A8" s="192"/>
      <c r="B8" s="294" t="s">
        <v>133</v>
      </c>
      <c r="C8" s="294"/>
      <c r="D8" s="294"/>
      <c r="E8" s="294"/>
      <c r="F8" s="294"/>
      <c r="G8" s="294"/>
      <c r="H8" s="294"/>
      <c r="I8" s="294"/>
      <c r="J8" s="187"/>
      <c r="K8" s="192"/>
      <c r="L8" s="294" t="s">
        <v>133</v>
      </c>
      <c r="M8" s="294"/>
      <c r="N8" s="294"/>
      <c r="O8" s="294"/>
      <c r="P8" s="294"/>
      <c r="Q8" s="294"/>
      <c r="R8" s="294"/>
      <c r="S8" s="294"/>
      <c r="T8" s="187"/>
      <c r="U8" s="192"/>
      <c r="V8" s="294" t="s">
        <v>133</v>
      </c>
      <c r="W8" s="294"/>
      <c r="X8" s="294"/>
      <c r="Y8" s="294"/>
      <c r="Z8" s="294"/>
      <c r="AA8" s="294"/>
      <c r="AB8" s="294"/>
      <c r="AC8" s="294"/>
    </row>
    <row r="9" spans="1:29" ht="12.75" customHeight="1">
      <c r="A9" s="295" t="s">
        <v>134</v>
      </c>
      <c r="B9" s="195"/>
      <c r="C9" s="196" t="s">
        <v>25</v>
      </c>
      <c r="D9" s="196" t="s">
        <v>135</v>
      </c>
      <c r="E9" s="196" t="s">
        <v>136</v>
      </c>
      <c r="F9" s="196" t="s">
        <v>137</v>
      </c>
      <c r="G9" s="196" t="s">
        <v>138</v>
      </c>
      <c r="H9" s="196" t="s">
        <v>139</v>
      </c>
      <c r="I9" s="196" t="s">
        <v>140</v>
      </c>
      <c r="J9" s="187"/>
      <c r="K9" s="295" t="s">
        <v>134</v>
      </c>
      <c r="L9" s="195"/>
      <c r="M9" s="196" t="s">
        <v>25</v>
      </c>
      <c r="N9" s="196" t="s">
        <v>135</v>
      </c>
      <c r="O9" s="196" t="s">
        <v>136</v>
      </c>
      <c r="P9" s="196" t="s">
        <v>137</v>
      </c>
      <c r="Q9" s="196" t="s">
        <v>138</v>
      </c>
      <c r="R9" s="196" t="s">
        <v>139</v>
      </c>
      <c r="S9" s="196" t="s">
        <v>140</v>
      </c>
      <c r="T9" s="187"/>
      <c r="U9" s="295" t="s">
        <v>134</v>
      </c>
      <c r="V9" s="195"/>
      <c r="W9" s="196" t="s">
        <v>25</v>
      </c>
      <c r="X9" s="196" t="s">
        <v>135</v>
      </c>
      <c r="Y9" s="196" t="s">
        <v>136</v>
      </c>
      <c r="Z9" s="196" t="s">
        <v>137</v>
      </c>
      <c r="AA9" s="196" t="s">
        <v>138</v>
      </c>
      <c r="AB9" s="196" t="s">
        <v>139</v>
      </c>
      <c r="AC9" s="196" t="s">
        <v>140</v>
      </c>
    </row>
    <row r="10" spans="1:29" ht="12.75" customHeight="1">
      <c r="A10" s="296"/>
      <c r="B10" s="197">
        <v>1</v>
      </c>
      <c r="C10" s="198" t="s">
        <v>27</v>
      </c>
      <c r="D10" s="198">
        <v>42</v>
      </c>
      <c r="E10" s="198">
        <v>45.4</v>
      </c>
      <c r="F10" s="198">
        <v>43.5</v>
      </c>
      <c r="G10" s="198">
        <v>37.799999999999997</v>
      </c>
      <c r="H10" s="198">
        <v>55</v>
      </c>
      <c r="I10" s="198">
        <v>53.7</v>
      </c>
      <c r="J10" s="187"/>
      <c r="K10" s="296"/>
      <c r="L10" s="197">
        <v>1</v>
      </c>
      <c r="M10" s="198" t="s">
        <v>27</v>
      </c>
      <c r="N10" s="198">
        <v>42</v>
      </c>
      <c r="O10" s="198">
        <v>40</v>
      </c>
      <c r="P10" s="198">
        <v>38.1</v>
      </c>
      <c r="Q10" s="198">
        <v>47.4</v>
      </c>
      <c r="R10" s="198">
        <v>52.1</v>
      </c>
      <c r="S10" s="198">
        <v>50.6</v>
      </c>
      <c r="T10" s="187"/>
      <c r="U10" s="296"/>
      <c r="V10" s="197">
        <v>1</v>
      </c>
      <c r="W10" s="198" t="s">
        <v>27</v>
      </c>
      <c r="X10" s="198">
        <v>42</v>
      </c>
      <c r="Y10" s="198">
        <v>42.7</v>
      </c>
      <c r="Z10" s="198">
        <v>40.799999999999997</v>
      </c>
      <c r="AA10" s="198">
        <v>42.599999999999994</v>
      </c>
      <c r="AB10" s="198">
        <v>53.55</v>
      </c>
      <c r="AC10" s="198">
        <v>52.150000000000006</v>
      </c>
    </row>
    <row r="11" spans="1:29" ht="12.75" customHeight="1">
      <c r="A11" s="296"/>
      <c r="B11" s="197">
        <v>2</v>
      </c>
      <c r="C11" s="198" t="s">
        <v>28</v>
      </c>
      <c r="D11" s="198">
        <v>19</v>
      </c>
      <c r="E11" s="198">
        <v>2.2000000000000002</v>
      </c>
      <c r="F11" s="198">
        <v>33.4</v>
      </c>
      <c r="G11" s="198">
        <v>15.5</v>
      </c>
      <c r="H11" s="198">
        <v>33</v>
      </c>
      <c r="I11" s="198">
        <v>79.900000000000006</v>
      </c>
      <c r="J11" s="187"/>
      <c r="K11" s="296"/>
      <c r="L11" s="197">
        <v>2</v>
      </c>
      <c r="M11" s="198" t="s">
        <v>28</v>
      </c>
      <c r="N11" s="198">
        <v>27.1</v>
      </c>
      <c r="O11" s="198">
        <v>2.2000000000000002</v>
      </c>
      <c r="P11" s="198">
        <v>39.5</v>
      </c>
      <c r="Q11" s="198">
        <v>15.4</v>
      </c>
      <c r="R11" s="198">
        <v>43.2</v>
      </c>
      <c r="S11" s="198">
        <v>80.5</v>
      </c>
      <c r="T11" s="187"/>
      <c r="U11" s="296"/>
      <c r="V11" s="197">
        <v>2</v>
      </c>
      <c r="W11" s="198" t="s">
        <v>28</v>
      </c>
      <c r="X11" s="198">
        <v>23.05</v>
      </c>
      <c r="Y11" s="198">
        <v>2.2000000000000002</v>
      </c>
      <c r="Z11" s="198">
        <v>36.450000000000003</v>
      </c>
      <c r="AA11" s="198">
        <v>15.45</v>
      </c>
      <c r="AB11" s="198">
        <v>38.1</v>
      </c>
      <c r="AC11" s="198">
        <v>80.2</v>
      </c>
    </row>
    <row r="12" spans="1:29" ht="12.75" customHeight="1" thickBot="1">
      <c r="A12" s="297"/>
      <c r="B12" s="197">
        <v>3</v>
      </c>
      <c r="C12" s="198" t="s">
        <v>29</v>
      </c>
      <c r="D12" s="198">
        <v>75</v>
      </c>
      <c r="E12" s="198">
        <v>67.900000000000006</v>
      </c>
      <c r="F12" s="198">
        <v>72.599999999999994</v>
      </c>
      <c r="G12" s="198">
        <v>55</v>
      </c>
      <c r="H12" s="198">
        <v>58.7</v>
      </c>
      <c r="I12" s="198">
        <v>50.3</v>
      </c>
      <c r="J12" s="187"/>
      <c r="K12" s="297"/>
      <c r="L12" s="197">
        <v>3</v>
      </c>
      <c r="M12" s="198" t="s">
        <v>29</v>
      </c>
      <c r="N12" s="198">
        <v>79.3</v>
      </c>
      <c r="O12" s="198">
        <v>69.599999999999994</v>
      </c>
      <c r="P12" s="198">
        <v>56.3</v>
      </c>
      <c r="Q12" s="198">
        <v>58.8</v>
      </c>
      <c r="R12" s="198">
        <v>59.2</v>
      </c>
      <c r="S12" s="198">
        <v>47.6</v>
      </c>
      <c r="T12" s="187"/>
      <c r="U12" s="297"/>
      <c r="V12" s="197">
        <v>3</v>
      </c>
      <c r="W12" s="198" t="s">
        <v>29</v>
      </c>
      <c r="X12" s="198">
        <v>77.150000000000006</v>
      </c>
      <c r="Y12" s="198">
        <v>68.75</v>
      </c>
      <c r="Z12" s="198">
        <v>64.449999999999989</v>
      </c>
      <c r="AA12" s="198">
        <v>56.9</v>
      </c>
      <c r="AB12" s="198">
        <v>58.95</v>
      </c>
      <c r="AC12" s="198">
        <v>48.95</v>
      </c>
    </row>
    <row r="13" spans="1:29" ht="12.75" customHeight="1">
      <c r="A13" s="199"/>
      <c r="B13" s="197">
        <v>4</v>
      </c>
      <c r="C13" s="198" t="s">
        <v>30</v>
      </c>
      <c r="D13" s="198">
        <v>32.6</v>
      </c>
      <c r="E13" s="198">
        <v>21.7</v>
      </c>
      <c r="F13" s="198">
        <v>33.4</v>
      </c>
      <c r="G13" s="198">
        <v>21.7</v>
      </c>
      <c r="H13" s="198">
        <v>37.799999999999997</v>
      </c>
      <c r="I13" s="198">
        <v>57.8</v>
      </c>
      <c r="J13" s="187"/>
      <c r="K13" s="199"/>
      <c r="L13" s="197">
        <v>4</v>
      </c>
      <c r="M13" s="198" t="s">
        <v>30</v>
      </c>
      <c r="N13" s="198">
        <v>32.6</v>
      </c>
      <c r="O13" s="198">
        <v>21.7</v>
      </c>
      <c r="P13" s="198">
        <v>32.4</v>
      </c>
      <c r="Q13" s="198">
        <v>24.1</v>
      </c>
      <c r="R13" s="198">
        <v>38.4</v>
      </c>
      <c r="S13" s="198">
        <v>59.3</v>
      </c>
      <c r="T13" s="187"/>
      <c r="U13" s="199"/>
      <c r="V13" s="197">
        <v>4</v>
      </c>
      <c r="W13" s="198" t="s">
        <v>30</v>
      </c>
      <c r="X13" s="198">
        <v>32.6</v>
      </c>
      <c r="Y13" s="198">
        <v>21.7</v>
      </c>
      <c r="Z13" s="198">
        <v>32.9</v>
      </c>
      <c r="AA13" s="198">
        <v>22.9</v>
      </c>
      <c r="AB13" s="198">
        <v>38.099999999999994</v>
      </c>
      <c r="AC13" s="198">
        <v>58.55</v>
      </c>
    </row>
    <row r="14" spans="1:29" ht="12.75" customHeight="1">
      <c r="A14" s="199"/>
      <c r="B14" s="197">
        <v>5</v>
      </c>
      <c r="C14" s="198" t="s">
        <v>31</v>
      </c>
      <c r="D14" s="198">
        <v>31.2</v>
      </c>
      <c r="E14" s="198">
        <v>26.1</v>
      </c>
      <c r="F14" s="198">
        <v>49.4</v>
      </c>
      <c r="G14" s="198">
        <v>43.3</v>
      </c>
      <c r="H14" s="198">
        <v>46.7</v>
      </c>
      <c r="I14" s="198">
        <v>53.8</v>
      </c>
      <c r="J14" s="187"/>
      <c r="K14" s="199"/>
      <c r="L14" s="197">
        <v>5</v>
      </c>
      <c r="M14" s="198" t="s">
        <v>31</v>
      </c>
      <c r="N14" s="198">
        <v>34</v>
      </c>
      <c r="O14" s="198">
        <v>34.4</v>
      </c>
      <c r="P14" s="198">
        <v>42.2</v>
      </c>
      <c r="Q14" s="198">
        <v>45.7</v>
      </c>
      <c r="R14" s="198">
        <v>55.6</v>
      </c>
      <c r="S14" s="198">
        <v>51.6</v>
      </c>
      <c r="T14" s="187"/>
      <c r="U14" s="199"/>
      <c r="V14" s="197">
        <v>5</v>
      </c>
      <c r="W14" s="198" t="s">
        <v>31</v>
      </c>
      <c r="X14" s="198">
        <v>32.6</v>
      </c>
      <c r="Y14" s="198">
        <v>30.25</v>
      </c>
      <c r="Z14" s="198">
        <v>45.8</v>
      </c>
      <c r="AA14" s="198">
        <v>44.5</v>
      </c>
      <c r="AB14" s="198">
        <v>51.150000000000006</v>
      </c>
      <c r="AC14" s="198">
        <v>52.7</v>
      </c>
    </row>
    <row r="15" spans="1:29" ht="12.75" customHeight="1">
      <c r="A15" s="199"/>
      <c r="B15" s="197">
        <v>6</v>
      </c>
      <c r="C15" s="198" t="s">
        <v>32</v>
      </c>
      <c r="D15" s="198">
        <v>34.6</v>
      </c>
      <c r="E15" s="198">
        <v>13.3</v>
      </c>
      <c r="F15" s="198">
        <v>36</v>
      </c>
      <c r="G15" s="198">
        <v>39.299999999999997</v>
      </c>
      <c r="H15" s="198">
        <v>45.3</v>
      </c>
      <c r="I15" s="198">
        <v>49.9</v>
      </c>
      <c r="J15" s="187"/>
      <c r="K15" s="199"/>
      <c r="L15" s="197">
        <v>6</v>
      </c>
      <c r="M15" s="198" t="s">
        <v>32</v>
      </c>
      <c r="N15" s="198">
        <v>30.4</v>
      </c>
      <c r="O15" s="198">
        <v>13.9</v>
      </c>
      <c r="P15" s="198">
        <v>36.700000000000003</v>
      </c>
      <c r="Q15" s="198">
        <v>41.7</v>
      </c>
      <c r="R15" s="198">
        <v>38.9</v>
      </c>
      <c r="S15" s="198">
        <v>50.7</v>
      </c>
      <c r="T15" s="187"/>
      <c r="U15" s="199"/>
      <c r="V15" s="197">
        <v>6</v>
      </c>
      <c r="W15" s="198" t="s">
        <v>32</v>
      </c>
      <c r="X15" s="198">
        <v>32.5</v>
      </c>
      <c r="Y15" s="198">
        <v>13.600000000000001</v>
      </c>
      <c r="Z15" s="198">
        <v>36.35</v>
      </c>
      <c r="AA15" s="198">
        <v>40.5</v>
      </c>
      <c r="AB15" s="198">
        <v>42.099999999999994</v>
      </c>
      <c r="AC15" s="198">
        <v>50.3</v>
      </c>
    </row>
    <row r="16" spans="1:29" ht="12.75" customHeight="1">
      <c r="A16" s="199"/>
      <c r="B16" s="197">
        <v>7</v>
      </c>
      <c r="C16" s="198" t="s">
        <v>33</v>
      </c>
      <c r="D16" s="198">
        <v>51.1</v>
      </c>
      <c r="E16" s="198">
        <v>51.5</v>
      </c>
      <c r="F16" s="198">
        <v>43.8</v>
      </c>
      <c r="G16" s="198">
        <v>23.3</v>
      </c>
      <c r="H16" s="198">
        <v>67.5</v>
      </c>
      <c r="I16" s="198">
        <v>52</v>
      </c>
      <c r="J16" s="187"/>
      <c r="K16" s="199"/>
      <c r="L16" s="197">
        <v>7</v>
      </c>
      <c r="M16" s="198" t="s">
        <v>33</v>
      </c>
      <c r="N16" s="198">
        <v>55.2</v>
      </c>
      <c r="O16" s="198">
        <v>65.099999999999994</v>
      </c>
      <c r="P16" s="198">
        <v>46.1</v>
      </c>
      <c r="Q16" s="198">
        <v>33.700000000000003</v>
      </c>
      <c r="R16" s="198">
        <v>63.9</v>
      </c>
      <c r="S16" s="198">
        <v>51.6</v>
      </c>
      <c r="T16" s="187"/>
      <c r="U16" s="199"/>
      <c r="V16" s="197">
        <v>7</v>
      </c>
      <c r="W16" s="198" t="s">
        <v>33</v>
      </c>
      <c r="X16" s="198">
        <v>53.150000000000006</v>
      </c>
      <c r="Y16" s="198">
        <v>58.3</v>
      </c>
      <c r="Z16" s="198">
        <v>44.95</v>
      </c>
      <c r="AA16" s="198">
        <v>28.5</v>
      </c>
      <c r="AB16" s="198">
        <v>65.7</v>
      </c>
      <c r="AC16" s="198">
        <v>51.8</v>
      </c>
    </row>
    <row r="17" spans="1:29" ht="12.75" customHeight="1">
      <c r="A17" s="199"/>
      <c r="B17" s="197">
        <v>8</v>
      </c>
      <c r="C17" s="198" t="s">
        <v>34</v>
      </c>
      <c r="D17" s="198">
        <v>33.200000000000003</v>
      </c>
      <c r="E17" s="198">
        <v>32.200000000000003</v>
      </c>
      <c r="F17" s="198">
        <v>44.8</v>
      </c>
      <c r="G17" s="198">
        <v>47.5</v>
      </c>
      <c r="H17" s="198">
        <v>46.9</v>
      </c>
      <c r="I17" s="198">
        <v>80.7</v>
      </c>
      <c r="J17" s="187"/>
      <c r="K17" s="199"/>
      <c r="L17" s="197">
        <v>8</v>
      </c>
      <c r="M17" s="198" t="s">
        <v>34</v>
      </c>
      <c r="N17" s="198">
        <v>40</v>
      </c>
      <c r="O17" s="198">
        <v>36.4</v>
      </c>
      <c r="P17" s="198">
        <v>47.9</v>
      </c>
      <c r="Q17" s="198">
        <v>52.2</v>
      </c>
      <c r="R17" s="198">
        <v>34.4</v>
      </c>
      <c r="S17" s="198">
        <v>79.900000000000006</v>
      </c>
      <c r="T17" s="187"/>
      <c r="U17" s="199"/>
      <c r="V17" s="197">
        <v>8</v>
      </c>
      <c r="W17" s="198" t="s">
        <v>34</v>
      </c>
      <c r="X17" s="198">
        <v>36.6</v>
      </c>
      <c r="Y17" s="198">
        <v>34.299999999999997</v>
      </c>
      <c r="Z17" s="198">
        <v>46.349999999999994</v>
      </c>
      <c r="AA17" s="198">
        <v>49.85</v>
      </c>
      <c r="AB17" s="198">
        <v>40.65</v>
      </c>
      <c r="AC17" s="198">
        <v>80.300000000000011</v>
      </c>
    </row>
    <row r="18" spans="1:29" ht="12.75" customHeight="1">
      <c r="A18" s="199"/>
      <c r="B18" s="197">
        <v>9</v>
      </c>
      <c r="C18" s="198" t="s">
        <v>35</v>
      </c>
      <c r="D18" s="198">
        <v>41.6</v>
      </c>
      <c r="E18" s="198">
        <v>43.3</v>
      </c>
      <c r="F18" s="198">
        <v>52.6</v>
      </c>
      <c r="G18" s="198">
        <v>52.8</v>
      </c>
      <c r="H18" s="198">
        <v>43.4</v>
      </c>
      <c r="I18" s="198">
        <v>70.400000000000006</v>
      </c>
      <c r="J18" s="187"/>
      <c r="K18" s="199"/>
      <c r="L18" s="197">
        <v>9</v>
      </c>
      <c r="M18" s="198" t="s">
        <v>35</v>
      </c>
      <c r="N18" s="198">
        <v>41.6</v>
      </c>
      <c r="O18" s="198">
        <v>46.7</v>
      </c>
      <c r="P18" s="198">
        <v>44.4</v>
      </c>
      <c r="Q18" s="198">
        <v>55.2</v>
      </c>
      <c r="R18" s="198">
        <v>30.9</v>
      </c>
      <c r="S18" s="198">
        <v>64.2</v>
      </c>
      <c r="T18" s="187"/>
      <c r="U18" s="199"/>
      <c r="V18" s="197">
        <v>9</v>
      </c>
      <c r="W18" s="198" t="s">
        <v>35</v>
      </c>
      <c r="X18" s="198">
        <v>41.6</v>
      </c>
      <c r="Y18" s="198">
        <v>45</v>
      </c>
      <c r="Z18" s="198">
        <v>48.5</v>
      </c>
      <c r="AA18" s="198">
        <v>54</v>
      </c>
      <c r="AB18" s="198">
        <v>37.15</v>
      </c>
      <c r="AC18" s="198">
        <v>67.300000000000011</v>
      </c>
    </row>
    <row r="19" spans="1:29" ht="12.75" customHeight="1">
      <c r="A19" s="199"/>
      <c r="B19" s="197">
        <v>10</v>
      </c>
      <c r="C19" s="198" t="s">
        <v>36</v>
      </c>
      <c r="D19" s="198">
        <v>55</v>
      </c>
      <c r="E19" s="198">
        <v>22.4</v>
      </c>
      <c r="F19" s="198">
        <v>39.700000000000003</v>
      </c>
      <c r="G19" s="198">
        <v>32.299999999999997</v>
      </c>
      <c r="H19" s="198">
        <v>58.7</v>
      </c>
      <c r="I19" s="198">
        <v>60.5</v>
      </c>
      <c r="J19" s="187"/>
      <c r="K19" s="199"/>
      <c r="L19" s="197">
        <v>10</v>
      </c>
      <c r="M19" s="198" t="s">
        <v>36</v>
      </c>
      <c r="N19" s="198">
        <v>54.9</v>
      </c>
      <c r="O19" s="198">
        <v>29.2</v>
      </c>
      <c r="P19" s="198">
        <v>36.5</v>
      </c>
      <c r="Q19" s="198">
        <v>34.6</v>
      </c>
      <c r="R19" s="198">
        <v>58.7</v>
      </c>
      <c r="S19" s="198">
        <v>62.9</v>
      </c>
      <c r="T19" s="187"/>
      <c r="U19" s="199"/>
      <c r="V19" s="197">
        <v>10</v>
      </c>
      <c r="W19" s="198" t="s">
        <v>36</v>
      </c>
      <c r="X19" s="198">
        <v>54.95</v>
      </c>
      <c r="Y19" s="198">
        <v>25.799999999999997</v>
      </c>
      <c r="Z19" s="198">
        <v>38.1</v>
      </c>
      <c r="AA19" s="198">
        <v>33.450000000000003</v>
      </c>
      <c r="AB19" s="198">
        <v>58.7</v>
      </c>
      <c r="AC19" s="198">
        <v>61.7</v>
      </c>
    </row>
    <row r="20" spans="1:29" ht="12.75" customHeight="1">
      <c r="A20" s="199"/>
      <c r="B20" s="197">
        <v>11</v>
      </c>
      <c r="C20" s="198" t="s">
        <v>37</v>
      </c>
      <c r="D20" s="198">
        <v>27.5</v>
      </c>
      <c r="E20" s="198">
        <v>26.7</v>
      </c>
      <c r="F20" s="198">
        <v>36.5</v>
      </c>
      <c r="G20" s="198">
        <v>40.5</v>
      </c>
      <c r="H20" s="198">
        <v>67</v>
      </c>
      <c r="I20" s="198">
        <v>60.1</v>
      </c>
      <c r="J20" s="187"/>
      <c r="K20" s="199"/>
      <c r="L20" s="197">
        <v>11</v>
      </c>
      <c r="M20" s="198" t="s">
        <v>37</v>
      </c>
      <c r="N20" s="198">
        <v>27.8</v>
      </c>
      <c r="O20" s="198">
        <v>26.7</v>
      </c>
      <c r="P20" s="198">
        <v>32.799999999999997</v>
      </c>
      <c r="Q20" s="198">
        <v>40.4</v>
      </c>
      <c r="R20" s="198">
        <v>66.099999999999994</v>
      </c>
      <c r="S20" s="198">
        <v>60.4</v>
      </c>
      <c r="T20" s="187"/>
      <c r="U20" s="199"/>
      <c r="V20" s="197">
        <v>11</v>
      </c>
      <c r="W20" s="198" t="s">
        <v>37</v>
      </c>
      <c r="X20" s="198">
        <v>27.65</v>
      </c>
      <c r="Y20" s="198">
        <v>26.7</v>
      </c>
      <c r="Z20" s="198">
        <v>34.65</v>
      </c>
      <c r="AA20" s="198">
        <v>40.450000000000003</v>
      </c>
      <c r="AB20" s="198">
        <v>66.55</v>
      </c>
      <c r="AC20" s="198">
        <v>60.25</v>
      </c>
    </row>
    <row r="21" spans="1:29" ht="12.75" customHeight="1">
      <c r="A21" s="199"/>
      <c r="B21" s="197">
        <v>12</v>
      </c>
      <c r="C21" s="198" t="s">
        <v>38</v>
      </c>
      <c r="D21" s="198">
        <v>32.799999999999997</v>
      </c>
      <c r="E21" s="198">
        <v>17.100000000000001</v>
      </c>
      <c r="F21" s="198">
        <v>42.9</v>
      </c>
      <c r="G21" s="198">
        <v>44.3</v>
      </c>
      <c r="H21" s="198">
        <v>50</v>
      </c>
      <c r="I21" s="198">
        <v>83.1</v>
      </c>
      <c r="J21" s="187"/>
      <c r="K21" s="199"/>
      <c r="L21" s="197">
        <v>12</v>
      </c>
      <c r="M21" s="198" t="s">
        <v>38</v>
      </c>
      <c r="N21" s="198">
        <v>41.2</v>
      </c>
      <c r="O21" s="198">
        <v>17.100000000000001</v>
      </c>
      <c r="P21" s="198">
        <v>37.700000000000003</v>
      </c>
      <c r="Q21" s="198">
        <v>46.6</v>
      </c>
      <c r="R21" s="198">
        <v>51.4</v>
      </c>
      <c r="S21" s="198">
        <v>84.4</v>
      </c>
      <c r="T21" s="187"/>
      <c r="U21" s="199"/>
      <c r="V21" s="197">
        <v>12</v>
      </c>
      <c r="W21" s="198" t="s">
        <v>38</v>
      </c>
      <c r="X21" s="198">
        <v>37</v>
      </c>
      <c r="Y21" s="198">
        <v>17.100000000000001</v>
      </c>
      <c r="Z21" s="198">
        <v>40.299999999999997</v>
      </c>
      <c r="AA21" s="198">
        <v>45.45</v>
      </c>
      <c r="AB21" s="198">
        <v>50.7</v>
      </c>
      <c r="AC21" s="198">
        <v>83.75</v>
      </c>
    </row>
    <row r="22" spans="1:29" ht="12.75" customHeight="1">
      <c r="A22" s="199"/>
      <c r="B22" s="197">
        <v>13</v>
      </c>
      <c r="C22" s="198" t="s">
        <v>39</v>
      </c>
      <c r="D22" s="198">
        <v>37.299999999999997</v>
      </c>
      <c r="E22" s="198">
        <v>34.200000000000003</v>
      </c>
      <c r="F22" s="198">
        <v>40</v>
      </c>
      <c r="G22" s="198">
        <v>46.8</v>
      </c>
      <c r="H22" s="198">
        <v>38.9</v>
      </c>
      <c r="I22" s="198">
        <v>47.5</v>
      </c>
      <c r="J22" s="187"/>
      <c r="K22" s="199"/>
      <c r="L22" s="197">
        <v>13</v>
      </c>
      <c r="M22" s="198" t="s">
        <v>39</v>
      </c>
      <c r="N22" s="198">
        <v>41.6</v>
      </c>
      <c r="O22" s="198">
        <v>34.200000000000003</v>
      </c>
      <c r="P22" s="198">
        <v>35.700000000000003</v>
      </c>
      <c r="Q22" s="198">
        <v>48.3</v>
      </c>
      <c r="R22" s="198">
        <v>38.9</v>
      </c>
      <c r="S22" s="198">
        <v>47.5</v>
      </c>
      <c r="T22" s="187"/>
      <c r="U22" s="199"/>
      <c r="V22" s="197">
        <v>13</v>
      </c>
      <c r="W22" s="198" t="s">
        <v>39</v>
      </c>
      <c r="X22" s="198">
        <v>39.450000000000003</v>
      </c>
      <c r="Y22" s="198">
        <v>34.200000000000003</v>
      </c>
      <c r="Z22" s="198">
        <v>37.85</v>
      </c>
      <c r="AA22" s="198">
        <v>47.55</v>
      </c>
      <c r="AB22" s="198">
        <v>38.9</v>
      </c>
      <c r="AC22" s="198">
        <v>47.5</v>
      </c>
    </row>
    <row r="23" spans="1:29" ht="12.75" customHeight="1">
      <c r="A23" s="199"/>
      <c r="B23" s="197">
        <v>14</v>
      </c>
      <c r="C23" s="198" t="s">
        <v>40</v>
      </c>
      <c r="D23" s="198">
        <v>7.5</v>
      </c>
      <c r="E23" s="198">
        <v>20.6</v>
      </c>
      <c r="F23" s="198">
        <v>30.8</v>
      </c>
      <c r="G23" s="198">
        <v>40.9</v>
      </c>
      <c r="H23" s="198">
        <v>26.9</v>
      </c>
      <c r="I23" s="198">
        <v>76</v>
      </c>
      <c r="J23" s="187"/>
      <c r="K23" s="199"/>
      <c r="L23" s="197">
        <v>14</v>
      </c>
      <c r="M23" s="198" t="s">
        <v>40</v>
      </c>
      <c r="N23" s="198">
        <v>7.5</v>
      </c>
      <c r="O23" s="198">
        <v>20.6</v>
      </c>
      <c r="P23" s="198">
        <v>35.6</v>
      </c>
      <c r="Q23" s="198">
        <v>40.9</v>
      </c>
      <c r="R23" s="198">
        <v>19.100000000000001</v>
      </c>
      <c r="S23" s="198">
        <v>76</v>
      </c>
      <c r="T23" s="187"/>
      <c r="U23" s="199"/>
      <c r="V23" s="197">
        <v>14</v>
      </c>
      <c r="W23" s="198" t="s">
        <v>40</v>
      </c>
      <c r="X23" s="198">
        <v>7.5</v>
      </c>
      <c r="Y23" s="198">
        <v>20.6</v>
      </c>
      <c r="Z23" s="198">
        <v>33.200000000000003</v>
      </c>
      <c r="AA23" s="198">
        <v>40.9</v>
      </c>
      <c r="AB23" s="198">
        <v>23</v>
      </c>
      <c r="AC23" s="198">
        <v>76</v>
      </c>
    </row>
    <row r="24" spans="1:29" ht="12.75" customHeight="1">
      <c r="A24" s="199"/>
      <c r="B24" s="197">
        <v>15</v>
      </c>
      <c r="C24" s="198" t="s">
        <v>41</v>
      </c>
      <c r="D24" s="198">
        <v>36.299999999999997</v>
      </c>
      <c r="E24" s="198">
        <v>17.5</v>
      </c>
      <c r="F24" s="198">
        <v>42.3</v>
      </c>
      <c r="G24" s="198">
        <v>37</v>
      </c>
      <c r="H24" s="198">
        <v>54</v>
      </c>
      <c r="I24" s="198">
        <v>57.6</v>
      </c>
      <c r="J24" s="187"/>
      <c r="K24" s="199"/>
      <c r="L24" s="197">
        <v>15</v>
      </c>
      <c r="M24" s="198" t="s">
        <v>41</v>
      </c>
      <c r="N24" s="198">
        <v>33.799999999999997</v>
      </c>
      <c r="O24" s="198">
        <v>32.1</v>
      </c>
      <c r="P24" s="198">
        <v>39.700000000000003</v>
      </c>
      <c r="Q24" s="198">
        <v>41.7</v>
      </c>
      <c r="R24" s="198">
        <v>59.2</v>
      </c>
      <c r="S24" s="198">
        <v>57.9</v>
      </c>
      <c r="T24" s="187"/>
      <c r="U24" s="199"/>
      <c r="V24" s="197">
        <v>15</v>
      </c>
      <c r="W24" s="198" t="s">
        <v>41</v>
      </c>
      <c r="X24" s="198">
        <v>35.049999999999997</v>
      </c>
      <c r="Y24" s="198">
        <v>24.8</v>
      </c>
      <c r="Z24" s="198">
        <v>41</v>
      </c>
      <c r="AA24" s="198">
        <v>39.35</v>
      </c>
      <c r="AB24" s="198">
        <v>56.6</v>
      </c>
      <c r="AC24" s="198">
        <v>57.75</v>
      </c>
    </row>
    <row r="25" spans="1:29" ht="12.75" customHeight="1">
      <c r="A25" s="199"/>
      <c r="B25" s="197">
        <v>16</v>
      </c>
      <c r="C25" s="198" t="s">
        <v>42</v>
      </c>
      <c r="D25" s="198">
        <v>39.9</v>
      </c>
      <c r="E25" s="198">
        <v>30.8</v>
      </c>
      <c r="F25" s="198">
        <v>40.200000000000003</v>
      </c>
      <c r="G25" s="198">
        <v>28.8</v>
      </c>
      <c r="H25" s="198">
        <v>43.2</v>
      </c>
      <c r="I25" s="198">
        <v>57.6</v>
      </c>
      <c r="J25" s="187"/>
      <c r="K25" s="199"/>
      <c r="L25" s="197">
        <v>16</v>
      </c>
      <c r="M25" s="198" t="s">
        <v>42</v>
      </c>
      <c r="N25" s="198">
        <v>35.700000000000003</v>
      </c>
      <c r="O25" s="198">
        <v>37.1</v>
      </c>
      <c r="P25" s="198">
        <v>35.200000000000003</v>
      </c>
      <c r="Q25" s="198">
        <v>38.299999999999997</v>
      </c>
      <c r="R25" s="198">
        <v>47.4</v>
      </c>
      <c r="S25" s="198">
        <v>59.7</v>
      </c>
      <c r="T25" s="187"/>
      <c r="U25" s="199"/>
      <c r="V25" s="197">
        <v>16</v>
      </c>
      <c r="W25" s="198" t="s">
        <v>42</v>
      </c>
      <c r="X25" s="198">
        <v>37.799999999999997</v>
      </c>
      <c r="Y25" s="198">
        <v>33.950000000000003</v>
      </c>
      <c r="Z25" s="198">
        <v>37.700000000000003</v>
      </c>
      <c r="AA25" s="198">
        <v>33.549999999999997</v>
      </c>
      <c r="AB25" s="198">
        <v>45.3</v>
      </c>
      <c r="AC25" s="198">
        <v>58.650000000000006</v>
      </c>
    </row>
    <row r="26" spans="1:29" ht="12.75" customHeight="1">
      <c r="A26" s="199"/>
      <c r="B26" s="197">
        <v>17</v>
      </c>
      <c r="C26" s="198" t="s">
        <v>43</v>
      </c>
      <c r="D26" s="198">
        <v>49.6</v>
      </c>
      <c r="E26" s="198">
        <v>52.5</v>
      </c>
      <c r="F26" s="198">
        <v>68.099999999999994</v>
      </c>
      <c r="G26" s="198">
        <v>45.1</v>
      </c>
      <c r="H26" s="198">
        <v>64.8</v>
      </c>
      <c r="I26" s="198">
        <v>88.2</v>
      </c>
      <c r="J26" s="187"/>
      <c r="K26" s="199"/>
      <c r="L26" s="197">
        <v>17</v>
      </c>
      <c r="M26" s="198" t="s">
        <v>43</v>
      </c>
      <c r="N26" s="198">
        <v>53.8</v>
      </c>
      <c r="O26" s="198">
        <v>46.3</v>
      </c>
      <c r="P26" s="198">
        <v>57.5</v>
      </c>
      <c r="Q26" s="198">
        <v>45</v>
      </c>
      <c r="R26" s="198">
        <v>69.400000000000006</v>
      </c>
      <c r="S26" s="198">
        <v>89</v>
      </c>
      <c r="T26" s="187"/>
      <c r="U26" s="199"/>
      <c r="V26" s="197">
        <v>17</v>
      </c>
      <c r="W26" s="198" t="s">
        <v>43</v>
      </c>
      <c r="X26" s="198">
        <v>51.7</v>
      </c>
      <c r="Y26" s="198">
        <v>49.4</v>
      </c>
      <c r="Z26" s="198">
        <v>62.8</v>
      </c>
      <c r="AA26" s="198">
        <v>45.05</v>
      </c>
      <c r="AB26" s="198">
        <v>67.099999999999994</v>
      </c>
      <c r="AC26" s="198">
        <v>88.6</v>
      </c>
    </row>
    <row r="27" spans="1:29" ht="12.75" customHeight="1">
      <c r="A27" s="199"/>
      <c r="B27" s="197">
        <v>18</v>
      </c>
      <c r="C27" s="198" t="s">
        <v>44</v>
      </c>
      <c r="D27" s="198">
        <v>42.1</v>
      </c>
      <c r="E27" s="198">
        <v>35.299999999999997</v>
      </c>
      <c r="F27" s="198">
        <v>54.7</v>
      </c>
      <c r="G27" s="198">
        <v>49.6</v>
      </c>
      <c r="H27" s="198">
        <v>51.4</v>
      </c>
      <c r="I27" s="198">
        <v>49.6</v>
      </c>
      <c r="J27" s="187"/>
      <c r="K27" s="199"/>
      <c r="L27" s="197">
        <v>18</v>
      </c>
      <c r="M27" s="198" t="s">
        <v>44</v>
      </c>
      <c r="N27" s="198">
        <v>45.5</v>
      </c>
      <c r="O27" s="198">
        <v>43.6</v>
      </c>
      <c r="P27" s="198">
        <v>44.7</v>
      </c>
      <c r="Q27" s="198">
        <v>58.9</v>
      </c>
      <c r="R27" s="198">
        <v>51.4</v>
      </c>
      <c r="S27" s="198">
        <v>50.5</v>
      </c>
      <c r="T27" s="187"/>
      <c r="U27" s="199"/>
      <c r="V27" s="197">
        <v>18</v>
      </c>
      <c r="W27" s="198" t="s">
        <v>44</v>
      </c>
      <c r="X27" s="198">
        <v>43.8</v>
      </c>
      <c r="Y27" s="198">
        <v>39.450000000000003</v>
      </c>
      <c r="Z27" s="198">
        <v>49.7</v>
      </c>
      <c r="AA27" s="198">
        <v>54.25</v>
      </c>
      <c r="AB27" s="198">
        <v>51.4</v>
      </c>
      <c r="AC27" s="198">
        <v>50.05</v>
      </c>
    </row>
    <row r="28" spans="1:29" ht="12.75" customHeight="1">
      <c r="A28" s="199"/>
      <c r="B28" s="197">
        <v>19</v>
      </c>
      <c r="C28" s="198" t="s">
        <v>45</v>
      </c>
      <c r="D28" s="198">
        <v>17.399999999999999</v>
      </c>
      <c r="E28" s="198">
        <v>17.2</v>
      </c>
      <c r="F28" s="198">
        <v>28.8</v>
      </c>
      <c r="G28" s="198">
        <v>28.6</v>
      </c>
      <c r="H28" s="198">
        <v>26.6</v>
      </c>
      <c r="I28" s="198">
        <v>74.5</v>
      </c>
      <c r="J28" s="187"/>
      <c r="K28" s="199"/>
      <c r="L28" s="197">
        <v>19</v>
      </c>
      <c r="M28" s="198" t="s">
        <v>45</v>
      </c>
      <c r="N28" s="198">
        <v>17.399999999999999</v>
      </c>
      <c r="O28" s="198">
        <v>21.4</v>
      </c>
      <c r="P28" s="198">
        <v>36.6</v>
      </c>
      <c r="Q28" s="198">
        <v>28.6</v>
      </c>
      <c r="R28" s="198">
        <v>18.8</v>
      </c>
      <c r="S28" s="198">
        <v>74.7</v>
      </c>
      <c r="T28" s="187"/>
      <c r="U28" s="199"/>
      <c r="V28" s="197">
        <v>19</v>
      </c>
      <c r="W28" s="198" t="s">
        <v>45</v>
      </c>
      <c r="X28" s="198">
        <v>17.399999999999999</v>
      </c>
      <c r="Y28" s="198">
        <v>19.299999999999997</v>
      </c>
      <c r="Z28" s="198">
        <v>32.700000000000003</v>
      </c>
      <c r="AA28" s="198">
        <v>28.6</v>
      </c>
      <c r="AB28" s="198">
        <v>22.700000000000003</v>
      </c>
      <c r="AC28" s="198">
        <v>74.599999999999994</v>
      </c>
    </row>
    <row r="29" spans="1:29" ht="12.75" customHeight="1">
      <c r="A29" s="199"/>
      <c r="B29" s="197">
        <v>20</v>
      </c>
      <c r="C29" s="198" t="s">
        <v>46</v>
      </c>
      <c r="D29" s="198">
        <v>44</v>
      </c>
      <c r="E29" s="198">
        <v>28.6</v>
      </c>
      <c r="F29" s="198">
        <v>41.2</v>
      </c>
      <c r="G29" s="198">
        <v>46.2</v>
      </c>
      <c r="H29" s="198">
        <v>50.9</v>
      </c>
      <c r="I29" s="198">
        <v>58.9</v>
      </c>
      <c r="J29" s="187"/>
      <c r="K29" s="199"/>
      <c r="L29" s="197">
        <v>20</v>
      </c>
      <c r="M29" s="198" t="s">
        <v>46</v>
      </c>
      <c r="N29" s="198">
        <v>44</v>
      </c>
      <c r="O29" s="198">
        <v>28.6</v>
      </c>
      <c r="P29" s="198">
        <v>36.299999999999997</v>
      </c>
      <c r="Q29" s="198">
        <v>50.9</v>
      </c>
      <c r="R29" s="198">
        <v>51.4</v>
      </c>
      <c r="S29" s="198">
        <v>58.5</v>
      </c>
      <c r="T29" s="187"/>
      <c r="U29" s="199"/>
      <c r="V29" s="197">
        <v>20</v>
      </c>
      <c r="W29" s="198" t="s">
        <v>46</v>
      </c>
      <c r="X29" s="198">
        <v>44</v>
      </c>
      <c r="Y29" s="198">
        <v>28.6</v>
      </c>
      <c r="Z29" s="198">
        <v>38.75</v>
      </c>
      <c r="AA29" s="198">
        <v>48.55</v>
      </c>
      <c r="AB29" s="198">
        <v>51.15</v>
      </c>
      <c r="AC29" s="198">
        <v>58.7</v>
      </c>
    </row>
    <row r="30" spans="1:29" ht="12.75" customHeight="1">
      <c r="A30" s="199"/>
      <c r="B30" s="197">
        <v>21</v>
      </c>
      <c r="C30" s="198" t="s">
        <v>47</v>
      </c>
      <c r="D30" s="198">
        <v>50.2</v>
      </c>
      <c r="E30" s="198">
        <v>38.299999999999997</v>
      </c>
      <c r="F30" s="198">
        <v>71.3</v>
      </c>
      <c r="G30" s="198">
        <v>50.9</v>
      </c>
      <c r="H30" s="198">
        <v>68.099999999999994</v>
      </c>
      <c r="I30" s="198">
        <v>83.9</v>
      </c>
      <c r="J30" s="187"/>
      <c r="K30" s="199"/>
      <c r="L30" s="197">
        <v>21</v>
      </c>
      <c r="M30" s="198" t="s">
        <v>47</v>
      </c>
      <c r="N30" s="198">
        <v>50.2</v>
      </c>
      <c r="O30" s="198">
        <v>42.5</v>
      </c>
      <c r="P30" s="198">
        <v>64.900000000000006</v>
      </c>
      <c r="Q30" s="198">
        <v>50.9</v>
      </c>
      <c r="R30" s="198">
        <v>59.7</v>
      </c>
      <c r="S30" s="198">
        <v>84.6</v>
      </c>
      <c r="T30" s="187"/>
      <c r="U30" s="199"/>
      <c r="V30" s="197">
        <v>21</v>
      </c>
      <c r="W30" s="198" t="s">
        <v>47</v>
      </c>
      <c r="X30" s="198">
        <v>50.2</v>
      </c>
      <c r="Y30" s="198">
        <v>40.4</v>
      </c>
      <c r="Z30" s="198">
        <v>68.099999999999994</v>
      </c>
      <c r="AA30" s="198">
        <v>50.9</v>
      </c>
      <c r="AB30" s="198">
        <v>63.9</v>
      </c>
      <c r="AC30" s="198">
        <v>84.25</v>
      </c>
    </row>
    <row r="31" spans="1:29" ht="12.75" customHeight="1">
      <c r="A31" s="199"/>
      <c r="B31" s="197">
        <v>22</v>
      </c>
      <c r="C31" s="198" t="s">
        <v>48</v>
      </c>
      <c r="D31" s="198">
        <v>30.8</v>
      </c>
      <c r="E31" s="198">
        <v>5.8</v>
      </c>
      <c r="F31" s="198">
        <v>34.5</v>
      </c>
      <c r="G31" s="198">
        <v>24.9</v>
      </c>
      <c r="H31" s="198">
        <v>39.4</v>
      </c>
      <c r="I31" s="198">
        <v>43.5</v>
      </c>
      <c r="J31" s="187"/>
      <c r="K31" s="199"/>
      <c r="L31" s="197">
        <v>22</v>
      </c>
      <c r="M31" s="198" t="s">
        <v>48</v>
      </c>
      <c r="N31" s="198">
        <v>22.1</v>
      </c>
      <c r="O31" s="198">
        <v>10.6</v>
      </c>
      <c r="P31" s="198">
        <v>29.3</v>
      </c>
      <c r="Q31" s="198">
        <v>24.8</v>
      </c>
      <c r="R31" s="198">
        <v>41.1</v>
      </c>
      <c r="S31" s="198">
        <v>48</v>
      </c>
      <c r="T31" s="187"/>
      <c r="U31" s="199"/>
      <c r="V31" s="197">
        <v>22</v>
      </c>
      <c r="W31" s="198" t="s">
        <v>48</v>
      </c>
      <c r="X31" s="198">
        <v>26.450000000000003</v>
      </c>
      <c r="Y31" s="198">
        <v>8.1999999999999993</v>
      </c>
      <c r="Z31" s="198">
        <v>31.9</v>
      </c>
      <c r="AA31" s="198">
        <v>24.85</v>
      </c>
      <c r="AB31" s="198">
        <v>40.25</v>
      </c>
      <c r="AC31" s="198">
        <v>45.75</v>
      </c>
    </row>
    <row r="32" spans="1:29" ht="12.75" customHeight="1">
      <c r="A32" s="199"/>
      <c r="B32" s="197">
        <v>23</v>
      </c>
      <c r="C32" s="198" t="s">
        <v>49</v>
      </c>
      <c r="D32" s="198">
        <v>50.3</v>
      </c>
      <c r="E32" s="198">
        <v>35.1</v>
      </c>
      <c r="F32" s="198">
        <v>46.4</v>
      </c>
      <c r="G32" s="198">
        <v>49.1</v>
      </c>
      <c r="H32" s="198">
        <v>59.7</v>
      </c>
      <c r="I32" s="198">
        <v>57.8</v>
      </c>
      <c r="J32" s="187"/>
      <c r="K32" s="199"/>
      <c r="L32" s="197">
        <v>23</v>
      </c>
      <c r="M32" s="198" t="s">
        <v>49</v>
      </c>
      <c r="N32" s="198">
        <v>51.1</v>
      </c>
      <c r="O32" s="198">
        <v>41.4</v>
      </c>
      <c r="P32" s="198">
        <v>36.6</v>
      </c>
      <c r="Q32" s="198">
        <v>53.9</v>
      </c>
      <c r="R32" s="198">
        <v>59.7</v>
      </c>
      <c r="S32" s="198">
        <v>57.2</v>
      </c>
      <c r="T32" s="187"/>
      <c r="U32" s="199"/>
      <c r="V32" s="197">
        <v>23</v>
      </c>
      <c r="W32" s="198" t="s">
        <v>49</v>
      </c>
      <c r="X32" s="198">
        <v>50.7</v>
      </c>
      <c r="Y32" s="198">
        <v>38.25</v>
      </c>
      <c r="Z32" s="198">
        <v>41.5</v>
      </c>
      <c r="AA32" s="198">
        <v>51.5</v>
      </c>
      <c r="AB32" s="198">
        <v>59.7</v>
      </c>
      <c r="AC32" s="198">
        <v>57.5</v>
      </c>
    </row>
    <row r="33" spans="1:29" ht="12.75" customHeight="1">
      <c r="A33" s="199"/>
      <c r="B33" s="197">
        <v>24</v>
      </c>
      <c r="C33" s="198" t="s">
        <v>50</v>
      </c>
      <c r="D33" s="198">
        <v>22</v>
      </c>
      <c r="E33" s="198">
        <v>27.1</v>
      </c>
      <c r="F33" s="198">
        <v>32.700000000000003</v>
      </c>
      <c r="G33" s="198">
        <v>31.2</v>
      </c>
      <c r="H33" s="198">
        <v>38</v>
      </c>
      <c r="I33" s="198">
        <v>48.8</v>
      </c>
      <c r="J33" s="187"/>
      <c r="K33" s="199"/>
      <c r="L33" s="197">
        <v>24</v>
      </c>
      <c r="M33" s="198" t="s">
        <v>50</v>
      </c>
      <c r="N33" s="198">
        <v>22.1</v>
      </c>
      <c r="O33" s="198">
        <v>27.6</v>
      </c>
      <c r="P33" s="198">
        <v>21.8</v>
      </c>
      <c r="Q33" s="198">
        <v>30.6</v>
      </c>
      <c r="R33" s="198">
        <v>38</v>
      </c>
      <c r="S33" s="198">
        <v>51.1</v>
      </c>
      <c r="T33" s="187"/>
      <c r="U33" s="199"/>
      <c r="V33" s="197">
        <v>24</v>
      </c>
      <c r="W33" s="198" t="s">
        <v>50</v>
      </c>
      <c r="X33" s="198">
        <v>22.05</v>
      </c>
      <c r="Y33" s="198">
        <v>27.35</v>
      </c>
      <c r="Z33" s="198">
        <v>27.25</v>
      </c>
      <c r="AA33" s="198">
        <v>30.9</v>
      </c>
      <c r="AB33" s="198">
        <v>38</v>
      </c>
      <c r="AC33" s="198">
        <v>49.95</v>
      </c>
    </row>
    <row r="34" spans="1:29" ht="12.75" customHeight="1">
      <c r="A34" s="199"/>
      <c r="B34" s="197">
        <v>25</v>
      </c>
      <c r="C34" s="198" t="s">
        <v>51</v>
      </c>
      <c r="D34" s="198">
        <v>32.799999999999997</v>
      </c>
      <c r="E34" s="198">
        <v>23.3</v>
      </c>
      <c r="F34" s="198">
        <v>37.700000000000003</v>
      </c>
      <c r="G34" s="198">
        <v>32.700000000000003</v>
      </c>
      <c r="H34" s="198">
        <v>50.9</v>
      </c>
      <c r="I34" s="198">
        <v>44</v>
      </c>
      <c r="J34" s="187"/>
      <c r="K34" s="199"/>
      <c r="L34" s="197">
        <v>25</v>
      </c>
      <c r="M34" s="198" t="s">
        <v>51</v>
      </c>
      <c r="N34" s="198">
        <v>31.4</v>
      </c>
      <c r="O34" s="198">
        <v>32.799999999999997</v>
      </c>
      <c r="P34" s="198">
        <v>26.1</v>
      </c>
      <c r="Q34" s="198">
        <v>49.1</v>
      </c>
      <c r="R34" s="198">
        <v>47.2</v>
      </c>
      <c r="S34" s="198">
        <v>46.7</v>
      </c>
      <c r="T34" s="187"/>
      <c r="U34" s="199"/>
      <c r="V34" s="197">
        <v>25</v>
      </c>
      <c r="W34" s="198" t="s">
        <v>51</v>
      </c>
      <c r="X34" s="198">
        <v>32.099999999999994</v>
      </c>
      <c r="Y34" s="198">
        <v>28.049999999999997</v>
      </c>
      <c r="Z34" s="198">
        <v>31.900000000000002</v>
      </c>
      <c r="AA34" s="198">
        <v>40.900000000000006</v>
      </c>
      <c r="AB34" s="198">
        <v>49.05</v>
      </c>
      <c r="AC34" s="198">
        <v>45.35</v>
      </c>
    </row>
    <row r="35" spans="1:29" ht="12.75" customHeight="1">
      <c r="A35" s="199"/>
      <c r="B35" s="197">
        <v>26</v>
      </c>
      <c r="C35" s="198" t="s">
        <v>52</v>
      </c>
      <c r="D35" s="198">
        <v>63.3</v>
      </c>
      <c r="E35" s="198">
        <v>62.5</v>
      </c>
      <c r="F35" s="198">
        <v>68.099999999999994</v>
      </c>
      <c r="G35" s="198">
        <v>66</v>
      </c>
      <c r="H35" s="198">
        <v>75</v>
      </c>
      <c r="I35" s="198">
        <v>75</v>
      </c>
      <c r="J35" s="187"/>
      <c r="K35" s="199"/>
      <c r="L35" s="197">
        <v>26</v>
      </c>
      <c r="M35" s="198" t="s">
        <v>52</v>
      </c>
      <c r="N35" s="198">
        <v>63.5</v>
      </c>
      <c r="O35" s="198">
        <v>70.8</v>
      </c>
      <c r="P35" s="198">
        <v>64.8</v>
      </c>
      <c r="Q35" s="198">
        <v>68.3</v>
      </c>
      <c r="R35" s="198">
        <v>62.5</v>
      </c>
      <c r="S35" s="198">
        <v>73</v>
      </c>
      <c r="T35" s="187"/>
      <c r="U35" s="199"/>
      <c r="V35" s="197">
        <v>26</v>
      </c>
      <c r="W35" s="198" t="s">
        <v>52</v>
      </c>
      <c r="X35" s="198">
        <v>63.4</v>
      </c>
      <c r="Y35" s="198">
        <v>66.650000000000006</v>
      </c>
      <c r="Z35" s="198">
        <v>66.449999999999989</v>
      </c>
      <c r="AA35" s="198">
        <v>67.150000000000006</v>
      </c>
      <c r="AB35" s="198">
        <v>68.75</v>
      </c>
      <c r="AC35" s="198">
        <v>74</v>
      </c>
    </row>
    <row r="36" spans="1:29" ht="12.75" customHeight="1">
      <c r="A36" s="199"/>
      <c r="B36" s="197">
        <v>27</v>
      </c>
      <c r="C36" s="198" t="s">
        <v>53</v>
      </c>
      <c r="D36" s="198">
        <v>36.200000000000003</v>
      </c>
      <c r="E36" s="198">
        <v>20</v>
      </c>
      <c r="F36" s="198">
        <v>35.700000000000003</v>
      </c>
      <c r="G36" s="198">
        <v>24.4</v>
      </c>
      <c r="H36" s="198">
        <v>57.3</v>
      </c>
      <c r="I36" s="198">
        <v>52.7</v>
      </c>
      <c r="J36" s="187"/>
      <c r="K36" s="199"/>
      <c r="L36" s="197">
        <v>27</v>
      </c>
      <c r="M36" s="198" t="s">
        <v>53</v>
      </c>
      <c r="N36" s="198">
        <v>40.6</v>
      </c>
      <c r="O36" s="198">
        <v>18.5</v>
      </c>
      <c r="P36" s="198">
        <v>28.6</v>
      </c>
      <c r="Q36" s="198">
        <v>30.3</v>
      </c>
      <c r="R36" s="198">
        <v>62.8</v>
      </c>
      <c r="S36" s="198">
        <v>53.3</v>
      </c>
      <c r="T36" s="187"/>
      <c r="U36" s="199"/>
      <c r="V36" s="197">
        <v>27</v>
      </c>
      <c r="W36" s="198" t="s">
        <v>53</v>
      </c>
      <c r="X36" s="198">
        <v>38.400000000000006</v>
      </c>
      <c r="Y36" s="198">
        <v>19.25</v>
      </c>
      <c r="Z36" s="198">
        <v>32.150000000000006</v>
      </c>
      <c r="AA36" s="198">
        <v>27.35</v>
      </c>
      <c r="AB36" s="198">
        <v>60.05</v>
      </c>
      <c r="AC36" s="198">
        <v>53</v>
      </c>
    </row>
    <row r="37" spans="1:29" ht="12.75" hidden="1" customHeight="1">
      <c r="A37" s="199"/>
      <c r="B37" s="197" t="s">
        <v>141</v>
      </c>
      <c r="C37" s="198"/>
      <c r="D37" s="198"/>
      <c r="E37" s="198"/>
      <c r="F37" s="198"/>
      <c r="G37" s="198"/>
      <c r="H37" s="198"/>
      <c r="I37" s="198"/>
      <c r="J37" s="187"/>
      <c r="K37" s="199"/>
      <c r="L37" s="197" t="s">
        <v>141</v>
      </c>
      <c r="M37" s="198"/>
      <c r="N37" s="198"/>
      <c r="O37" s="198"/>
      <c r="P37" s="198"/>
      <c r="Q37" s="198"/>
      <c r="R37" s="198"/>
      <c r="S37" s="198"/>
      <c r="T37" s="187"/>
      <c r="U37" s="199"/>
      <c r="V37" s="197" t="s">
        <v>141</v>
      </c>
      <c r="W37" s="198"/>
      <c r="X37" s="198"/>
      <c r="Y37" s="198"/>
      <c r="Z37" s="198"/>
      <c r="AA37" s="198"/>
      <c r="AB37" s="198"/>
      <c r="AC37" s="198"/>
    </row>
    <row r="38" spans="1:29" ht="12.75" hidden="1" customHeight="1">
      <c r="A38" s="199"/>
      <c r="B38" s="197" t="s">
        <v>142</v>
      </c>
      <c r="C38" s="198"/>
      <c r="D38" s="198"/>
      <c r="E38" s="198"/>
      <c r="F38" s="198"/>
      <c r="G38" s="198"/>
      <c r="H38" s="198"/>
      <c r="I38" s="198"/>
      <c r="J38" s="187"/>
      <c r="K38" s="199"/>
      <c r="L38" s="197" t="s">
        <v>142</v>
      </c>
      <c r="M38" s="198"/>
      <c r="N38" s="198"/>
      <c r="O38" s="198"/>
      <c r="P38" s="198"/>
      <c r="Q38" s="198"/>
      <c r="R38" s="198"/>
      <c r="S38" s="198"/>
      <c r="T38" s="187"/>
      <c r="U38" s="199"/>
      <c r="V38" s="197" t="s">
        <v>142</v>
      </c>
      <c r="W38" s="198"/>
      <c r="X38" s="198"/>
      <c r="Y38" s="198"/>
      <c r="Z38" s="198"/>
      <c r="AA38" s="198"/>
      <c r="AB38" s="198"/>
      <c r="AC38" s="198"/>
    </row>
    <row r="39" spans="1:29" ht="12.75" hidden="1" customHeight="1">
      <c r="A39" s="199"/>
      <c r="B39" s="197" t="s">
        <v>142</v>
      </c>
      <c r="C39" s="198"/>
      <c r="D39" s="198"/>
      <c r="E39" s="198"/>
      <c r="F39" s="198"/>
      <c r="G39" s="198"/>
      <c r="H39" s="198"/>
      <c r="I39" s="198"/>
      <c r="J39" s="187"/>
      <c r="K39" s="199"/>
      <c r="L39" s="197" t="s">
        <v>142</v>
      </c>
      <c r="M39" s="198"/>
      <c r="N39" s="198"/>
      <c r="O39" s="198"/>
      <c r="P39" s="198"/>
      <c r="Q39" s="198"/>
      <c r="R39" s="198"/>
      <c r="S39" s="198"/>
      <c r="T39" s="187"/>
      <c r="U39" s="199"/>
      <c r="V39" s="197" t="s">
        <v>142</v>
      </c>
      <c r="W39" s="198"/>
      <c r="X39" s="198"/>
      <c r="Y39" s="198"/>
      <c r="Z39" s="198"/>
      <c r="AA39" s="198"/>
      <c r="AB39" s="198"/>
      <c r="AC39" s="198"/>
    </row>
    <row r="40" spans="1:29" ht="12.75" hidden="1" customHeight="1">
      <c r="A40" s="199"/>
      <c r="B40" s="197" t="s">
        <v>142</v>
      </c>
      <c r="C40" s="198"/>
      <c r="D40" s="198"/>
      <c r="E40" s="198"/>
      <c r="F40" s="198"/>
      <c r="G40" s="198"/>
      <c r="H40" s="198"/>
      <c r="I40" s="198"/>
      <c r="J40" s="187"/>
      <c r="K40" s="199"/>
      <c r="L40" s="197" t="s">
        <v>142</v>
      </c>
      <c r="M40" s="198"/>
      <c r="N40" s="198"/>
      <c r="O40" s="198"/>
      <c r="P40" s="198"/>
      <c r="Q40" s="198"/>
      <c r="R40" s="198"/>
      <c r="S40" s="198"/>
      <c r="T40" s="187"/>
      <c r="U40" s="199"/>
      <c r="V40" s="197" t="s">
        <v>142</v>
      </c>
      <c r="W40" s="198"/>
      <c r="X40" s="198"/>
      <c r="Y40" s="198"/>
      <c r="Z40" s="198"/>
      <c r="AA40" s="198"/>
      <c r="AB40" s="198"/>
      <c r="AC40" s="198"/>
    </row>
    <row r="41" spans="1:29" ht="12.75" hidden="1" customHeight="1">
      <c r="A41" s="199"/>
      <c r="B41" s="197" t="s">
        <v>142</v>
      </c>
      <c r="C41" s="198"/>
      <c r="D41" s="198"/>
      <c r="E41" s="198"/>
      <c r="F41" s="198"/>
      <c r="G41" s="198"/>
      <c r="H41" s="198"/>
      <c r="I41" s="198"/>
      <c r="J41" s="187"/>
      <c r="K41" s="199"/>
      <c r="L41" s="197" t="s">
        <v>142</v>
      </c>
      <c r="M41" s="198"/>
      <c r="N41" s="198"/>
      <c r="O41" s="198"/>
      <c r="P41" s="198"/>
      <c r="Q41" s="198"/>
      <c r="R41" s="198"/>
      <c r="S41" s="198"/>
      <c r="T41" s="187"/>
      <c r="U41" s="199"/>
      <c r="V41" s="197" t="s">
        <v>142</v>
      </c>
      <c r="W41" s="198"/>
      <c r="X41" s="198"/>
      <c r="Y41" s="198"/>
      <c r="Z41" s="198"/>
      <c r="AA41" s="198"/>
      <c r="AB41" s="198"/>
      <c r="AC41" s="198"/>
    </row>
    <row r="42" spans="1:29" ht="12.75" hidden="1" customHeight="1">
      <c r="A42" s="199"/>
      <c r="B42" s="197" t="s">
        <v>142</v>
      </c>
      <c r="C42" s="198"/>
      <c r="D42" s="198"/>
      <c r="E42" s="198"/>
      <c r="F42" s="198"/>
      <c r="G42" s="198"/>
      <c r="H42" s="198"/>
      <c r="I42" s="198"/>
      <c r="J42" s="187"/>
      <c r="K42" s="199"/>
      <c r="L42" s="197" t="s">
        <v>142</v>
      </c>
      <c r="M42" s="198"/>
      <c r="N42" s="198"/>
      <c r="O42" s="198"/>
      <c r="P42" s="198"/>
      <c r="Q42" s="198"/>
      <c r="R42" s="198"/>
      <c r="S42" s="198"/>
      <c r="T42" s="187"/>
      <c r="U42" s="199"/>
      <c r="V42" s="197" t="s">
        <v>142</v>
      </c>
      <c r="W42" s="198"/>
      <c r="X42" s="198"/>
      <c r="Y42" s="198"/>
      <c r="Z42" s="198"/>
      <c r="AA42" s="198"/>
      <c r="AB42" s="198"/>
      <c r="AC42" s="198"/>
    </row>
    <row r="43" spans="1:29" ht="12.75" hidden="1" customHeight="1">
      <c r="A43" s="199"/>
      <c r="B43" s="197" t="s">
        <v>142</v>
      </c>
      <c r="C43" s="198"/>
      <c r="D43" s="198"/>
      <c r="E43" s="198"/>
      <c r="F43" s="198"/>
      <c r="G43" s="198"/>
      <c r="H43" s="198"/>
      <c r="I43" s="198"/>
      <c r="J43" s="187"/>
      <c r="K43" s="199"/>
      <c r="L43" s="197" t="s">
        <v>142</v>
      </c>
      <c r="M43" s="198"/>
      <c r="N43" s="198"/>
      <c r="O43" s="198"/>
      <c r="P43" s="198"/>
      <c r="Q43" s="198"/>
      <c r="R43" s="198"/>
      <c r="S43" s="198"/>
      <c r="T43" s="187"/>
      <c r="U43" s="199"/>
      <c r="V43" s="197" t="s">
        <v>142</v>
      </c>
      <c r="W43" s="198"/>
      <c r="X43" s="198"/>
      <c r="Y43" s="198"/>
      <c r="Z43" s="198"/>
      <c r="AA43" s="198"/>
      <c r="AB43" s="198"/>
      <c r="AC43" s="198"/>
    </row>
    <row r="44" spans="1:29" ht="12.75" hidden="1" customHeight="1">
      <c r="A44" s="199"/>
      <c r="B44" s="197" t="s">
        <v>142</v>
      </c>
      <c r="C44" s="198"/>
      <c r="D44" s="198"/>
      <c r="E44" s="198"/>
      <c r="F44" s="198"/>
      <c r="G44" s="198"/>
      <c r="H44" s="198"/>
      <c r="I44" s="198"/>
      <c r="J44" s="187"/>
      <c r="K44" s="199"/>
      <c r="L44" s="197" t="s">
        <v>142</v>
      </c>
      <c r="M44" s="198"/>
      <c r="N44" s="198"/>
      <c r="O44" s="198"/>
      <c r="P44" s="198"/>
      <c r="Q44" s="198"/>
      <c r="R44" s="198"/>
      <c r="S44" s="198"/>
      <c r="T44" s="187"/>
      <c r="U44" s="199"/>
      <c r="V44" s="197" t="s">
        <v>142</v>
      </c>
      <c r="W44" s="198"/>
      <c r="X44" s="198"/>
      <c r="Y44" s="198"/>
      <c r="Z44" s="198"/>
      <c r="AA44" s="198"/>
      <c r="AB44" s="198"/>
      <c r="AC44" s="198"/>
    </row>
    <row r="45" spans="1:29" ht="12.75" hidden="1" customHeight="1">
      <c r="A45" s="199"/>
      <c r="B45" s="197" t="s">
        <v>142</v>
      </c>
      <c r="C45" s="198"/>
      <c r="D45" s="198"/>
      <c r="E45" s="198"/>
      <c r="F45" s="198"/>
      <c r="G45" s="198"/>
      <c r="H45" s="198"/>
      <c r="I45" s="198"/>
      <c r="J45" s="187"/>
      <c r="K45" s="199"/>
      <c r="L45" s="197" t="s">
        <v>142</v>
      </c>
      <c r="M45" s="198"/>
      <c r="N45" s="198"/>
      <c r="O45" s="198"/>
      <c r="P45" s="198"/>
      <c r="Q45" s="198"/>
      <c r="R45" s="198"/>
      <c r="S45" s="198"/>
      <c r="T45" s="187"/>
      <c r="U45" s="199"/>
      <c r="V45" s="197" t="s">
        <v>142</v>
      </c>
      <c r="W45" s="198"/>
      <c r="X45" s="198"/>
      <c r="Y45" s="198"/>
      <c r="Z45" s="198"/>
      <c r="AA45" s="198"/>
      <c r="AB45" s="198"/>
      <c r="AC45" s="198"/>
    </row>
    <row r="46" spans="1:29" ht="12.75" hidden="1" customHeight="1">
      <c r="A46" s="199"/>
      <c r="B46" s="197" t="s">
        <v>142</v>
      </c>
      <c r="C46" s="198"/>
      <c r="D46" s="198"/>
      <c r="E46" s="198"/>
      <c r="F46" s="198"/>
      <c r="G46" s="198"/>
      <c r="H46" s="198"/>
      <c r="I46" s="198"/>
      <c r="J46" s="187"/>
      <c r="K46" s="199"/>
      <c r="L46" s="197" t="s">
        <v>142</v>
      </c>
      <c r="M46" s="198"/>
      <c r="N46" s="198"/>
      <c r="O46" s="198"/>
      <c r="P46" s="198"/>
      <c r="Q46" s="198"/>
      <c r="R46" s="198"/>
      <c r="S46" s="198"/>
      <c r="T46" s="187"/>
      <c r="U46" s="199"/>
      <c r="V46" s="197" t="s">
        <v>142</v>
      </c>
      <c r="W46" s="198"/>
      <c r="X46" s="198"/>
      <c r="Y46" s="198"/>
      <c r="Z46" s="198"/>
      <c r="AA46" s="198"/>
      <c r="AB46" s="198"/>
      <c r="AC46" s="198"/>
    </row>
    <row r="47" spans="1:29" ht="12.75" hidden="1" customHeight="1">
      <c r="A47" s="199"/>
      <c r="B47" s="197" t="s">
        <v>142</v>
      </c>
      <c r="C47" s="198"/>
      <c r="D47" s="198"/>
      <c r="E47" s="198"/>
      <c r="F47" s="198"/>
      <c r="G47" s="198"/>
      <c r="H47" s="198"/>
      <c r="I47" s="198"/>
      <c r="J47" s="187"/>
      <c r="K47" s="199"/>
      <c r="L47" s="197" t="s">
        <v>142</v>
      </c>
      <c r="M47" s="198"/>
      <c r="N47" s="198"/>
      <c r="O47" s="198"/>
      <c r="P47" s="198"/>
      <c r="Q47" s="198"/>
      <c r="R47" s="198"/>
      <c r="S47" s="198"/>
      <c r="T47" s="187"/>
      <c r="U47" s="199"/>
      <c r="V47" s="197" t="s">
        <v>142</v>
      </c>
      <c r="W47" s="198"/>
      <c r="X47" s="198"/>
      <c r="Y47" s="198"/>
      <c r="Z47" s="198"/>
      <c r="AA47" s="198"/>
      <c r="AB47" s="198"/>
      <c r="AC47" s="198"/>
    </row>
    <row r="48" spans="1:29" ht="12.75" hidden="1" customHeight="1">
      <c r="A48" s="199"/>
      <c r="B48" s="197" t="s">
        <v>142</v>
      </c>
      <c r="C48" s="198"/>
      <c r="D48" s="198"/>
      <c r="E48" s="198"/>
      <c r="F48" s="198"/>
      <c r="G48" s="198"/>
      <c r="H48" s="198"/>
      <c r="I48" s="198"/>
      <c r="J48" s="187"/>
      <c r="K48" s="199"/>
      <c r="L48" s="197" t="s">
        <v>142</v>
      </c>
      <c r="M48" s="198"/>
      <c r="N48" s="198"/>
      <c r="O48" s="198"/>
      <c r="P48" s="198"/>
      <c r="Q48" s="198"/>
      <c r="R48" s="198"/>
      <c r="S48" s="198"/>
      <c r="T48" s="187"/>
      <c r="U48" s="199"/>
      <c r="V48" s="197" t="s">
        <v>142</v>
      </c>
      <c r="W48" s="198"/>
      <c r="X48" s="198"/>
      <c r="Y48" s="198"/>
      <c r="Z48" s="198"/>
      <c r="AA48" s="198"/>
      <c r="AB48" s="198"/>
      <c r="AC48" s="198"/>
    </row>
    <row r="49" spans="1:29" ht="12.75" hidden="1" customHeight="1">
      <c r="A49" s="199"/>
      <c r="B49" s="197" t="s">
        <v>142</v>
      </c>
      <c r="C49" s="198"/>
      <c r="D49" s="198"/>
      <c r="E49" s="198"/>
      <c r="F49" s="198"/>
      <c r="G49" s="198"/>
      <c r="H49" s="198"/>
      <c r="I49" s="198"/>
      <c r="J49" s="187"/>
      <c r="K49" s="199"/>
      <c r="L49" s="197" t="s">
        <v>142</v>
      </c>
      <c r="M49" s="198"/>
      <c r="N49" s="198"/>
      <c r="O49" s="198"/>
      <c r="P49" s="198"/>
      <c r="Q49" s="198"/>
      <c r="R49" s="198"/>
      <c r="S49" s="198"/>
      <c r="T49" s="187"/>
      <c r="U49" s="199"/>
      <c r="V49" s="197" t="s">
        <v>142</v>
      </c>
      <c r="W49" s="198"/>
      <c r="X49" s="198"/>
      <c r="Y49" s="198"/>
      <c r="Z49" s="198"/>
      <c r="AA49" s="198"/>
      <c r="AB49" s="198"/>
      <c r="AC49" s="198"/>
    </row>
    <row r="50" spans="1:29" ht="12.75" hidden="1" customHeight="1">
      <c r="A50" s="199"/>
      <c r="B50" s="197" t="s">
        <v>142</v>
      </c>
      <c r="C50" s="198"/>
      <c r="D50" s="198"/>
      <c r="E50" s="198"/>
      <c r="F50" s="198"/>
      <c r="G50" s="198"/>
      <c r="H50" s="198"/>
      <c r="I50" s="198"/>
      <c r="J50" s="187"/>
      <c r="K50" s="199"/>
      <c r="L50" s="197" t="s">
        <v>142</v>
      </c>
      <c r="M50" s="198"/>
      <c r="N50" s="198"/>
      <c r="O50" s="198"/>
      <c r="P50" s="198"/>
      <c r="Q50" s="198"/>
      <c r="R50" s="198"/>
      <c r="S50" s="198"/>
      <c r="T50" s="187"/>
      <c r="U50" s="199"/>
      <c r="V50" s="197" t="s">
        <v>142</v>
      </c>
      <c r="W50" s="198"/>
      <c r="X50" s="198"/>
      <c r="Y50" s="198"/>
      <c r="Z50" s="198"/>
      <c r="AA50" s="198"/>
      <c r="AB50" s="198"/>
      <c r="AC50" s="198"/>
    </row>
    <row r="51" spans="1:29" ht="12.75" hidden="1" customHeight="1">
      <c r="A51" s="199"/>
      <c r="B51" s="197" t="s">
        <v>142</v>
      </c>
      <c r="C51" s="198"/>
      <c r="D51" s="198"/>
      <c r="E51" s="198"/>
      <c r="F51" s="198"/>
      <c r="G51" s="198"/>
      <c r="H51" s="198"/>
      <c r="I51" s="198"/>
      <c r="J51" s="187"/>
      <c r="K51" s="199"/>
      <c r="L51" s="197" t="s">
        <v>142</v>
      </c>
      <c r="M51" s="198"/>
      <c r="N51" s="198"/>
      <c r="O51" s="198"/>
      <c r="P51" s="198"/>
      <c r="Q51" s="198"/>
      <c r="R51" s="198"/>
      <c r="S51" s="198"/>
      <c r="T51" s="187"/>
      <c r="U51" s="199"/>
      <c r="V51" s="197" t="s">
        <v>142</v>
      </c>
      <c r="W51" s="198"/>
      <c r="X51" s="198"/>
      <c r="Y51" s="198"/>
      <c r="Z51" s="198"/>
      <c r="AA51" s="198"/>
      <c r="AB51" s="198"/>
      <c r="AC51" s="198"/>
    </row>
    <row r="52" spans="1:29" ht="12.75" hidden="1" customHeight="1">
      <c r="A52" s="199"/>
      <c r="B52" s="197" t="s">
        <v>142</v>
      </c>
      <c r="C52" s="198"/>
      <c r="D52" s="198"/>
      <c r="E52" s="198"/>
      <c r="F52" s="198"/>
      <c r="G52" s="198"/>
      <c r="H52" s="198"/>
      <c r="I52" s="198"/>
      <c r="J52" s="187"/>
      <c r="K52" s="199"/>
      <c r="L52" s="197" t="s">
        <v>142</v>
      </c>
      <c r="M52" s="198"/>
      <c r="N52" s="198"/>
      <c r="O52" s="198"/>
      <c r="P52" s="198"/>
      <c r="Q52" s="198"/>
      <c r="R52" s="198"/>
      <c r="S52" s="198"/>
      <c r="T52" s="187"/>
      <c r="U52" s="199"/>
      <c r="V52" s="197" t="s">
        <v>142</v>
      </c>
      <c r="W52" s="198"/>
      <c r="X52" s="198"/>
      <c r="Y52" s="198"/>
      <c r="Z52" s="198"/>
      <c r="AA52" s="198"/>
      <c r="AB52" s="198"/>
      <c r="AC52" s="198"/>
    </row>
    <row r="53" spans="1:29" ht="12.75" hidden="1" customHeight="1">
      <c r="A53" s="199"/>
      <c r="B53" s="197" t="s">
        <v>142</v>
      </c>
      <c r="C53" s="198"/>
      <c r="D53" s="198"/>
      <c r="E53" s="198"/>
      <c r="F53" s="198"/>
      <c r="G53" s="198"/>
      <c r="H53" s="198"/>
      <c r="I53" s="198"/>
      <c r="J53" s="187"/>
      <c r="K53" s="199"/>
      <c r="L53" s="197" t="s">
        <v>142</v>
      </c>
      <c r="M53" s="198"/>
      <c r="N53" s="198"/>
      <c r="O53" s="198"/>
      <c r="P53" s="198"/>
      <c r="Q53" s="198"/>
      <c r="R53" s="198"/>
      <c r="S53" s="198"/>
      <c r="T53" s="187"/>
      <c r="U53" s="199"/>
      <c r="V53" s="197" t="s">
        <v>142</v>
      </c>
      <c r="W53" s="198"/>
      <c r="X53" s="198"/>
      <c r="Y53" s="198"/>
      <c r="Z53" s="198"/>
      <c r="AA53" s="198"/>
      <c r="AB53" s="198"/>
      <c r="AC53" s="198"/>
    </row>
    <row r="54" spans="1:29" ht="12.75" hidden="1" customHeight="1">
      <c r="A54" s="199"/>
      <c r="B54" s="197" t="s">
        <v>142</v>
      </c>
      <c r="C54" s="198"/>
      <c r="D54" s="198"/>
      <c r="E54" s="198"/>
      <c r="F54" s="198"/>
      <c r="G54" s="198"/>
      <c r="H54" s="198"/>
      <c r="I54" s="198"/>
      <c r="J54" s="187"/>
      <c r="K54" s="199"/>
      <c r="L54" s="197" t="s">
        <v>142</v>
      </c>
      <c r="M54" s="198"/>
      <c r="N54" s="198"/>
      <c r="O54" s="198"/>
      <c r="P54" s="198"/>
      <c r="Q54" s="198"/>
      <c r="R54" s="198"/>
      <c r="S54" s="198"/>
      <c r="T54" s="187"/>
      <c r="U54" s="199"/>
      <c r="V54" s="197" t="s">
        <v>142</v>
      </c>
      <c r="W54" s="198"/>
      <c r="X54" s="198"/>
      <c r="Y54" s="198"/>
      <c r="Z54" s="198"/>
      <c r="AA54" s="198"/>
      <c r="AB54" s="198"/>
      <c r="AC54" s="198"/>
    </row>
    <row r="55" spans="1:29" ht="12.75" hidden="1" customHeight="1">
      <c r="A55" s="199"/>
      <c r="B55" s="197" t="s">
        <v>142</v>
      </c>
      <c r="C55" s="198"/>
      <c r="D55" s="198"/>
      <c r="E55" s="198"/>
      <c r="F55" s="198"/>
      <c r="G55" s="198"/>
      <c r="H55" s="198"/>
      <c r="I55" s="198"/>
      <c r="J55" s="187"/>
      <c r="K55" s="199"/>
      <c r="L55" s="197" t="s">
        <v>142</v>
      </c>
      <c r="M55" s="198"/>
      <c r="N55" s="198"/>
      <c r="O55" s="198"/>
      <c r="P55" s="198"/>
      <c r="Q55" s="198"/>
      <c r="R55" s="198"/>
      <c r="S55" s="198"/>
      <c r="T55" s="187"/>
      <c r="U55" s="199"/>
      <c r="V55" s="197" t="s">
        <v>142</v>
      </c>
      <c r="W55" s="198"/>
      <c r="X55" s="198"/>
      <c r="Y55" s="198"/>
      <c r="Z55" s="198"/>
      <c r="AA55" s="198"/>
      <c r="AB55" s="198"/>
      <c r="AC55" s="198"/>
    </row>
    <row r="56" spans="1:29" ht="12.75" hidden="1" customHeight="1">
      <c r="A56" s="199"/>
      <c r="B56" s="197" t="s">
        <v>142</v>
      </c>
      <c r="C56" s="198"/>
      <c r="D56" s="198"/>
      <c r="E56" s="198"/>
      <c r="F56" s="198"/>
      <c r="G56" s="198"/>
      <c r="H56" s="198"/>
      <c r="I56" s="198"/>
      <c r="J56" s="187"/>
      <c r="K56" s="199"/>
      <c r="L56" s="197" t="s">
        <v>142</v>
      </c>
      <c r="M56" s="198"/>
      <c r="N56" s="198"/>
      <c r="O56" s="198"/>
      <c r="P56" s="198"/>
      <c r="Q56" s="198"/>
      <c r="R56" s="198"/>
      <c r="S56" s="198"/>
      <c r="T56" s="187"/>
      <c r="U56" s="199"/>
      <c r="V56" s="197" t="s">
        <v>142</v>
      </c>
      <c r="W56" s="198"/>
      <c r="X56" s="198"/>
      <c r="Y56" s="198"/>
      <c r="Z56" s="198"/>
      <c r="AA56" s="198"/>
      <c r="AB56" s="198"/>
      <c r="AC56" s="198"/>
    </row>
    <row r="57" spans="1:29" ht="12.75" hidden="1" customHeight="1">
      <c r="A57" s="199"/>
      <c r="B57" s="197" t="s">
        <v>142</v>
      </c>
      <c r="C57" s="198"/>
      <c r="D57" s="198"/>
      <c r="E57" s="198"/>
      <c r="F57" s="198"/>
      <c r="G57" s="198"/>
      <c r="H57" s="198"/>
      <c r="I57" s="198"/>
      <c r="J57" s="187"/>
      <c r="K57" s="199"/>
      <c r="L57" s="197" t="s">
        <v>142</v>
      </c>
      <c r="M57" s="198"/>
      <c r="N57" s="198"/>
      <c r="O57" s="198"/>
      <c r="P57" s="198"/>
      <c r="Q57" s="198"/>
      <c r="R57" s="198"/>
      <c r="S57" s="198"/>
      <c r="T57" s="187"/>
      <c r="U57" s="199"/>
      <c r="V57" s="197" t="s">
        <v>142</v>
      </c>
      <c r="W57" s="198"/>
      <c r="X57" s="198"/>
      <c r="Y57" s="198"/>
      <c r="Z57" s="198"/>
      <c r="AA57" s="198"/>
      <c r="AB57" s="198"/>
      <c r="AC57" s="198"/>
    </row>
    <row r="58" spans="1:29" ht="12.75" hidden="1" customHeight="1">
      <c r="A58" s="199"/>
      <c r="B58" s="197" t="s">
        <v>142</v>
      </c>
      <c r="C58" s="198"/>
      <c r="D58" s="198"/>
      <c r="E58" s="198"/>
      <c r="F58" s="198"/>
      <c r="G58" s="198"/>
      <c r="H58" s="198"/>
      <c r="I58" s="198"/>
      <c r="J58" s="187"/>
      <c r="K58" s="199"/>
      <c r="L58" s="197" t="s">
        <v>142</v>
      </c>
      <c r="M58" s="198"/>
      <c r="N58" s="198"/>
      <c r="O58" s="198"/>
      <c r="P58" s="198"/>
      <c r="Q58" s="198"/>
      <c r="R58" s="198"/>
      <c r="S58" s="198"/>
      <c r="T58" s="187"/>
      <c r="U58" s="199"/>
      <c r="V58" s="197" t="s">
        <v>142</v>
      </c>
      <c r="W58" s="198"/>
      <c r="X58" s="198"/>
      <c r="Y58" s="198"/>
      <c r="Z58" s="198"/>
      <c r="AA58" s="198"/>
      <c r="AB58" s="198"/>
      <c r="AC58" s="198"/>
    </row>
    <row r="59" spans="1:29" ht="12.75" hidden="1" customHeight="1">
      <c r="A59" s="199"/>
      <c r="B59" s="197" t="s">
        <v>142</v>
      </c>
      <c r="C59" s="198"/>
      <c r="D59" s="198"/>
      <c r="E59" s="198"/>
      <c r="F59" s="198"/>
      <c r="G59" s="198"/>
      <c r="H59" s="198"/>
      <c r="I59" s="198"/>
      <c r="J59" s="187"/>
      <c r="K59" s="199"/>
      <c r="L59" s="197" t="s">
        <v>142</v>
      </c>
      <c r="M59" s="198"/>
      <c r="N59" s="198"/>
      <c r="O59" s="198"/>
      <c r="P59" s="198"/>
      <c r="Q59" s="198"/>
      <c r="R59" s="198"/>
      <c r="S59" s="198"/>
      <c r="T59" s="187"/>
      <c r="U59" s="199"/>
      <c r="V59" s="197" t="s">
        <v>142</v>
      </c>
      <c r="W59" s="198"/>
      <c r="X59" s="198"/>
      <c r="Y59" s="198"/>
      <c r="Z59" s="198"/>
      <c r="AA59" s="198"/>
      <c r="AB59" s="198"/>
      <c r="AC59" s="198"/>
    </row>
    <row r="60" spans="1:29" ht="12.75" hidden="1" customHeight="1">
      <c r="A60" s="199"/>
      <c r="B60" s="197" t="s">
        <v>142</v>
      </c>
      <c r="C60" s="198"/>
      <c r="D60" s="198"/>
      <c r="E60" s="198"/>
      <c r="F60" s="198"/>
      <c r="G60" s="198"/>
      <c r="H60" s="198"/>
      <c r="I60" s="198"/>
      <c r="J60" s="187"/>
      <c r="K60" s="199"/>
      <c r="L60" s="197" t="s">
        <v>142</v>
      </c>
      <c r="M60" s="198"/>
      <c r="N60" s="198"/>
      <c r="O60" s="198"/>
      <c r="P60" s="198"/>
      <c r="Q60" s="198"/>
      <c r="R60" s="198"/>
      <c r="S60" s="198"/>
      <c r="T60" s="187"/>
      <c r="U60" s="199"/>
      <c r="V60" s="197" t="s">
        <v>142</v>
      </c>
      <c r="W60" s="198"/>
      <c r="X60" s="198"/>
      <c r="Y60" s="198"/>
      <c r="Z60" s="198"/>
      <c r="AA60" s="198"/>
      <c r="AB60" s="198"/>
      <c r="AC60" s="198"/>
    </row>
    <row r="61" spans="1:29" ht="12.75" hidden="1" customHeight="1">
      <c r="A61" s="199"/>
      <c r="B61" s="197" t="s">
        <v>142</v>
      </c>
      <c r="C61" s="198"/>
      <c r="D61" s="198"/>
      <c r="E61" s="198"/>
      <c r="F61" s="198"/>
      <c r="G61" s="198"/>
      <c r="H61" s="198"/>
      <c r="I61" s="198"/>
      <c r="J61" s="187"/>
      <c r="K61" s="199"/>
      <c r="L61" s="197" t="s">
        <v>142</v>
      </c>
      <c r="M61" s="198"/>
      <c r="N61" s="198"/>
      <c r="O61" s="198"/>
      <c r="P61" s="198"/>
      <c r="Q61" s="198"/>
      <c r="R61" s="198"/>
      <c r="S61" s="198"/>
      <c r="T61" s="187"/>
      <c r="U61" s="199"/>
      <c r="V61" s="197" t="s">
        <v>142</v>
      </c>
      <c r="W61" s="198"/>
      <c r="X61" s="198"/>
      <c r="Y61" s="198"/>
      <c r="Z61" s="198"/>
      <c r="AA61" s="198"/>
      <c r="AB61" s="198"/>
      <c r="AC61" s="198"/>
    </row>
    <row r="62" spans="1:29" ht="12.75" hidden="1" customHeight="1">
      <c r="A62" s="199"/>
      <c r="B62" s="197" t="s">
        <v>142</v>
      </c>
      <c r="C62" s="198"/>
      <c r="D62" s="198"/>
      <c r="E62" s="198"/>
      <c r="F62" s="198"/>
      <c r="G62" s="198"/>
      <c r="H62" s="198"/>
      <c r="I62" s="198"/>
      <c r="J62" s="187"/>
      <c r="K62" s="199"/>
      <c r="L62" s="197" t="s">
        <v>142</v>
      </c>
      <c r="M62" s="198"/>
      <c r="N62" s="198"/>
      <c r="O62" s="198"/>
      <c r="P62" s="198"/>
      <c r="Q62" s="198"/>
      <c r="R62" s="198"/>
      <c r="S62" s="198"/>
      <c r="T62" s="187"/>
      <c r="U62" s="199"/>
      <c r="V62" s="197" t="s">
        <v>142</v>
      </c>
      <c r="W62" s="198"/>
      <c r="X62" s="198"/>
      <c r="Y62" s="198"/>
      <c r="Z62" s="198"/>
      <c r="AA62" s="198"/>
      <c r="AB62" s="198"/>
      <c r="AC62" s="198"/>
    </row>
    <row r="63" spans="1:29" ht="12.75" hidden="1" customHeight="1">
      <c r="A63" s="199"/>
      <c r="B63" s="197" t="s">
        <v>142</v>
      </c>
      <c r="C63" s="198"/>
      <c r="D63" s="198"/>
      <c r="E63" s="198"/>
      <c r="F63" s="198"/>
      <c r="G63" s="198"/>
      <c r="H63" s="198"/>
      <c r="I63" s="198"/>
      <c r="J63" s="187"/>
      <c r="K63" s="199"/>
      <c r="L63" s="197" t="s">
        <v>142</v>
      </c>
      <c r="M63" s="198"/>
      <c r="N63" s="198"/>
      <c r="O63" s="198"/>
      <c r="P63" s="198"/>
      <c r="Q63" s="198"/>
      <c r="R63" s="198"/>
      <c r="S63" s="198"/>
      <c r="T63" s="187"/>
      <c r="U63" s="199"/>
      <c r="V63" s="197" t="s">
        <v>142</v>
      </c>
      <c r="W63" s="198"/>
      <c r="X63" s="198"/>
      <c r="Y63" s="198"/>
      <c r="Z63" s="198"/>
      <c r="AA63" s="198"/>
      <c r="AB63" s="198"/>
      <c r="AC63" s="198"/>
    </row>
    <row r="64" spans="1:29" ht="12.75" customHeight="1" thickBot="1">
      <c r="A64" s="199"/>
      <c r="B64" s="294" t="s">
        <v>166</v>
      </c>
      <c r="C64" s="294"/>
      <c r="D64" s="294"/>
      <c r="E64" s="294"/>
      <c r="F64" s="294"/>
      <c r="G64" s="294"/>
      <c r="H64" s="294"/>
      <c r="I64" s="294"/>
      <c r="J64" s="187"/>
      <c r="K64" s="199"/>
      <c r="L64" s="294" t="s">
        <v>166</v>
      </c>
      <c r="M64" s="294"/>
      <c r="N64" s="294"/>
      <c r="O64" s="294"/>
      <c r="P64" s="294"/>
      <c r="Q64" s="294"/>
      <c r="R64" s="294"/>
      <c r="S64" s="294"/>
      <c r="T64" s="187"/>
      <c r="U64" s="199"/>
      <c r="V64" s="218" t="s">
        <v>166</v>
      </c>
      <c r="W64" s="218"/>
      <c r="X64" s="218"/>
      <c r="Y64" s="218"/>
      <c r="Z64" s="218"/>
      <c r="AA64" s="218"/>
      <c r="AB64" s="218"/>
      <c r="AC64" s="218"/>
    </row>
    <row r="65" spans="1:29" ht="12.75" customHeight="1" thickBot="1">
      <c r="A65" s="302" t="s">
        <v>144</v>
      </c>
      <c r="B65" s="200"/>
      <c r="C65" s="201" t="str">
        <f>C9</f>
        <v>Country</v>
      </c>
      <c r="D65" s="201" t="str">
        <f t="shared" ref="D65:I65" si="0">D9</f>
        <v>PR</v>
      </c>
      <c r="E65" s="201" t="str">
        <f t="shared" si="0"/>
        <v>DR</v>
      </c>
      <c r="F65" s="201" t="str">
        <f t="shared" si="0"/>
        <v>RR</v>
      </c>
      <c r="G65" s="201" t="str">
        <f t="shared" si="0"/>
        <v>HS</v>
      </c>
      <c r="H65" s="201" t="str">
        <f t="shared" si="0"/>
        <v>CA</v>
      </c>
      <c r="I65" s="201" t="str">
        <f t="shared" si="0"/>
        <v>RE</v>
      </c>
      <c r="J65" s="187"/>
      <c r="K65" s="302" t="s">
        <v>144</v>
      </c>
      <c r="L65" s="200"/>
      <c r="M65" s="201" t="str">
        <f t="shared" ref="M65:S65" si="1">M9</f>
        <v>Country</v>
      </c>
      <c r="N65" s="201" t="str">
        <f t="shared" si="1"/>
        <v>PR</v>
      </c>
      <c r="O65" s="201" t="str">
        <f t="shared" si="1"/>
        <v>DR</v>
      </c>
      <c r="P65" s="201" t="str">
        <f t="shared" si="1"/>
        <v>RR</v>
      </c>
      <c r="Q65" s="201" t="str">
        <f t="shared" si="1"/>
        <v>HS</v>
      </c>
      <c r="R65" s="201" t="str">
        <f t="shared" si="1"/>
        <v>CA</v>
      </c>
      <c r="S65" s="201" t="str">
        <f t="shared" si="1"/>
        <v>RE</v>
      </c>
      <c r="T65" s="187"/>
      <c r="U65" s="219" t="s">
        <v>144</v>
      </c>
      <c r="V65" s="200"/>
      <c r="W65" s="201" t="str">
        <f t="shared" ref="W65:AC65" si="2">W9</f>
        <v>Country</v>
      </c>
      <c r="X65" s="201" t="str">
        <f t="shared" si="2"/>
        <v>PR</v>
      </c>
      <c r="Y65" s="201" t="str">
        <f t="shared" si="2"/>
        <v>DR</v>
      </c>
      <c r="Z65" s="201" t="str">
        <f t="shared" si="2"/>
        <v>RR</v>
      </c>
      <c r="AA65" s="201" t="str">
        <f t="shared" si="2"/>
        <v>HS</v>
      </c>
      <c r="AB65" s="201" t="str">
        <f t="shared" si="2"/>
        <v>CA</v>
      </c>
      <c r="AC65" s="201" t="str">
        <f t="shared" si="2"/>
        <v>RE</v>
      </c>
    </row>
    <row r="66" spans="1:29" ht="12.75" customHeight="1" thickBot="1">
      <c r="A66" s="296"/>
      <c r="B66" s="209">
        <v>1</v>
      </c>
      <c r="C66" s="220" t="str">
        <f>C10</f>
        <v>Albania</v>
      </c>
      <c r="D66" s="221">
        <f ca="1">IF(AND(ISNUMBER($B66),(ISNUMBER(D$5))),IF(D$7=1,(D10-MIN(D$10:OFFSET(D$10,$C$5-1,0,1,1)))/(MAX(D$10:OFFSET(D$10,$C$5-1,0,1,1))-MIN(D$10:OFFSET(D$10,$C$5-1,0,1,1))),(D10-MAX(D$10:OFFSET(D$10,$C$5-1,0,1,1)))/(MIN(D$10:OFFSET(D$10,$C$5-1,0,1,1))-MAX(D$10:OFFSET(D$10,$C$5-1,0,1,1)))),"")</f>
        <v>0.51111111111111107</v>
      </c>
      <c r="E66" s="221">
        <f ca="1">IF(AND(ISNUMBER($B66),(ISNUMBER(E$5))),IF(E$7=1,(E10-MIN(E$10:OFFSET(E$10,$C$5-1,0,1,1)))/(MAX(E$10:OFFSET(E$10,$C$5-1,0,1,1))-MIN(E$10:OFFSET(E$10,$C$5-1,0,1,1))),(E10-MAX(E$10:OFFSET(E$10,$C$5-1,0,1,1)))/(MIN(E$10:OFFSET(E$10,$C$5-1,0,1,1))-MAX(E$10:OFFSET(E$10,$C$5-1,0,1,1)))),"")</f>
        <v>0.65753424657534232</v>
      </c>
      <c r="F66" s="221">
        <f ca="1">IF(AND(ISNUMBER($B66),(ISNUMBER(F$5))),IF(F$7=1,(F10-MIN(F$10:OFFSET(F$10,$C$5-1,0,1,1)))/(MAX(F$10:OFFSET(F$10,$C$5-1,0,1,1))-MIN(F$10:OFFSET(F$10,$C$5-1,0,1,1))),(F10-MAX(F$10:OFFSET(F$10,$C$5-1,0,1,1)))/(MIN(F$10:OFFSET(F$10,$C$5-1,0,1,1))-MAX(F$10:OFFSET(F$10,$C$5-1,0,1,1)))),"")</f>
        <v>0.33561643835616439</v>
      </c>
      <c r="G66" s="221">
        <f ca="1">IF(AND(ISNUMBER($B66),(ISNUMBER(G$5))),IF(G$7=1,(G10-MIN(G$10:OFFSET(G$10,$C$5-1,0,1,1)))/(MAX(G$10:OFFSET(G$10,$C$5-1,0,1,1))-MIN(G$10:OFFSET(G$10,$C$5-1,0,1,1))),(G10-MAX(G$10:OFFSET(G$10,$C$5-1,0,1,1)))/(MIN(G$10:OFFSET(G$10,$C$5-1,0,1,1))-MAX(G$10:OFFSET(G$10,$C$5-1,0,1,1)))),"")</f>
        <v>0.44158415841584153</v>
      </c>
      <c r="H66" s="221">
        <f ca="1">IF(AND(ISNUMBER($B66),(ISNUMBER(H$5))),IF(H$7=1,(H10-MIN(H$10:OFFSET(H$10,$C$5-1,0,1,1)))/(MAX(H$10:OFFSET(H$10,$C$5-1,0,1,1))-MIN(H$10:OFFSET(H$10,$C$5-1,0,1,1))),(H10-MAX(H$10:OFFSET(H$10,$C$5-1,0,1,1)))/(MIN(H$10:OFFSET(H$10,$C$5-1,0,1,1))-MAX(H$10:OFFSET(H$10,$C$5-1,0,1,1)))),"")</f>
        <v>0.58677685950413216</v>
      </c>
      <c r="I66" s="221">
        <f ca="1">IF(AND(ISNUMBER($B66),(ISNUMBER(I$5))),IF(I$7=1,(I10-MIN(I$10:OFFSET(I$10,$C$5-1,0,1,1)))/(MAX(I$10:OFFSET(I$10,$C$5-1,0,1,1))-MIN(I$10:OFFSET(I$10,$C$5-1,0,1,1))),(I10-MAX(I$10:OFFSET(I$10,$C$5-1,0,1,1)))/(MIN(I$10:OFFSET(I$10,$C$5-1,0,1,1))-MAX(I$10:OFFSET(I$10,$C$5-1,0,1,1)))),"")</f>
        <v>0.22818791946308731</v>
      </c>
      <c r="J66" s="187"/>
      <c r="K66" s="296"/>
      <c r="L66" s="209">
        <v>1</v>
      </c>
      <c r="M66" s="220" t="str">
        <f t="shared" ref="M66:M97" si="3">M10</f>
        <v>Albania</v>
      </c>
      <c r="N66" s="221">
        <f ca="1">IF(AND(ISNUMBER($L66),(ISNUMBER(N$5))),IF(N$7=1,(N10-MIN(N$10:OFFSET(N$10,$M$5-1,0,1,1)))/(MAX(N$10:OFFSET(N$10,$M$5-1,0,1,1))-MIN(N$10:OFFSET(N$10,$M$5-1,0,1,1))),(N10-MAX(N$10:OFFSET(N$10,$M$5-1,0,1,1)))/(MIN(N$10:OFFSET(N$10,$M$5-1,0,1,1))-MAX(N$10:OFFSET(N$10,$M$5-1,0,1,1)))),"")</f>
        <v>0.48050139275766018</v>
      </c>
      <c r="O66" s="221">
        <f ca="1">IF(AND(ISNUMBER($L66),(ISNUMBER(O$5))),IF(O$7=1,(O10-MIN(O$10:OFFSET(O$10,$M$5-1,0,1,1)))/(MAX(O$10:OFFSET(O$10,$M$5-1,0,1,1))-MIN(O$10:OFFSET(O$10,$M$5-1,0,1,1))),(O10-MAX(O$10:OFFSET(O$10,$M$5-1,0,1,1)))/(MIN(O$10:OFFSET(O$10,$M$5-1,0,1,1))-MAX(O$10:OFFSET(O$10,$M$5-1,0,1,1)))),"")</f>
        <v>0.55102040816326536</v>
      </c>
      <c r="P66" s="221">
        <f ca="1">IF(AND(ISNUMBER($L66),(ISNUMBER(P$5))),IF(P$7=1,(P10-MIN(P$10:OFFSET(P$10,$M$5-1,0,1,1)))/(MAX(P$10:OFFSET(P$10,$M$5-1,0,1,1))-MIN(P$10:OFFSET(P$10,$M$5-1,0,1,1))),(P10-MAX(P$10:OFFSET(P$10,$M$5-1,0,1,1)))/(MIN(P$10:OFFSET(P$10,$M$5-1,0,1,1))-MAX(P$10:OFFSET(P$10,$M$5-1,0,1,1)))),"")</f>
        <v>0.37819025522041755</v>
      </c>
      <c r="Q66" s="221">
        <f ca="1">IF(AND(ISNUMBER($L66),(ISNUMBER(Q$5))),IF(Q$7=1,(Q10-MIN(Q$10:OFFSET(Q$10,$M$5-1,0,1,1)))/(MAX(Q$10:OFFSET(Q$10,$M$5-1,0,1,1))-MIN(Q$10:OFFSET(Q$10,$M$5-1,0,1,1))),(Q10-MAX(Q$10:OFFSET(Q$10,$M$5-1,0,1,1)))/(MIN(Q$10:OFFSET(Q$10,$M$5-1,0,1,1))-MAX(Q$10:OFFSET(Q$10,$M$5-1,0,1,1)))),"")</f>
        <v>0.60491493383742911</v>
      </c>
      <c r="R66" s="221">
        <f ca="1">IF(AND(ISNUMBER($L66),(ISNUMBER(R$5))),IF(R$7=1,(R10-MIN(R$10:OFFSET(R$10,$M$5-1,0,1,1)))/(MAX(R$10:OFFSET(R$10,$M$5-1,0,1,1))-MIN(R$10:OFFSET(R$10,$M$5-1,0,1,1))),(R10-MAX(R$10:OFFSET(R$10,$M$5-1,0,1,1)))/(MIN(R$10:OFFSET(R$10,$M$5-1,0,1,1))-MAX(R$10:OFFSET(R$10,$M$5-1,0,1,1)))),"")</f>
        <v>0.65810276679841884</v>
      </c>
      <c r="S66" s="221">
        <f ca="1">IF(AND(ISNUMBER($L66),(ISNUMBER(S$5))),IF(S$7=1,(S10-MIN(S$10:OFFSET(S$10,$M$5-1,0,1,1)))/(MAX(S$10:OFFSET(S$10,$M$5-1,0,1,1))-MIN(S$10:OFFSET(S$10,$M$5-1,0,1,1))),(S10-MAX(S$10:OFFSET(S$10,$M$5-1,0,1,1)))/(MIN(S$10:OFFSET(S$10,$M$5-1,0,1,1))-MAX(S$10:OFFSET(S$10,$M$5-1,0,1,1)))),"")</f>
        <v>9.2198581560283654E-2</v>
      </c>
      <c r="T66" s="187"/>
      <c r="U66" s="222"/>
      <c r="V66" s="209">
        <v>1</v>
      </c>
      <c r="W66" s="220" t="str">
        <f t="shared" ref="W66:W97" si="4">W10</f>
        <v>Albania</v>
      </c>
      <c r="X66" s="221">
        <f ca="1">IF(AND(ISNUMBER($V66),(ISNUMBER(X$5))),IF(X$7=1,(X10-MIN(X$10:OFFSET(X$10,$W$5-1,0,1,1)))/(MAX(X$10:OFFSET(X$10,$W$5-1,0,1,1))-MIN(X$10:OFFSET(X$10,$W$5-1,0,1,1))),(X10-MAX(X$10:OFFSET(X$10,$W$5-1,0,1,1)))/(MIN(X$10:OFFSET(X$10,$W$5-1,0,1,1))-MAX(X$10:OFFSET(X$10,$W$5-1,0,1,1)))),"")</f>
        <v>0.49533381191672643</v>
      </c>
      <c r="Y66" s="221">
        <f ca="1">IF(AND(ISNUMBER($V66),(ISNUMBER(Y$5))),IF(Y$7=1,(Y10-MIN(Y$10:OFFSET(Y$10,$W$5-1,0,1,1)))/(MAX(Y$10:OFFSET(Y$10,$W$5-1,0,1,1))-MIN(Y$10:OFFSET(Y$10,$W$5-1,0,1,1))),(Y10-MAX(Y$10:OFFSET(Y$10,$W$5-1,0,1,1)))/(MIN(Y$10:OFFSET(Y$10,$W$5-1,0,1,1))-MAX(Y$10:OFFSET(Y$10,$W$5-1,0,1,1)))),"")</f>
        <v>0.60856498873027798</v>
      </c>
      <c r="Z66" s="221">
        <f ca="1">IF(AND(ISNUMBER($V66),(ISNUMBER(Z$5))),IF(Z$7=1,(Z10-MIN(Z$10:OFFSET(Z$10,$W$5-1,0,1,1)))/(MAX(Z$10:OFFSET(Z$10,$W$5-1,0,1,1))-MIN(Z$10:OFFSET(Z$10,$W$5-1,0,1,1))),(Z10-MAX(Z$10:OFFSET(Z$10,$W$5-1,0,1,1)))/(MIN(Z$10:OFFSET(Z$10,$W$5-1,0,1,1))-MAX(Z$10:OFFSET(Z$10,$W$5-1,0,1,1)))),"")</f>
        <v>0.33170134638922888</v>
      </c>
      <c r="AA66" s="221">
        <f ca="1">IF(AND(ISNUMBER($V66),(ISNUMBER(AA$5))),IF(AA$7=1,(AA10-MIN(AA$10:OFFSET(AA$10,$W$5-1,0,1,1)))/(MAX(AA$10:OFFSET(AA$10,$W$5-1,0,1,1))-MIN(AA$10:OFFSET(AA$10,$W$5-1,0,1,1))),(AA10-MAX(AA$10:OFFSET(AA$10,$W$5-1,0,1,1)))/(MIN(AA$10:OFFSET(AA$10,$W$5-1,0,1,1))-MAX(AA$10:OFFSET(AA$10,$W$5-1,0,1,1)))),"")</f>
        <v>0.52514506769825908</v>
      </c>
      <c r="AB66" s="221">
        <f ca="1">IF(AND(ISNUMBER($V66),(ISNUMBER(AB$5))),IF(AB$7=1,(AB10-MIN(AB$10:OFFSET(AB$10,$W$5-1,0,1,1)))/(MAX(AB$10:OFFSET(AB$10,$W$5-1,0,1,1))-MIN(AB$10:OFFSET(AB$10,$W$5-1,0,1,1))),(AB10-MAX(AB$10:OFFSET(AB$10,$W$5-1,0,1,1)))/(MIN(AB$10:OFFSET(AB$10,$W$5-1,0,1,1))-MAX(AB$10:OFFSET(AB$10,$W$5-1,0,1,1)))),"")</f>
        <v>0.66992399565689464</v>
      </c>
      <c r="AC66" s="221">
        <f ca="1">IF(AND(ISNUMBER($V66),(ISNUMBER(AC$5))),IF(AC$7=1,(AC10-MIN(AC$10:OFFSET(AC$10,$W$5-1,0,1,1)))/(MAX(AC$10:OFFSET(AC$10,$W$5-1,0,1,1))-MIN(AC$10:OFFSET(AC$10,$W$5-1,0,1,1))),(AC10-MAX(AC$10:OFFSET(AC$10,$W$5-1,0,1,1)))/(MIN(AC$10:OFFSET(AC$10,$W$5-1,0,1,1))-MAX(AC$10:OFFSET(AC$10,$W$5-1,0,1,1)))),"")</f>
        <v>0.15722543352601168</v>
      </c>
    </row>
    <row r="67" spans="1:29" ht="12.75" customHeight="1" thickBot="1">
      <c r="A67" s="296"/>
      <c r="B67" s="206">
        <f t="shared" ref="B67:B119" si="5">IFERROR(IF(OR($B66+1&gt;$C$5,$B66=" ")," ",$B66+1),"")</f>
        <v>2</v>
      </c>
      <c r="C67" s="220" t="str">
        <f t="shared" ref="C67:C119" si="6">C11</f>
        <v>Andorra</v>
      </c>
      <c r="D67" s="221">
        <f ca="1">IF(AND(ISNUMBER($B67),(ISNUMBER(D$5))),IF(D$7=1,(D11-MIN(D$10:OFFSET(D$10,$C$5-1,0,1,1)))/(MAX(D$10:OFFSET(D$10,$C$5-1,0,1,1))-MIN(D$10:OFFSET(D$10,$C$5-1,0,1,1))),(D11-MAX(D$10:OFFSET(D$10,$C$5-1,0,1,1)))/(MIN(D$10:OFFSET(D$10,$C$5-1,0,1,1))-MAX(D$10:OFFSET(D$10,$C$5-1,0,1,1)))),"")</f>
        <v>0.17037037037037037</v>
      </c>
      <c r="E67" s="221">
        <f ca="1">IF(AND(ISNUMBER($B67),(ISNUMBER(E$5))),IF(E$7=1,(E11-MIN(E$10:OFFSET(E$10,$C$5-1,0,1,1)))/(MAX(E$10:OFFSET(E$10,$C$5-1,0,1,1))-MIN(E$10:OFFSET(E$10,$C$5-1,0,1,1))),(E11-MAX(E$10:OFFSET(E$10,$C$5-1,0,1,1)))/(MIN(E$10:OFFSET(E$10,$C$5-1,0,1,1))-MAX(E$10:OFFSET(E$10,$C$5-1,0,1,1)))),"")</f>
        <v>0</v>
      </c>
      <c r="F67" s="221">
        <f ca="1">IF(AND(ISNUMBER($B67),(ISNUMBER(F$5))),IF(F$7=1,(F11-MIN(F$10:OFFSET(F$10,$C$5-1,0,1,1)))/(MAX(F$10:OFFSET(F$10,$C$5-1,0,1,1))-MIN(F$10:OFFSET(F$10,$C$5-1,0,1,1))),(F11-MAX(F$10:OFFSET(F$10,$C$5-1,0,1,1)))/(MIN(F$10:OFFSET(F$10,$C$5-1,0,1,1))-MAX(F$10:OFFSET(F$10,$C$5-1,0,1,1)))),"")</f>
        <v>0.10502283105022826</v>
      </c>
      <c r="G67" s="221">
        <f ca="1">IF(AND(ISNUMBER($B67),(ISNUMBER(G$5))),IF(G$7=1,(G11-MIN(G$10:OFFSET(G$10,$C$5-1,0,1,1)))/(MAX(G$10:OFFSET(G$10,$C$5-1,0,1,1))-MIN(G$10:OFFSET(G$10,$C$5-1,0,1,1))),(G11-MAX(G$10:OFFSET(G$10,$C$5-1,0,1,1)))/(MIN(G$10:OFFSET(G$10,$C$5-1,0,1,1))-MAX(G$10:OFFSET(G$10,$C$5-1,0,1,1)))),"")</f>
        <v>0</v>
      </c>
      <c r="H67" s="221">
        <f ca="1">IF(AND(ISNUMBER($B67),(ISNUMBER(H$5))),IF(H$7=1,(H11-MIN(H$10:OFFSET(H$10,$C$5-1,0,1,1)))/(MAX(H$10:OFFSET(H$10,$C$5-1,0,1,1))-MIN(H$10:OFFSET(H$10,$C$5-1,0,1,1))),(H11-MAX(H$10:OFFSET(H$10,$C$5-1,0,1,1)))/(MIN(H$10:OFFSET(H$10,$C$5-1,0,1,1))-MAX(H$10:OFFSET(H$10,$C$5-1,0,1,1)))),"")</f>
        <v>0.13223140495867766</v>
      </c>
      <c r="I67" s="221">
        <f ca="1">IF(AND(ISNUMBER($B67),(ISNUMBER(I$5))),IF(I$7=1,(I11-MIN(I$10:OFFSET(I$10,$C$5-1,0,1,1)))/(MAX(I$10:OFFSET(I$10,$C$5-1,0,1,1))-MIN(I$10:OFFSET(I$10,$C$5-1,0,1,1))),(I11-MAX(I$10:OFFSET(I$10,$C$5-1,0,1,1)))/(MIN(I$10:OFFSET(I$10,$C$5-1,0,1,1))-MAX(I$10:OFFSET(I$10,$C$5-1,0,1,1)))),"")</f>
        <v>0.81431767337807615</v>
      </c>
      <c r="J67" s="187"/>
      <c r="K67" s="296"/>
      <c r="L67" s="206">
        <f t="shared" ref="L67:L98" si="7">IFERROR(IF(OR($L66+1&gt;$M$5,$L66=" ")," ",$L66+1),"")</f>
        <v>2</v>
      </c>
      <c r="M67" s="220" t="str">
        <f t="shared" si="3"/>
        <v>Andorra</v>
      </c>
      <c r="N67" s="221">
        <f ca="1">IF(AND(ISNUMBER($L67),(ISNUMBER(N$5))),IF(N$7=1,(N11-MIN(N$10:OFFSET(N$10,$M$5-1,0,1,1)))/(MAX(N$10:OFFSET(N$10,$M$5-1,0,1,1))-MIN(N$10:OFFSET(N$10,$M$5-1,0,1,1))),(N11-MAX(N$10:OFFSET(N$10,$M$5-1,0,1,1)))/(MIN(N$10:OFFSET(N$10,$M$5-1,0,1,1))-MAX(N$10:OFFSET(N$10,$M$5-1,0,1,1)))),"")</f>
        <v>0.2729805013927577</v>
      </c>
      <c r="O67" s="221">
        <f ca="1">IF(AND(ISNUMBER($L67),(ISNUMBER(O$5))),IF(O$7=1,(O11-MIN(O$10:OFFSET(O$10,$M$5-1,0,1,1)))/(MAX(O$10:OFFSET(O$10,$M$5-1,0,1,1))-MIN(O$10:OFFSET(O$10,$M$5-1,0,1,1))),(O11-MAX(O$10:OFFSET(O$10,$M$5-1,0,1,1)))/(MIN(O$10:OFFSET(O$10,$M$5-1,0,1,1))-MAX(O$10:OFFSET(O$10,$M$5-1,0,1,1)))),"")</f>
        <v>0</v>
      </c>
      <c r="P67" s="221">
        <f ca="1">IF(AND(ISNUMBER($L67),(ISNUMBER(P$5))),IF(P$7=1,(P11-MIN(P$10:OFFSET(P$10,$M$5-1,0,1,1)))/(MAX(P$10:OFFSET(P$10,$M$5-1,0,1,1))-MIN(P$10:OFFSET(P$10,$M$5-1,0,1,1))),(P11-MAX(P$10:OFFSET(P$10,$M$5-1,0,1,1)))/(MIN(P$10:OFFSET(P$10,$M$5-1,0,1,1))-MAX(P$10:OFFSET(P$10,$M$5-1,0,1,1)))),"")</f>
        <v>0.41067285382830615</v>
      </c>
      <c r="Q67" s="221">
        <f ca="1">IF(AND(ISNUMBER($L67),(ISNUMBER(Q$5))),IF(Q$7=1,(Q11-MIN(Q$10:OFFSET(Q$10,$M$5-1,0,1,1)))/(MAX(Q$10:OFFSET(Q$10,$M$5-1,0,1,1))-MIN(Q$10:OFFSET(Q$10,$M$5-1,0,1,1))),(Q11-MAX(Q$10:OFFSET(Q$10,$M$5-1,0,1,1)))/(MIN(Q$10:OFFSET(Q$10,$M$5-1,0,1,1))-MAX(Q$10:OFFSET(Q$10,$M$5-1,0,1,1)))),"")</f>
        <v>0</v>
      </c>
      <c r="R67" s="221">
        <f ca="1">IF(AND(ISNUMBER($L67),(ISNUMBER(R$5))),IF(R$7=1,(R11-MIN(R$10:OFFSET(R$10,$M$5-1,0,1,1)))/(MAX(R$10:OFFSET(R$10,$M$5-1,0,1,1))-MIN(R$10:OFFSET(R$10,$M$5-1,0,1,1))),(R11-MAX(R$10:OFFSET(R$10,$M$5-1,0,1,1)))/(MIN(R$10:OFFSET(R$10,$M$5-1,0,1,1))-MAX(R$10:OFFSET(R$10,$M$5-1,0,1,1)))),"")</f>
        <v>0.4822134387351778</v>
      </c>
      <c r="S67" s="221">
        <f ca="1">IF(AND(ISNUMBER($L67),(ISNUMBER(S$5))),IF(S$7=1,(S11-MIN(S$10:OFFSET(S$10,$M$5-1,0,1,1)))/(MAX(S$10:OFFSET(S$10,$M$5-1,0,1,1))-MIN(S$10:OFFSET(S$10,$M$5-1,0,1,1))),(S11-MAX(S$10:OFFSET(S$10,$M$5-1,0,1,1)))/(MIN(S$10:OFFSET(S$10,$M$5-1,0,1,1))-MAX(S$10:OFFSET(S$10,$M$5-1,0,1,1)))),"")</f>
        <v>0.79905437352245856</v>
      </c>
      <c r="T67" s="187"/>
      <c r="U67" s="222"/>
      <c r="V67" s="206">
        <f t="shared" ref="V67:V98" si="8">IFERROR(IF(OR($V66+1&gt;$W$5,$V66=" ")," ",$V66+1),"")</f>
        <v>2</v>
      </c>
      <c r="W67" s="220" t="str">
        <f t="shared" si="4"/>
        <v>Andorra</v>
      </c>
      <c r="X67" s="221">
        <f ca="1">IF(AND(ISNUMBER($V67),(ISNUMBER(X$5))),IF(X$7=1,(X11-MIN(X$10:OFFSET(X$10,$W$5-1,0,1,1)))/(MAX(X$10:OFFSET(X$10,$W$5-1,0,1,1))-MIN(X$10:OFFSET(X$10,$W$5-1,0,1,1))),(X11-MAX(X$10:OFFSET(X$10,$W$5-1,0,1,1)))/(MIN(X$10:OFFSET(X$10,$W$5-1,0,1,1))-MAX(X$10:OFFSET(X$10,$W$5-1,0,1,1)))),"")</f>
        <v>0.22325915290739409</v>
      </c>
      <c r="Y67" s="221">
        <f ca="1">IF(AND(ISNUMBER($V67),(ISNUMBER(Y$5))),IF(Y$7=1,(Y11-MIN(Y$10:OFFSET(Y$10,$W$5-1,0,1,1)))/(MAX(Y$10:OFFSET(Y$10,$W$5-1,0,1,1))-MIN(Y$10:OFFSET(Y$10,$W$5-1,0,1,1))),(Y11-MAX(Y$10:OFFSET(Y$10,$W$5-1,0,1,1)))/(MIN(Y$10:OFFSET(Y$10,$W$5-1,0,1,1))-MAX(Y$10:OFFSET(Y$10,$W$5-1,0,1,1)))),"")</f>
        <v>0</v>
      </c>
      <c r="Z67" s="221">
        <f ca="1">IF(AND(ISNUMBER($V67),(ISNUMBER(Z$5))),IF(Z$7=1,(Z11-MIN(Z$10:OFFSET(Z$10,$W$5-1,0,1,1)))/(MAX(Z$10:OFFSET(Z$10,$W$5-1,0,1,1))-MIN(Z$10:OFFSET(Z$10,$W$5-1,0,1,1))),(Z11-MAX(Z$10:OFFSET(Z$10,$W$5-1,0,1,1)))/(MIN(Z$10:OFFSET(Z$10,$W$5-1,0,1,1))-MAX(Z$10:OFFSET(Z$10,$W$5-1,0,1,1)))),"")</f>
        <v>0.22521419828641381</v>
      </c>
      <c r="AA67" s="221">
        <f ca="1">IF(AND(ISNUMBER($V67),(ISNUMBER(AA$5))),IF(AA$7=1,(AA11-MIN(AA$10:OFFSET(AA$10,$W$5-1,0,1,1)))/(MAX(AA$10:OFFSET(AA$10,$W$5-1,0,1,1))-MIN(AA$10:OFFSET(AA$10,$W$5-1,0,1,1))),(AA11-MAX(AA$10:OFFSET(AA$10,$W$5-1,0,1,1)))/(MIN(AA$10:OFFSET(AA$10,$W$5-1,0,1,1))-MAX(AA$10:OFFSET(AA$10,$W$5-1,0,1,1)))),"")</f>
        <v>0</v>
      </c>
      <c r="AB67" s="221">
        <f ca="1">IF(AND(ISNUMBER($V67),(ISNUMBER(AB$5))),IF(AB$7=1,(AB11-MIN(AB$10:OFFSET(AB$10,$W$5-1,0,1,1)))/(MAX(AB$10:OFFSET(AB$10,$W$5-1,0,1,1))-MIN(AB$10:OFFSET(AB$10,$W$5-1,0,1,1))),(AB11-MAX(AB$10:OFFSET(AB$10,$W$5-1,0,1,1)))/(MIN(AB$10:OFFSET(AB$10,$W$5-1,0,1,1))-MAX(AB$10:OFFSET(AB$10,$W$5-1,0,1,1)))),"")</f>
        <v>0.33441910966340932</v>
      </c>
      <c r="AC67" s="221">
        <f ca="1">IF(AND(ISNUMBER($V67),(ISNUMBER(AC$5))),IF(AC$7=1,(AC11-MIN(AC$10:OFFSET(AC$10,$W$5-1,0,1,1)))/(MAX(AC$10:OFFSET(AC$10,$W$5-1,0,1,1))-MIN(AC$10:OFFSET(AC$10,$W$5-1,0,1,1))),(AC11-MAX(AC$10:OFFSET(AC$10,$W$5-1,0,1,1)))/(MIN(AC$10:OFFSET(AC$10,$W$5-1,0,1,1))-MAX(AC$10:OFFSET(AC$10,$W$5-1,0,1,1)))),"")</f>
        <v>0.80578034682080946</v>
      </c>
    </row>
    <row r="68" spans="1:29" ht="12.75" customHeight="1" thickBot="1">
      <c r="A68" s="297"/>
      <c r="B68" s="206">
        <f t="shared" si="5"/>
        <v>3</v>
      </c>
      <c r="C68" s="220" t="str">
        <f t="shared" si="6"/>
        <v>Armenia</v>
      </c>
      <c r="D68" s="221">
        <f ca="1">IF(AND(ISNUMBER($B68),(ISNUMBER(D$5))),IF(D$7=1,(D12-MIN(D$10:OFFSET(D$10,$C$5-1,0,1,1)))/(MAX(D$10:OFFSET(D$10,$C$5-1,0,1,1))-MIN(D$10:OFFSET(D$10,$C$5-1,0,1,1))),(D12-MAX(D$10:OFFSET(D$10,$C$5-1,0,1,1)))/(MIN(D$10:OFFSET(D$10,$C$5-1,0,1,1))-MAX(D$10:OFFSET(D$10,$C$5-1,0,1,1)))),"")</f>
        <v>1</v>
      </c>
      <c r="E68" s="221">
        <f ca="1">IF(AND(ISNUMBER($B68),(ISNUMBER(E$5))),IF(E$7=1,(E12-MIN(E$10:OFFSET(E$10,$C$5-1,0,1,1)))/(MAX(E$10:OFFSET(E$10,$C$5-1,0,1,1))-MIN(E$10:OFFSET(E$10,$C$5-1,0,1,1))),(E12-MAX(E$10:OFFSET(E$10,$C$5-1,0,1,1)))/(MIN(E$10:OFFSET(E$10,$C$5-1,0,1,1))-MAX(E$10:OFFSET(E$10,$C$5-1,0,1,1)))),"")</f>
        <v>1</v>
      </c>
      <c r="F68" s="221">
        <f ca="1">IF(AND(ISNUMBER($B68),(ISNUMBER(F$5))),IF(F$7=1,(F12-MIN(F$10:OFFSET(F$10,$C$5-1,0,1,1)))/(MAX(F$10:OFFSET(F$10,$C$5-1,0,1,1))-MIN(F$10:OFFSET(F$10,$C$5-1,0,1,1))),(F12-MAX(F$10:OFFSET(F$10,$C$5-1,0,1,1)))/(MIN(F$10:OFFSET(F$10,$C$5-1,0,1,1))-MAX(F$10:OFFSET(F$10,$C$5-1,0,1,1)))),"")</f>
        <v>1</v>
      </c>
      <c r="G68" s="221">
        <f ca="1">IF(AND(ISNUMBER($B68),(ISNUMBER(G$5))),IF(G$7=1,(G12-MIN(G$10:OFFSET(G$10,$C$5-1,0,1,1)))/(MAX(G$10:OFFSET(G$10,$C$5-1,0,1,1))-MIN(G$10:OFFSET(G$10,$C$5-1,0,1,1))),(G12-MAX(G$10:OFFSET(G$10,$C$5-1,0,1,1)))/(MIN(G$10:OFFSET(G$10,$C$5-1,0,1,1))-MAX(G$10:OFFSET(G$10,$C$5-1,0,1,1)))),"")</f>
        <v>0.78217821782178221</v>
      </c>
      <c r="H68" s="221">
        <f ca="1">IF(AND(ISNUMBER($B68),(ISNUMBER(H$5))),IF(H$7=1,(H12-MIN(H$10:OFFSET(H$10,$C$5-1,0,1,1)))/(MAX(H$10:OFFSET(H$10,$C$5-1,0,1,1))-MIN(H$10:OFFSET(H$10,$C$5-1,0,1,1))),(H12-MAX(H$10:OFFSET(H$10,$C$5-1,0,1,1)))/(MIN(H$10:OFFSET(H$10,$C$5-1,0,1,1))-MAX(H$10:OFFSET(H$10,$C$5-1,0,1,1)))),"")</f>
        <v>0.66322314049586784</v>
      </c>
      <c r="I68" s="221">
        <f ca="1">IF(AND(ISNUMBER($B68),(ISNUMBER(I$5))),IF(I$7=1,(I12-MIN(I$10:OFFSET(I$10,$C$5-1,0,1,1)))/(MAX(I$10:OFFSET(I$10,$C$5-1,0,1,1))-MIN(I$10:OFFSET(I$10,$C$5-1,0,1,1))),(I12-MAX(I$10:OFFSET(I$10,$C$5-1,0,1,1)))/(MIN(I$10:OFFSET(I$10,$C$5-1,0,1,1))-MAX(I$10:OFFSET(I$10,$C$5-1,0,1,1)))),"")</f>
        <v>0.1521252796420581</v>
      </c>
      <c r="J68" s="187"/>
      <c r="K68" s="297"/>
      <c r="L68" s="206">
        <f t="shared" si="7"/>
        <v>3</v>
      </c>
      <c r="M68" s="220" t="str">
        <f t="shared" si="3"/>
        <v>Armenia</v>
      </c>
      <c r="N68" s="221">
        <f ca="1">IF(AND(ISNUMBER($L68),(ISNUMBER(N$5))),IF(N$7=1,(N12-MIN(N$10:OFFSET(N$10,$M$5-1,0,1,1)))/(MAX(N$10:OFFSET(N$10,$M$5-1,0,1,1))-MIN(N$10:OFFSET(N$10,$M$5-1,0,1,1))),(N12-MAX(N$10:OFFSET(N$10,$M$5-1,0,1,1)))/(MIN(N$10:OFFSET(N$10,$M$5-1,0,1,1))-MAX(N$10:OFFSET(N$10,$M$5-1,0,1,1)))),"")</f>
        <v>1</v>
      </c>
      <c r="O68" s="221">
        <f ca="1">IF(AND(ISNUMBER($L68),(ISNUMBER(O$5))),IF(O$7=1,(O12-MIN(O$10:OFFSET(O$10,$M$5-1,0,1,1)))/(MAX(O$10:OFFSET(O$10,$M$5-1,0,1,1))-MIN(O$10:OFFSET(O$10,$M$5-1,0,1,1))),(O12-MAX(O$10:OFFSET(O$10,$M$5-1,0,1,1)))/(MIN(O$10:OFFSET(O$10,$M$5-1,0,1,1))-MAX(O$10:OFFSET(O$10,$M$5-1,0,1,1)))),"")</f>
        <v>0.98250728862973757</v>
      </c>
      <c r="P68" s="221">
        <f ca="1">IF(AND(ISNUMBER($L68),(ISNUMBER(P$5))),IF(P$7=1,(P12-MIN(P$10:OFFSET(P$10,$M$5-1,0,1,1)))/(MAX(P$10:OFFSET(P$10,$M$5-1,0,1,1))-MIN(P$10:OFFSET(P$10,$M$5-1,0,1,1))),(P12-MAX(P$10:OFFSET(P$10,$M$5-1,0,1,1)))/(MIN(P$10:OFFSET(P$10,$M$5-1,0,1,1))-MAX(P$10:OFFSET(P$10,$M$5-1,0,1,1)))),"")</f>
        <v>0.80046403712296965</v>
      </c>
      <c r="Q68" s="221">
        <f ca="1">IF(AND(ISNUMBER($L68),(ISNUMBER(Q$5))),IF(Q$7=1,(Q12-MIN(Q$10:OFFSET(Q$10,$M$5-1,0,1,1)))/(MAX(Q$10:OFFSET(Q$10,$M$5-1,0,1,1))-MIN(Q$10:OFFSET(Q$10,$M$5-1,0,1,1))),(Q12-MAX(Q$10:OFFSET(Q$10,$M$5-1,0,1,1)))/(MIN(Q$10:OFFSET(Q$10,$M$5-1,0,1,1))-MAX(Q$10:OFFSET(Q$10,$M$5-1,0,1,1)))),"")</f>
        <v>0.82041587901701318</v>
      </c>
      <c r="R68" s="221">
        <f ca="1">IF(AND(ISNUMBER($L68),(ISNUMBER(R$5))),IF(R$7=1,(R12-MIN(R$10:OFFSET(R$10,$M$5-1,0,1,1)))/(MAX(R$10:OFFSET(R$10,$M$5-1,0,1,1))-MIN(R$10:OFFSET(R$10,$M$5-1,0,1,1))),(R12-MAX(R$10:OFFSET(R$10,$M$5-1,0,1,1)))/(MIN(R$10:OFFSET(R$10,$M$5-1,0,1,1))-MAX(R$10:OFFSET(R$10,$M$5-1,0,1,1)))),"")</f>
        <v>0.79841897233201575</v>
      </c>
      <c r="S68" s="221">
        <f ca="1">IF(AND(ISNUMBER($L68),(ISNUMBER(S$5))),IF(S$7=1,(S12-MIN(S$10:OFFSET(S$10,$M$5-1,0,1,1)))/(MAX(S$10:OFFSET(S$10,$M$5-1,0,1,1))-MIN(S$10:OFFSET(S$10,$M$5-1,0,1,1))),(S12-MAX(S$10:OFFSET(S$10,$M$5-1,0,1,1)))/(MIN(S$10:OFFSET(S$10,$M$5-1,0,1,1))-MAX(S$10:OFFSET(S$10,$M$5-1,0,1,1)))),"")</f>
        <v>2.1276595744680819E-2</v>
      </c>
      <c r="T68" s="187"/>
      <c r="U68" s="223"/>
      <c r="V68" s="206">
        <f t="shared" si="8"/>
        <v>3</v>
      </c>
      <c r="W68" s="220" t="str">
        <f t="shared" si="4"/>
        <v>Armenia</v>
      </c>
      <c r="X68" s="221">
        <f ca="1">IF(AND(ISNUMBER($V68),(ISNUMBER(X$5))),IF(X$7=1,(X12-MIN(X$10:OFFSET(X$10,$W$5-1,0,1,1)))/(MAX(X$10:OFFSET(X$10,$W$5-1,0,1,1))-MIN(X$10:OFFSET(X$10,$W$5-1,0,1,1))),(X12-MAX(X$10:OFFSET(X$10,$W$5-1,0,1,1)))/(MIN(X$10:OFFSET(X$10,$W$5-1,0,1,1))-MAX(X$10:OFFSET(X$10,$W$5-1,0,1,1)))),"")</f>
        <v>1</v>
      </c>
      <c r="Y68" s="221">
        <f ca="1">IF(AND(ISNUMBER($V68),(ISNUMBER(Y$5))),IF(Y$7=1,(Y12-MIN(Y$10:OFFSET(Y$10,$W$5-1,0,1,1)))/(MAX(Y$10:OFFSET(Y$10,$W$5-1,0,1,1))-MIN(Y$10:OFFSET(Y$10,$W$5-1,0,1,1))),(Y12-MAX(Y$10:OFFSET(Y$10,$W$5-1,0,1,1)))/(MIN(Y$10:OFFSET(Y$10,$W$5-1,0,1,1))-MAX(Y$10:OFFSET(Y$10,$W$5-1,0,1,1)))),"")</f>
        <v>1</v>
      </c>
      <c r="Z68" s="221">
        <f ca="1">IF(AND(ISNUMBER($V68),(ISNUMBER(Z$5))),IF(Z$7=1,(Z12-MIN(Z$10:OFFSET(Z$10,$W$5-1,0,1,1)))/(MAX(Z$10:OFFSET(Z$10,$W$5-1,0,1,1))-MIN(Z$10:OFFSET(Z$10,$W$5-1,0,1,1))),(Z12-MAX(Z$10:OFFSET(Z$10,$W$5-1,0,1,1)))/(MIN(Z$10:OFFSET(Z$10,$W$5-1,0,1,1))-MAX(Z$10:OFFSET(Z$10,$W$5-1,0,1,1)))),"")</f>
        <v>0.91064871481028131</v>
      </c>
      <c r="AA68" s="221">
        <f ca="1">IF(AND(ISNUMBER($V68),(ISNUMBER(AA$5))),IF(AA$7=1,(AA12-MIN(AA$10:OFFSET(AA$10,$W$5-1,0,1,1)))/(MAX(AA$10:OFFSET(AA$10,$W$5-1,0,1,1))-MIN(AA$10:OFFSET(AA$10,$W$5-1,0,1,1))),(AA12-MAX(AA$10:OFFSET(AA$10,$W$5-1,0,1,1)))/(MIN(AA$10:OFFSET(AA$10,$W$5-1,0,1,1))-MAX(AA$10:OFFSET(AA$10,$W$5-1,0,1,1)))),"")</f>
        <v>0.80174081237911021</v>
      </c>
      <c r="AB68" s="221">
        <f ca="1">IF(AND(ISNUMBER($V68),(ISNUMBER(AB$5))),IF(AB$7=1,(AB12-MIN(AB$10:OFFSET(AB$10,$W$5-1,0,1,1)))/(MAX(AB$10:OFFSET(AB$10,$W$5-1,0,1,1))-MIN(AB$10:OFFSET(AB$10,$W$5-1,0,1,1))),(AB12-MAX(AB$10:OFFSET(AB$10,$W$5-1,0,1,1)))/(MIN(AB$10:OFFSET(AB$10,$W$5-1,0,1,1))-MAX(AB$10:OFFSET(AB$10,$W$5-1,0,1,1)))),"")</f>
        <v>0.78718783930510317</v>
      </c>
      <c r="AC68" s="221">
        <f ca="1">IF(AND(ISNUMBER($V68),(ISNUMBER(AC$5))),IF(AC$7=1,(AC12-MIN(AC$10:OFFSET(AC$10,$W$5-1,0,1,1)))/(MAX(AC$10:OFFSET(AC$10,$W$5-1,0,1,1))-MIN(AC$10:OFFSET(AC$10,$W$5-1,0,1,1))),(AC12-MAX(AC$10:OFFSET(AC$10,$W$5-1,0,1,1)))/(MIN(AC$10:OFFSET(AC$10,$W$5-1,0,1,1))-MAX(AC$10:OFFSET(AC$10,$W$5-1,0,1,1)))),"")</f>
        <v>8.3236994219653221E-2</v>
      </c>
    </row>
    <row r="69" spans="1:29" ht="12.75" customHeight="1" thickBot="1">
      <c r="A69" s="203"/>
      <c r="B69" s="206">
        <f t="shared" si="5"/>
        <v>4</v>
      </c>
      <c r="C69" s="220" t="str">
        <f t="shared" si="6"/>
        <v>Azerbaijan</v>
      </c>
      <c r="D69" s="221">
        <f ca="1">IF(AND(ISNUMBER($B69),(ISNUMBER(D$5))),IF(D$7=1,(D13-MIN(D$10:OFFSET(D$10,$C$5-1,0,1,1)))/(MAX(D$10:OFFSET(D$10,$C$5-1,0,1,1))-MIN(D$10:OFFSET(D$10,$C$5-1,0,1,1))),(D13-MAX(D$10:OFFSET(D$10,$C$5-1,0,1,1)))/(MIN(D$10:OFFSET(D$10,$C$5-1,0,1,1))-MAX(D$10:OFFSET(D$10,$C$5-1,0,1,1)))),"")</f>
        <v>0.37185185185185188</v>
      </c>
      <c r="E69" s="221">
        <f ca="1">IF(AND(ISNUMBER($B69),(ISNUMBER(E$5))),IF(E$7=1,(E13-MIN(E$10:OFFSET(E$10,$C$5-1,0,1,1)))/(MAX(E$10:OFFSET(E$10,$C$5-1,0,1,1))-MIN(E$10:OFFSET(E$10,$C$5-1,0,1,1))),(E13-MAX(E$10:OFFSET(E$10,$C$5-1,0,1,1)))/(MIN(E$10:OFFSET(E$10,$C$5-1,0,1,1))-MAX(E$10:OFFSET(E$10,$C$5-1,0,1,1)))),"")</f>
        <v>0.29680365296803651</v>
      </c>
      <c r="F69" s="221">
        <f ca="1">IF(AND(ISNUMBER($B69),(ISNUMBER(F$5))),IF(F$7=1,(F13-MIN(F$10:OFFSET(F$10,$C$5-1,0,1,1)))/(MAX(F$10:OFFSET(F$10,$C$5-1,0,1,1))-MIN(F$10:OFFSET(F$10,$C$5-1,0,1,1))),(F13-MAX(F$10:OFFSET(F$10,$C$5-1,0,1,1)))/(MIN(F$10:OFFSET(F$10,$C$5-1,0,1,1))-MAX(F$10:OFFSET(F$10,$C$5-1,0,1,1)))),"")</f>
        <v>0.10502283105022826</v>
      </c>
      <c r="G69" s="221">
        <f ca="1">IF(AND(ISNUMBER($B69),(ISNUMBER(G$5))),IF(G$7=1,(G13-MIN(G$10:OFFSET(G$10,$C$5-1,0,1,1)))/(MAX(G$10:OFFSET(G$10,$C$5-1,0,1,1))-MIN(G$10:OFFSET(G$10,$C$5-1,0,1,1))),(G13-MAX(G$10:OFFSET(G$10,$C$5-1,0,1,1)))/(MIN(G$10:OFFSET(G$10,$C$5-1,0,1,1))-MAX(G$10:OFFSET(G$10,$C$5-1,0,1,1)))),"")</f>
        <v>0.12277227722772276</v>
      </c>
      <c r="H69" s="221">
        <f ca="1">IF(AND(ISNUMBER($B69),(ISNUMBER(H$5))),IF(H$7=1,(H13-MIN(H$10:OFFSET(H$10,$C$5-1,0,1,1)))/(MAX(H$10:OFFSET(H$10,$C$5-1,0,1,1))-MIN(H$10:OFFSET(H$10,$C$5-1,0,1,1))),(H13-MAX(H$10:OFFSET(H$10,$C$5-1,0,1,1)))/(MIN(H$10:OFFSET(H$10,$C$5-1,0,1,1))-MAX(H$10:OFFSET(H$10,$C$5-1,0,1,1)))),"")</f>
        <v>0.23140495867768587</v>
      </c>
      <c r="I69" s="221">
        <f ca="1">IF(AND(ISNUMBER($B69),(ISNUMBER(I$5))),IF(I$7=1,(I13-MIN(I$10:OFFSET(I$10,$C$5-1,0,1,1)))/(MAX(I$10:OFFSET(I$10,$C$5-1,0,1,1))-MIN(I$10:OFFSET(I$10,$C$5-1,0,1,1))),(I13-MAX(I$10:OFFSET(I$10,$C$5-1,0,1,1)))/(MIN(I$10:OFFSET(I$10,$C$5-1,0,1,1))-MAX(I$10:OFFSET(I$10,$C$5-1,0,1,1)))),"")</f>
        <v>0.31991051454138691</v>
      </c>
      <c r="J69" s="187"/>
      <c r="K69" s="203"/>
      <c r="L69" s="206">
        <f t="shared" si="7"/>
        <v>4</v>
      </c>
      <c r="M69" s="220" t="str">
        <f t="shared" si="3"/>
        <v>Azerbaijan</v>
      </c>
      <c r="N69" s="221">
        <f ca="1">IF(AND(ISNUMBER($L69),(ISNUMBER(N$5))),IF(N$7=1,(N13-MIN(N$10:OFFSET(N$10,$M$5-1,0,1,1)))/(MAX(N$10:OFFSET(N$10,$M$5-1,0,1,1))-MIN(N$10:OFFSET(N$10,$M$5-1,0,1,1))),(N13-MAX(N$10:OFFSET(N$10,$M$5-1,0,1,1)))/(MIN(N$10:OFFSET(N$10,$M$5-1,0,1,1))-MAX(N$10:OFFSET(N$10,$M$5-1,0,1,1)))),"")</f>
        <v>0.34958217270194991</v>
      </c>
      <c r="O69" s="221">
        <f ca="1">IF(AND(ISNUMBER($L69),(ISNUMBER(O$5))),IF(O$7=1,(O13-MIN(O$10:OFFSET(O$10,$M$5-1,0,1,1)))/(MAX(O$10:OFFSET(O$10,$M$5-1,0,1,1))-MIN(O$10:OFFSET(O$10,$M$5-1,0,1,1))),(O13-MAX(O$10:OFFSET(O$10,$M$5-1,0,1,1)))/(MIN(O$10:OFFSET(O$10,$M$5-1,0,1,1))-MAX(O$10:OFFSET(O$10,$M$5-1,0,1,1)))),"")</f>
        <v>0.28425655976676389</v>
      </c>
      <c r="P69" s="221">
        <f ca="1">IF(AND(ISNUMBER($L69),(ISNUMBER(P$5))),IF(P$7=1,(P13-MIN(P$10:OFFSET(P$10,$M$5-1,0,1,1)))/(MAX(P$10:OFFSET(P$10,$M$5-1,0,1,1))-MIN(P$10:OFFSET(P$10,$M$5-1,0,1,1))),(P13-MAX(P$10:OFFSET(P$10,$M$5-1,0,1,1)))/(MIN(P$10:OFFSET(P$10,$M$5-1,0,1,1))-MAX(P$10:OFFSET(P$10,$M$5-1,0,1,1)))),"")</f>
        <v>0.24593967517401383</v>
      </c>
      <c r="Q69" s="221">
        <f ca="1">IF(AND(ISNUMBER($L69),(ISNUMBER(Q$5))),IF(Q$7=1,(Q13-MIN(Q$10:OFFSET(Q$10,$M$5-1,0,1,1)))/(MAX(Q$10:OFFSET(Q$10,$M$5-1,0,1,1))-MIN(Q$10:OFFSET(Q$10,$M$5-1,0,1,1))),(Q13-MAX(Q$10:OFFSET(Q$10,$M$5-1,0,1,1)))/(MIN(Q$10:OFFSET(Q$10,$M$5-1,0,1,1))-MAX(Q$10:OFFSET(Q$10,$M$5-1,0,1,1)))),"")</f>
        <v>0.16446124763705106</v>
      </c>
      <c r="R69" s="221">
        <f ca="1">IF(AND(ISNUMBER($L69),(ISNUMBER(R$5))),IF(R$7=1,(R13-MIN(R$10:OFFSET(R$10,$M$5-1,0,1,1)))/(MAX(R$10:OFFSET(R$10,$M$5-1,0,1,1))-MIN(R$10:OFFSET(R$10,$M$5-1,0,1,1))),(R13-MAX(R$10:OFFSET(R$10,$M$5-1,0,1,1)))/(MIN(R$10:OFFSET(R$10,$M$5-1,0,1,1))-MAX(R$10:OFFSET(R$10,$M$5-1,0,1,1)))),"")</f>
        <v>0.38735177865612636</v>
      </c>
      <c r="S69" s="221">
        <f ca="1">IF(AND(ISNUMBER($L69),(ISNUMBER(S$5))),IF(S$7=1,(S13-MIN(S$10:OFFSET(S$10,$M$5-1,0,1,1)))/(MAX(S$10:OFFSET(S$10,$M$5-1,0,1,1))-MIN(S$10:OFFSET(S$10,$M$5-1,0,1,1))),(S13-MAX(S$10:OFFSET(S$10,$M$5-1,0,1,1)))/(MIN(S$10:OFFSET(S$10,$M$5-1,0,1,1))-MAX(S$10:OFFSET(S$10,$M$5-1,0,1,1)))),"")</f>
        <v>0.29787234042553179</v>
      </c>
      <c r="T69" s="187"/>
      <c r="U69" s="203"/>
      <c r="V69" s="206">
        <f t="shared" si="8"/>
        <v>4</v>
      </c>
      <c r="W69" s="220" t="str">
        <f t="shared" si="4"/>
        <v>Azerbaijan</v>
      </c>
      <c r="X69" s="221">
        <f ca="1">IF(AND(ISNUMBER($V69),(ISNUMBER(X$5))),IF(X$7=1,(X13-MIN(X$10:OFFSET(X$10,$W$5-1,0,1,1)))/(MAX(X$10:OFFSET(X$10,$W$5-1,0,1,1))-MIN(X$10:OFFSET(X$10,$W$5-1,0,1,1))),(X13-MAX(X$10:OFFSET(X$10,$W$5-1,0,1,1)))/(MIN(X$10:OFFSET(X$10,$W$5-1,0,1,1))-MAX(X$10:OFFSET(X$10,$W$5-1,0,1,1)))),"")</f>
        <v>0.36037329504666188</v>
      </c>
      <c r="Y69" s="221">
        <f ca="1">IF(AND(ISNUMBER($V69),(ISNUMBER(Y$5))),IF(Y$7=1,(Y13-MIN(Y$10:OFFSET(Y$10,$W$5-1,0,1,1)))/(MAX(Y$10:OFFSET(Y$10,$W$5-1,0,1,1))-MIN(Y$10:OFFSET(Y$10,$W$5-1,0,1,1))),(Y13-MAX(Y$10:OFFSET(Y$10,$W$5-1,0,1,1)))/(MIN(Y$10:OFFSET(Y$10,$W$5-1,0,1,1))-MAX(Y$10:OFFSET(Y$10,$W$5-1,0,1,1)))),"")</f>
        <v>0.29301277235161532</v>
      </c>
      <c r="Z69" s="221">
        <f ca="1">IF(AND(ISNUMBER($V69),(ISNUMBER(Z$5))),IF(Z$7=1,(Z13-MIN(Z$10:OFFSET(Z$10,$W$5-1,0,1,1)))/(MAX(Z$10:OFFSET(Z$10,$W$5-1,0,1,1))-MIN(Z$10:OFFSET(Z$10,$W$5-1,0,1,1))),(Z13-MAX(Z$10:OFFSET(Z$10,$W$5-1,0,1,1)))/(MIN(Z$10:OFFSET(Z$10,$W$5-1,0,1,1))-MAX(Z$10:OFFSET(Z$10,$W$5-1,0,1,1)))),"")</f>
        <v>0.13831089351285189</v>
      </c>
      <c r="AA69" s="221">
        <f ca="1">IF(AND(ISNUMBER($V69),(ISNUMBER(AA$5))),IF(AA$7=1,(AA13-MIN(AA$10:OFFSET(AA$10,$W$5-1,0,1,1)))/(MAX(AA$10:OFFSET(AA$10,$W$5-1,0,1,1))-MIN(AA$10:OFFSET(AA$10,$W$5-1,0,1,1))),(AA13-MAX(AA$10:OFFSET(AA$10,$W$5-1,0,1,1)))/(MIN(AA$10:OFFSET(AA$10,$W$5-1,0,1,1))-MAX(AA$10:OFFSET(AA$10,$W$5-1,0,1,1)))),"")</f>
        <v>0.14410058027079301</v>
      </c>
      <c r="AB69" s="221">
        <f ca="1">IF(AND(ISNUMBER($V69),(ISNUMBER(AB$5))),IF(AB$7=1,(AB13-MIN(AB$10:OFFSET(AB$10,$W$5-1,0,1,1)))/(MAX(AB$10:OFFSET(AB$10,$W$5-1,0,1,1))-MIN(AB$10:OFFSET(AB$10,$W$5-1,0,1,1))),(AB13-MAX(AB$10:OFFSET(AB$10,$W$5-1,0,1,1)))/(MIN(AB$10:OFFSET(AB$10,$W$5-1,0,1,1))-MAX(AB$10:OFFSET(AB$10,$W$5-1,0,1,1)))),"")</f>
        <v>0.33441910966340915</v>
      </c>
      <c r="AC69" s="221">
        <f ca="1">IF(AND(ISNUMBER($V69),(ISNUMBER(AC$5))),IF(AC$7=1,(AC13-MIN(AC$10:OFFSET(AC$10,$W$5-1,0,1,1)))/(MAX(AC$10:OFFSET(AC$10,$W$5-1,0,1,1))-MIN(AC$10:OFFSET(AC$10,$W$5-1,0,1,1))),(AC13-MAX(AC$10:OFFSET(AC$10,$W$5-1,0,1,1)))/(MIN(AC$10:OFFSET(AC$10,$W$5-1,0,1,1))-MAX(AC$10:OFFSET(AC$10,$W$5-1,0,1,1)))),"")</f>
        <v>0.30520231213872828</v>
      </c>
    </row>
    <row r="70" spans="1:29" ht="12.75" customHeight="1" thickBot="1">
      <c r="A70" s="203"/>
      <c r="B70" s="206">
        <f t="shared" si="5"/>
        <v>5</v>
      </c>
      <c r="C70" s="220" t="str">
        <f t="shared" si="6"/>
        <v>Belarus</v>
      </c>
      <c r="D70" s="221">
        <f ca="1">IF(AND(ISNUMBER($B70),(ISNUMBER(D$5))),IF(D$7=1,(D14-MIN(D$10:OFFSET(D$10,$C$5-1,0,1,1)))/(MAX(D$10:OFFSET(D$10,$C$5-1,0,1,1))-MIN(D$10:OFFSET(D$10,$C$5-1,0,1,1))),(D14-MAX(D$10:OFFSET(D$10,$C$5-1,0,1,1)))/(MIN(D$10:OFFSET(D$10,$C$5-1,0,1,1))-MAX(D$10:OFFSET(D$10,$C$5-1,0,1,1)))),"")</f>
        <v>0.3511111111111111</v>
      </c>
      <c r="E70" s="221">
        <f ca="1">IF(AND(ISNUMBER($B70),(ISNUMBER(E$5))),IF(E$7=1,(E14-MIN(E$10:OFFSET(E$10,$C$5-1,0,1,1)))/(MAX(E$10:OFFSET(E$10,$C$5-1,0,1,1))-MIN(E$10:OFFSET(E$10,$C$5-1,0,1,1))),(E14-MAX(E$10:OFFSET(E$10,$C$5-1,0,1,1)))/(MIN(E$10:OFFSET(E$10,$C$5-1,0,1,1))-MAX(E$10:OFFSET(E$10,$C$5-1,0,1,1)))),"")</f>
        <v>0.36377473363774737</v>
      </c>
      <c r="F70" s="221">
        <f ca="1">IF(AND(ISNUMBER($B70),(ISNUMBER(F$5))),IF(F$7=1,(F14-MIN(F$10:OFFSET(F$10,$C$5-1,0,1,1)))/(MAX(F$10:OFFSET(F$10,$C$5-1,0,1,1))-MIN(F$10:OFFSET(F$10,$C$5-1,0,1,1))),(F14-MAX(F$10:OFFSET(F$10,$C$5-1,0,1,1)))/(MIN(F$10:OFFSET(F$10,$C$5-1,0,1,1))-MAX(F$10:OFFSET(F$10,$C$5-1,0,1,1)))),"")</f>
        <v>0.47031963470319632</v>
      </c>
      <c r="G70" s="221">
        <f ca="1">IF(AND(ISNUMBER($B70),(ISNUMBER(G$5))),IF(G$7=1,(G14-MIN(G$10:OFFSET(G$10,$C$5-1,0,1,1)))/(MAX(G$10:OFFSET(G$10,$C$5-1,0,1,1))-MIN(G$10:OFFSET(G$10,$C$5-1,0,1,1))),(G14-MAX(G$10:OFFSET(G$10,$C$5-1,0,1,1)))/(MIN(G$10:OFFSET(G$10,$C$5-1,0,1,1))-MAX(G$10:OFFSET(G$10,$C$5-1,0,1,1)))),"")</f>
        <v>0.55049504950495043</v>
      </c>
      <c r="H70" s="221">
        <f ca="1">IF(AND(ISNUMBER($B70),(ISNUMBER(H$5))),IF(H$7=1,(H14-MIN(H$10:OFFSET(H$10,$C$5-1,0,1,1)))/(MAX(H$10:OFFSET(H$10,$C$5-1,0,1,1))-MIN(H$10:OFFSET(H$10,$C$5-1,0,1,1))),(H14-MAX(H$10:OFFSET(H$10,$C$5-1,0,1,1)))/(MIN(H$10:OFFSET(H$10,$C$5-1,0,1,1))-MAX(H$10:OFFSET(H$10,$C$5-1,0,1,1)))),"")</f>
        <v>0.41528925619834717</v>
      </c>
      <c r="I70" s="221">
        <f ca="1">IF(AND(ISNUMBER($B70),(ISNUMBER(I$5))),IF(I$7=1,(I14-MIN(I$10:OFFSET(I$10,$C$5-1,0,1,1)))/(MAX(I$10:OFFSET(I$10,$C$5-1,0,1,1))-MIN(I$10:OFFSET(I$10,$C$5-1,0,1,1))),(I14-MAX(I$10:OFFSET(I$10,$C$5-1,0,1,1)))/(MIN(I$10:OFFSET(I$10,$C$5-1,0,1,1))-MAX(I$10:OFFSET(I$10,$C$5-1,0,1,1)))),"")</f>
        <v>0.23042505592841156</v>
      </c>
      <c r="J70" s="187"/>
      <c r="K70" s="203"/>
      <c r="L70" s="206">
        <f t="shared" si="7"/>
        <v>5</v>
      </c>
      <c r="M70" s="220" t="str">
        <f t="shared" si="3"/>
        <v>Belarus</v>
      </c>
      <c r="N70" s="221">
        <f ca="1">IF(AND(ISNUMBER($L70),(ISNUMBER(N$5))),IF(N$7=1,(N14-MIN(N$10:OFFSET(N$10,$M$5-1,0,1,1)))/(MAX(N$10:OFFSET(N$10,$M$5-1,0,1,1))-MIN(N$10:OFFSET(N$10,$M$5-1,0,1,1))),(N14-MAX(N$10:OFFSET(N$10,$M$5-1,0,1,1)))/(MIN(N$10:OFFSET(N$10,$M$5-1,0,1,1))-MAX(N$10:OFFSET(N$10,$M$5-1,0,1,1)))),"")</f>
        <v>0.36908077994428973</v>
      </c>
      <c r="O70" s="221">
        <f ca="1">IF(AND(ISNUMBER($L70),(ISNUMBER(O$5))),IF(O$7=1,(O14-MIN(O$10:OFFSET(O$10,$M$5-1,0,1,1)))/(MAX(O$10:OFFSET(O$10,$M$5-1,0,1,1))-MIN(O$10:OFFSET(O$10,$M$5-1,0,1,1))),(O14-MAX(O$10:OFFSET(O$10,$M$5-1,0,1,1)))/(MIN(O$10:OFFSET(O$10,$M$5-1,0,1,1))-MAX(O$10:OFFSET(O$10,$M$5-1,0,1,1)))),"")</f>
        <v>0.46938775510204078</v>
      </c>
      <c r="P70" s="221">
        <f ca="1">IF(AND(ISNUMBER($L70),(ISNUMBER(P$5))),IF(P$7=1,(P14-MIN(P$10:OFFSET(P$10,$M$5-1,0,1,1)))/(MAX(P$10:OFFSET(P$10,$M$5-1,0,1,1))-MIN(P$10:OFFSET(P$10,$M$5-1,0,1,1))),(P14-MAX(P$10:OFFSET(P$10,$M$5-1,0,1,1)))/(MIN(P$10:OFFSET(P$10,$M$5-1,0,1,1))-MAX(P$10:OFFSET(P$10,$M$5-1,0,1,1)))),"")</f>
        <v>0.47331786542923432</v>
      </c>
      <c r="Q70" s="221">
        <f ca="1">IF(AND(ISNUMBER($L70),(ISNUMBER(Q$5))),IF(Q$7=1,(Q14-MIN(Q$10:OFFSET(Q$10,$M$5-1,0,1,1)))/(MAX(Q$10:OFFSET(Q$10,$M$5-1,0,1,1))-MIN(Q$10:OFFSET(Q$10,$M$5-1,0,1,1))),(Q14-MAX(Q$10:OFFSET(Q$10,$M$5-1,0,1,1)))/(MIN(Q$10:OFFSET(Q$10,$M$5-1,0,1,1))-MAX(Q$10:OFFSET(Q$10,$M$5-1,0,1,1)))),"")</f>
        <v>0.57277882797731583</v>
      </c>
      <c r="R70" s="221">
        <f ca="1">IF(AND(ISNUMBER($L70),(ISNUMBER(R$5))),IF(R$7=1,(R14-MIN(R$10:OFFSET(R$10,$M$5-1,0,1,1)))/(MAX(R$10:OFFSET(R$10,$M$5-1,0,1,1))-MIN(R$10:OFFSET(R$10,$M$5-1,0,1,1))),(R14-MAX(R$10:OFFSET(R$10,$M$5-1,0,1,1)))/(MIN(R$10:OFFSET(R$10,$M$5-1,0,1,1))-MAX(R$10:OFFSET(R$10,$M$5-1,0,1,1)))),"")</f>
        <v>0.72727272727272707</v>
      </c>
      <c r="S70" s="221">
        <f ca="1">IF(AND(ISNUMBER($L70),(ISNUMBER(S$5))),IF(S$7=1,(S14-MIN(S$10:OFFSET(S$10,$M$5-1,0,1,1)))/(MAX(S$10:OFFSET(S$10,$M$5-1,0,1,1))-MIN(S$10:OFFSET(S$10,$M$5-1,0,1,1))),(S14-MAX(S$10:OFFSET(S$10,$M$5-1,0,1,1)))/(MIN(S$10:OFFSET(S$10,$M$5-1,0,1,1))-MAX(S$10:OFFSET(S$10,$M$5-1,0,1,1)))),"")</f>
        <v>0.11583924349881794</v>
      </c>
      <c r="T70" s="187"/>
      <c r="U70" s="203"/>
      <c r="V70" s="206">
        <f t="shared" si="8"/>
        <v>5</v>
      </c>
      <c r="W70" s="220" t="str">
        <f t="shared" si="4"/>
        <v>Belarus</v>
      </c>
      <c r="X70" s="221">
        <f ca="1">IF(AND(ISNUMBER($V70),(ISNUMBER(X$5))),IF(X$7=1,(X14-MIN(X$10:OFFSET(X$10,$W$5-1,0,1,1)))/(MAX(X$10:OFFSET(X$10,$W$5-1,0,1,1))-MIN(X$10:OFFSET(X$10,$W$5-1,0,1,1))),(X14-MAX(X$10:OFFSET(X$10,$W$5-1,0,1,1)))/(MIN(X$10:OFFSET(X$10,$W$5-1,0,1,1))-MAX(X$10:OFFSET(X$10,$W$5-1,0,1,1)))),"")</f>
        <v>0.36037329504666188</v>
      </c>
      <c r="Y70" s="221">
        <f ca="1">IF(AND(ISNUMBER($V70),(ISNUMBER(Y$5))),IF(Y$7=1,(Y14-MIN(Y$10:OFFSET(Y$10,$W$5-1,0,1,1)))/(MAX(Y$10:OFFSET(Y$10,$W$5-1,0,1,1))-MIN(Y$10:OFFSET(Y$10,$W$5-1,0,1,1))),(Y14-MAX(Y$10:OFFSET(Y$10,$W$5-1,0,1,1)))/(MIN(Y$10:OFFSET(Y$10,$W$5-1,0,1,1))-MAX(Y$10:OFFSET(Y$10,$W$5-1,0,1,1)))),"")</f>
        <v>0.42148760330578516</v>
      </c>
      <c r="Z70" s="221">
        <f ca="1">IF(AND(ISNUMBER($V70),(ISNUMBER(Z$5))),IF(Z$7=1,(Z14-MIN(Z$10:OFFSET(Z$10,$W$5-1,0,1,1)))/(MAX(Z$10:OFFSET(Z$10,$W$5-1,0,1,1))-MIN(Z$10:OFFSET(Z$10,$W$5-1,0,1,1))),(Z14-MAX(Z$10:OFFSET(Z$10,$W$5-1,0,1,1)))/(MIN(Z$10:OFFSET(Z$10,$W$5-1,0,1,1))-MAX(Z$10:OFFSET(Z$10,$W$5-1,0,1,1)))),"")</f>
        <v>0.45410036719706243</v>
      </c>
      <c r="AA70" s="221">
        <f ca="1">IF(AND(ISNUMBER($V70),(ISNUMBER(AA$5))),IF(AA$7=1,(AA14-MIN(AA$10:OFFSET(AA$10,$W$5-1,0,1,1)))/(MAX(AA$10:OFFSET(AA$10,$W$5-1,0,1,1))-MIN(AA$10:OFFSET(AA$10,$W$5-1,0,1,1))),(AA14-MAX(AA$10:OFFSET(AA$10,$W$5-1,0,1,1)))/(MIN(AA$10:OFFSET(AA$10,$W$5-1,0,1,1))-MAX(AA$10:OFFSET(AA$10,$W$5-1,0,1,1)))),"")</f>
        <v>0.56189555125725332</v>
      </c>
      <c r="AB70" s="221">
        <f ca="1">IF(AND(ISNUMBER($V70),(ISNUMBER(AB$5))),IF(AB$7=1,(AB14-MIN(AB$10:OFFSET(AB$10,$W$5-1,0,1,1)))/(MAX(AB$10:OFFSET(AB$10,$W$5-1,0,1,1))-MIN(AB$10:OFFSET(AB$10,$W$5-1,0,1,1))),(AB14-MAX(AB$10:OFFSET(AB$10,$W$5-1,0,1,1)))/(MIN(AB$10:OFFSET(AB$10,$W$5-1,0,1,1))-MAX(AB$10:OFFSET(AB$10,$W$5-1,0,1,1)))),"")</f>
        <v>0.61780673181324652</v>
      </c>
      <c r="AC70" s="221">
        <f ca="1">IF(AND(ISNUMBER($V70),(ISNUMBER(AC$5))),IF(AC$7=1,(AC14-MIN(AC$10:OFFSET(AC$10,$W$5-1,0,1,1)))/(MAX(AC$10:OFFSET(AC$10,$W$5-1,0,1,1))-MIN(AC$10:OFFSET(AC$10,$W$5-1,0,1,1))),(AC14-MAX(AC$10:OFFSET(AC$10,$W$5-1,0,1,1)))/(MIN(AC$10:OFFSET(AC$10,$W$5-1,0,1,1))-MAX(AC$10:OFFSET(AC$10,$W$5-1,0,1,1)))),"")</f>
        <v>0.16994219653179196</v>
      </c>
    </row>
    <row r="71" spans="1:29" ht="12.75" customHeight="1" thickBot="1">
      <c r="A71" s="199"/>
      <c r="B71" s="206">
        <f t="shared" si="5"/>
        <v>6</v>
      </c>
      <c r="C71" s="220" t="str">
        <f t="shared" si="6"/>
        <v>Bosnia and Hercegovina</v>
      </c>
      <c r="D71" s="221">
        <f ca="1">IF(AND(ISNUMBER($B71),(ISNUMBER(D$5))),IF(D$7=1,(D15-MIN(D$10:OFFSET(D$10,$C$5-1,0,1,1)))/(MAX(D$10:OFFSET(D$10,$C$5-1,0,1,1))-MIN(D$10:OFFSET(D$10,$C$5-1,0,1,1))),(D15-MAX(D$10:OFFSET(D$10,$C$5-1,0,1,1)))/(MIN(D$10:OFFSET(D$10,$C$5-1,0,1,1))-MAX(D$10:OFFSET(D$10,$C$5-1,0,1,1)))),"")</f>
        <v>0.40148148148148149</v>
      </c>
      <c r="E71" s="221">
        <f ca="1">IF(AND(ISNUMBER($B71),(ISNUMBER(E$5))),IF(E$7=1,(E15-MIN(E$10:OFFSET(E$10,$C$5-1,0,1,1)))/(MAX(E$10:OFFSET(E$10,$C$5-1,0,1,1))-MIN(E$10:OFFSET(E$10,$C$5-1,0,1,1))),(E15-MAX(E$10:OFFSET(E$10,$C$5-1,0,1,1)))/(MIN(E$10:OFFSET(E$10,$C$5-1,0,1,1))-MAX(E$10:OFFSET(E$10,$C$5-1,0,1,1)))),"")</f>
        <v>0.16894977168949774</v>
      </c>
      <c r="F71" s="221">
        <f ca="1">IF(AND(ISNUMBER($B71),(ISNUMBER(F$5))),IF(F$7=1,(F15-MIN(F$10:OFFSET(F$10,$C$5-1,0,1,1)))/(MAX(F$10:OFFSET(F$10,$C$5-1,0,1,1))-MIN(F$10:OFFSET(F$10,$C$5-1,0,1,1))),(F15-MAX(F$10:OFFSET(F$10,$C$5-1,0,1,1)))/(MIN(F$10:OFFSET(F$10,$C$5-1,0,1,1))-MAX(F$10:OFFSET(F$10,$C$5-1,0,1,1)))),"")</f>
        <v>0.16438356164383561</v>
      </c>
      <c r="G71" s="221">
        <f ca="1">IF(AND(ISNUMBER($B71),(ISNUMBER(G$5))),IF(G$7=1,(G15-MIN(G$10:OFFSET(G$10,$C$5-1,0,1,1)))/(MAX(G$10:OFFSET(G$10,$C$5-1,0,1,1))-MIN(G$10:OFFSET(G$10,$C$5-1,0,1,1))),(G15-MAX(G$10:OFFSET(G$10,$C$5-1,0,1,1)))/(MIN(G$10:OFFSET(G$10,$C$5-1,0,1,1))-MAX(G$10:OFFSET(G$10,$C$5-1,0,1,1)))),"")</f>
        <v>0.47128712871287121</v>
      </c>
      <c r="H71" s="221">
        <f ca="1">IF(AND(ISNUMBER($B71),(ISNUMBER(H$5))),IF(H$7=1,(H15-MIN(H$10:OFFSET(H$10,$C$5-1,0,1,1)))/(MAX(H$10:OFFSET(H$10,$C$5-1,0,1,1))-MIN(H$10:OFFSET(H$10,$C$5-1,0,1,1))),(H15-MAX(H$10:OFFSET(H$10,$C$5-1,0,1,1)))/(MIN(H$10:OFFSET(H$10,$C$5-1,0,1,1))-MAX(H$10:OFFSET(H$10,$C$5-1,0,1,1)))),"")</f>
        <v>0.3863636363636363</v>
      </c>
      <c r="I71" s="221">
        <f ca="1">IF(AND(ISNUMBER($B71),(ISNUMBER(I$5))),IF(I$7=1,(I15-MIN(I$10:OFFSET(I$10,$C$5-1,0,1,1)))/(MAX(I$10:OFFSET(I$10,$C$5-1,0,1,1))-MIN(I$10:OFFSET(I$10,$C$5-1,0,1,1))),(I15-MAX(I$10:OFFSET(I$10,$C$5-1,0,1,1)))/(MIN(I$10:OFFSET(I$10,$C$5-1,0,1,1))-MAX(I$10:OFFSET(I$10,$C$5-1,0,1,1)))),"")</f>
        <v>0.1431767337807606</v>
      </c>
      <c r="J71" s="187"/>
      <c r="K71" s="199"/>
      <c r="L71" s="206">
        <f t="shared" si="7"/>
        <v>6</v>
      </c>
      <c r="M71" s="220" t="str">
        <f t="shared" si="3"/>
        <v>Bosnia and Hercegovina</v>
      </c>
      <c r="N71" s="221">
        <f ca="1">IF(AND(ISNUMBER($L71),(ISNUMBER(N$5))),IF(N$7=1,(N15-MIN(N$10:OFFSET(N$10,$M$5-1,0,1,1)))/(MAX(N$10:OFFSET(N$10,$M$5-1,0,1,1))-MIN(N$10:OFFSET(N$10,$M$5-1,0,1,1))),(N15-MAX(N$10:OFFSET(N$10,$M$5-1,0,1,1)))/(MIN(N$10:OFFSET(N$10,$M$5-1,0,1,1))-MAX(N$10:OFFSET(N$10,$M$5-1,0,1,1)))),"")</f>
        <v>0.31894150417827299</v>
      </c>
      <c r="O71" s="221">
        <f ca="1">IF(AND(ISNUMBER($L71),(ISNUMBER(O$5))),IF(O$7=1,(O15-MIN(O$10:OFFSET(O$10,$M$5-1,0,1,1)))/(MAX(O$10:OFFSET(O$10,$M$5-1,0,1,1))-MIN(O$10:OFFSET(O$10,$M$5-1,0,1,1))),(O15-MAX(O$10:OFFSET(O$10,$M$5-1,0,1,1)))/(MIN(O$10:OFFSET(O$10,$M$5-1,0,1,1))-MAX(O$10:OFFSET(O$10,$M$5-1,0,1,1)))),"")</f>
        <v>0.17055393586005832</v>
      </c>
      <c r="P71" s="221">
        <f ca="1">IF(AND(ISNUMBER($L71),(ISNUMBER(P$5))),IF(P$7=1,(P15-MIN(P$10:OFFSET(P$10,$M$5-1,0,1,1)))/(MAX(P$10:OFFSET(P$10,$M$5-1,0,1,1))-MIN(P$10:OFFSET(P$10,$M$5-1,0,1,1))),(P15-MAX(P$10:OFFSET(P$10,$M$5-1,0,1,1)))/(MIN(P$10:OFFSET(P$10,$M$5-1,0,1,1))-MAX(P$10:OFFSET(P$10,$M$5-1,0,1,1)))),"")</f>
        <v>0.345707656612529</v>
      </c>
      <c r="Q71" s="221">
        <f ca="1">IF(AND(ISNUMBER($L71),(ISNUMBER(Q$5))),IF(Q$7=1,(Q15-MIN(Q$10:OFFSET(Q$10,$M$5-1,0,1,1)))/(MAX(Q$10:OFFSET(Q$10,$M$5-1,0,1,1))-MIN(Q$10:OFFSET(Q$10,$M$5-1,0,1,1))),(Q15-MAX(Q$10:OFFSET(Q$10,$M$5-1,0,1,1)))/(MIN(Q$10:OFFSET(Q$10,$M$5-1,0,1,1))-MAX(Q$10:OFFSET(Q$10,$M$5-1,0,1,1)))),"")</f>
        <v>0.49716446124763713</v>
      </c>
      <c r="R71" s="221">
        <f ca="1">IF(AND(ISNUMBER($L71),(ISNUMBER(R$5))),IF(R$7=1,(R15-MIN(R$10:OFFSET(R$10,$M$5-1,0,1,1)))/(MAX(R$10:OFFSET(R$10,$M$5-1,0,1,1))-MIN(R$10:OFFSET(R$10,$M$5-1,0,1,1))),(R15-MAX(R$10:OFFSET(R$10,$M$5-1,0,1,1)))/(MIN(R$10:OFFSET(R$10,$M$5-1,0,1,1))-MAX(R$10:OFFSET(R$10,$M$5-1,0,1,1)))),"")</f>
        <v>0.39723320158102754</v>
      </c>
      <c r="S71" s="221">
        <f ca="1">IF(AND(ISNUMBER($L71),(ISNUMBER(S$5))),IF(S$7=1,(S15-MIN(S$10:OFFSET(S$10,$M$5-1,0,1,1)))/(MAX(S$10:OFFSET(S$10,$M$5-1,0,1,1))-MIN(S$10:OFFSET(S$10,$M$5-1,0,1,1))),(S15-MAX(S$10:OFFSET(S$10,$M$5-1,0,1,1)))/(MIN(S$10:OFFSET(S$10,$M$5-1,0,1,1))-MAX(S$10:OFFSET(S$10,$M$5-1,0,1,1)))),"")</f>
        <v>9.4562647754137127E-2</v>
      </c>
      <c r="T71" s="187"/>
      <c r="U71" s="199"/>
      <c r="V71" s="206">
        <f t="shared" si="8"/>
        <v>6</v>
      </c>
      <c r="W71" s="220" t="str">
        <f t="shared" si="4"/>
        <v>Bosnia and Hercegovina</v>
      </c>
      <c r="X71" s="221">
        <f ca="1">IF(AND(ISNUMBER($V71),(ISNUMBER(X$5))),IF(X$7=1,(X15-MIN(X$10:OFFSET(X$10,$W$5-1,0,1,1)))/(MAX(X$10:OFFSET(X$10,$W$5-1,0,1,1))-MIN(X$10:OFFSET(X$10,$W$5-1,0,1,1))),(X15-MAX(X$10:OFFSET(X$10,$W$5-1,0,1,1)))/(MIN(X$10:OFFSET(X$10,$W$5-1,0,1,1))-MAX(X$10:OFFSET(X$10,$W$5-1,0,1,1)))),"")</f>
        <v>0.35893754486719309</v>
      </c>
      <c r="Y71" s="221">
        <f ca="1">IF(AND(ISNUMBER($V71),(ISNUMBER(Y$5))),IF(Y$7=1,(Y15-MIN(Y$10:OFFSET(Y$10,$W$5-1,0,1,1)))/(MAX(Y$10:OFFSET(Y$10,$W$5-1,0,1,1))-MIN(Y$10:OFFSET(Y$10,$W$5-1,0,1,1))),(Y15-MAX(Y$10:OFFSET(Y$10,$W$5-1,0,1,1)))/(MIN(Y$10:OFFSET(Y$10,$W$5-1,0,1,1))-MAX(Y$10:OFFSET(Y$10,$W$5-1,0,1,1)))),"")</f>
        <v>0.17129977460555976</v>
      </c>
      <c r="Z71" s="221">
        <f ca="1">IF(AND(ISNUMBER($V71),(ISNUMBER(Z$5))),IF(Z$7=1,(Z15-MIN(Z$10:OFFSET(Z$10,$W$5-1,0,1,1)))/(MAX(Z$10:OFFSET(Z$10,$W$5-1,0,1,1))-MIN(Z$10:OFFSET(Z$10,$W$5-1,0,1,1))),(Z15-MAX(Z$10:OFFSET(Z$10,$W$5-1,0,1,1)))/(MIN(Z$10:OFFSET(Z$10,$W$5-1,0,1,1))-MAX(Z$10:OFFSET(Z$10,$W$5-1,0,1,1)))),"")</f>
        <v>0.2227662178702571</v>
      </c>
      <c r="AA71" s="221">
        <f ca="1">IF(AND(ISNUMBER($V71),(ISNUMBER(AA$5))),IF(AA$7=1,(AA15-MIN(AA$10:OFFSET(AA$10,$W$5-1,0,1,1)))/(MAX(AA$10:OFFSET(AA$10,$W$5-1,0,1,1))-MIN(AA$10:OFFSET(AA$10,$W$5-1,0,1,1))),(AA15-MAX(AA$10:OFFSET(AA$10,$W$5-1,0,1,1)))/(MIN(AA$10:OFFSET(AA$10,$W$5-1,0,1,1))-MAX(AA$10:OFFSET(AA$10,$W$5-1,0,1,1)))),"")</f>
        <v>0.48452611218568664</v>
      </c>
      <c r="AB71" s="221">
        <f ca="1">IF(AND(ISNUMBER($V71),(ISNUMBER(AB$5))),IF(AB$7=1,(AB15-MIN(AB$10:OFFSET(AB$10,$W$5-1,0,1,1)))/(MAX(AB$10:OFFSET(AB$10,$W$5-1,0,1,1))-MIN(AB$10:OFFSET(AB$10,$W$5-1,0,1,1))),(AB15-MAX(AB$10:OFFSET(AB$10,$W$5-1,0,1,1)))/(MIN(AB$10:OFFSET(AB$10,$W$5-1,0,1,1))-MAX(AB$10:OFFSET(AB$10,$W$5-1,0,1,1)))),"")</f>
        <v>0.42128121606948954</v>
      </c>
      <c r="AC71" s="221">
        <f ca="1">IF(AND(ISNUMBER($V71),(ISNUMBER(AC$5))),IF(AC$7=1,(AC15-MIN(AC$10:OFFSET(AC$10,$W$5-1,0,1,1)))/(MAX(AC$10:OFFSET(AC$10,$W$5-1,0,1,1))-MIN(AC$10:OFFSET(AC$10,$W$5-1,0,1,1))),(AC15-MAX(AC$10:OFFSET(AC$10,$W$5-1,0,1,1)))/(MIN(AC$10:OFFSET(AC$10,$W$5-1,0,1,1))-MAX(AC$10:OFFSET(AC$10,$W$5-1,0,1,1)))),"")</f>
        <v>0.11445086705202304</v>
      </c>
    </row>
    <row r="72" spans="1:29" ht="12.75" customHeight="1" thickBot="1">
      <c r="A72" s="199"/>
      <c r="B72" s="206">
        <f t="shared" si="5"/>
        <v>7</v>
      </c>
      <c r="C72" s="220" t="str">
        <f t="shared" si="6"/>
        <v>Georgia</v>
      </c>
      <c r="D72" s="221">
        <f ca="1">IF(AND(ISNUMBER($B72),(ISNUMBER(D$5))),IF(D$7=1,(D16-MIN(D$10:OFFSET(D$10,$C$5-1,0,1,1)))/(MAX(D$10:OFFSET(D$10,$C$5-1,0,1,1))-MIN(D$10:OFFSET(D$10,$C$5-1,0,1,1))),(D16-MAX(D$10:OFFSET(D$10,$C$5-1,0,1,1)))/(MIN(D$10:OFFSET(D$10,$C$5-1,0,1,1))-MAX(D$10:OFFSET(D$10,$C$5-1,0,1,1)))),"")</f>
        <v>0.6459259259259259</v>
      </c>
      <c r="E72" s="221">
        <f ca="1">IF(AND(ISNUMBER($B72),(ISNUMBER(E$5))),IF(E$7=1,(E16-MIN(E$10:OFFSET(E$10,$C$5-1,0,1,1)))/(MAX(E$10:OFFSET(E$10,$C$5-1,0,1,1))-MIN(E$10:OFFSET(E$10,$C$5-1,0,1,1))),(E16-MAX(E$10:OFFSET(E$10,$C$5-1,0,1,1)))/(MIN(E$10:OFFSET(E$10,$C$5-1,0,1,1))-MAX(E$10:OFFSET(E$10,$C$5-1,0,1,1)))),"")</f>
        <v>0.75038051750380508</v>
      </c>
      <c r="F72" s="221">
        <f ca="1">IF(AND(ISNUMBER($B72),(ISNUMBER(F$5))),IF(F$7=1,(F16-MIN(F$10:OFFSET(F$10,$C$5-1,0,1,1)))/(MAX(F$10:OFFSET(F$10,$C$5-1,0,1,1))-MIN(F$10:OFFSET(F$10,$C$5-1,0,1,1))),(F16-MAX(F$10:OFFSET(F$10,$C$5-1,0,1,1)))/(MIN(F$10:OFFSET(F$10,$C$5-1,0,1,1))-MAX(F$10:OFFSET(F$10,$C$5-1,0,1,1)))),"")</f>
        <v>0.34246575342465746</v>
      </c>
      <c r="G72" s="221">
        <f ca="1">IF(AND(ISNUMBER($B72),(ISNUMBER(G$5))),IF(G$7=1,(G16-MIN(G$10:OFFSET(G$10,$C$5-1,0,1,1)))/(MAX(G$10:OFFSET(G$10,$C$5-1,0,1,1))-MIN(G$10:OFFSET(G$10,$C$5-1,0,1,1))),(G16-MAX(G$10:OFFSET(G$10,$C$5-1,0,1,1)))/(MIN(G$10:OFFSET(G$10,$C$5-1,0,1,1))-MAX(G$10:OFFSET(G$10,$C$5-1,0,1,1)))),"")</f>
        <v>0.15445544554455448</v>
      </c>
      <c r="H72" s="221">
        <f ca="1">IF(AND(ISNUMBER($B72),(ISNUMBER(H$5))),IF(H$7=1,(H16-MIN(H$10:OFFSET(H$10,$C$5-1,0,1,1)))/(MAX(H$10:OFFSET(H$10,$C$5-1,0,1,1))-MIN(H$10:OFFSET(H$10,$C$5-1,0,1,1))),(H16-MAX(H$10:OFFSET(H$10,$C$5-1,0,1,1)))/(MIN(H$10:OFFSET(H$10,$C$5-1,0,1,1))-MAX(H$10:OFFSET(H$10,$C$5-1,0,1,1)))),"")</f>
        <v>0.8450413223140496</v>
      </c>
      <c r="I72" s="221">
        <f ca="1">IF(AND(ISNUMBER($B72),(ISNUMBER(I$5))),IF(I$7=1,(I16-MIN(I$10:OFFSET(I$10,$C$5-1,0,1,1)))/(MAX(I$10:OFFSET(I$10,$C$5-1,0,1,1))-MIN(I$10:OFFSET(I$10,$C$5-1,0,1,1))),(I16-MAX(I$10:OFFSET(I$10,$C$5-1,0,1,1)))/(MIN(I$10:OFFSET(I$10,$C$5-1,0,1,1))-MAX(I$10:OFFSET(I$10,$C$5-1,0,1,1)))),"")</f>
        <v>0.19015659955257269</v>
      </c>
      <c r="J72" s="187"/>
      <c r="K72" s="199"/>
      <c r="L72" s="206">
        <f t="shared" si="7"/>
        <v>7</v>
      </c>
      <c r="M72" s="220" t="str">
        <f t="shared" si="3"/>
        <v>Georgia</v>
      </c>
      <c r="N72" s="221">
        <f ca="1">IF(AND(ISNUMBER($L72),(ISNUMBER(N$5))),IF(N$7=1,(N16-MIN(N$10:OFFSET(N$10,$M$5-1,0,1,1)))/(MAX(N$10:OFFSET(N$10,$M$5-1,0,1,1))-MIN(N$10:OFFSET(N$10,$M$5-1,0,1,1))),(N16-MAX(N$10:OFFSET(N$10,$M$5-1,0,1,1)))/(MIN(N$10:OFFSET(N$10,$M$5-1,0,1,1))-MAX(N$10:OFFSET(N$10,$M$5-1,0,1,1)))),"")</f>
        <v>0.66434540389972152</v>
      </c>
      <c r="O72" s="221">
        <f ca="1">IF(AND(ISNUMBER($L72),(ISNUMBER(O$5))),IF(O$7=1,(O16-MIN(O$10:OFFSET(O$10,$M$5-1,0,1,1)))/(MAX(O$10:OFFSET(O$10,$M$5-1,0,1,1))-MIN(O$10:OFFSET(O$10,$M$5-1,0,1,1))),(O16-MAX(O$10:OFFSET(O$10,$M$5-1,0,1,1)))/(MIN(O$10:OFFSET(O$10,$M$5-1,0,1,1))-MAX(O$10:OFFSET(O$10,$M$5-1,0,1,1)))),"")</f>
        <v>0.91690962099125362</v>
      </c>
      <c r="P72" s="221">
        <f ca="1">IF(AND(ISNUMBER($L72),(ISNUMBER(P$5))),IF(P$7=1,(P16-MIN(P$10:OFFSET(P$10,$M$5-1,0,1,1)))/(MAX(P$10:OFFSET(P$10,$M$5-1,0,1,1))-MIN(P$10:OFFSET(P$10,$M$5-1,0,1,1))),(P16-MAX(P$10:OFFSET(P$10,$M$5-1,0,1,1)))/(MIN(P$10:OFFSET(P$10,$M$5-1,0,1,1))-MAX(P$10:OFFSET(P$10,$M$5-1,0,1,1)))),"")</f>
        <v>0.56380510440835252</v>
      </c>
      <c r="Q72" s="221">
        <f ca="1">IF(AND(ISNUMBER($L72),(ISNUMBER(Q$5))),IF(Q$7=1,(Q16-MIN(Q$10:OFFSET(Q$10,$M$5-1,0,1,1)))/(MAX(Q$10:OFFSET(Q$10,$M$5-1,0,1,1))-MIN(Q$10:OFFSET(Q$10,$M$5-1,0,1,1))),(Q16-MAX(Q$10:OFFSET(Q$10,$M$5-1,0,1,1)))/(MIN(Q$10:OFFSET(Q$10,$M$5-1,0,1,1))-MAX(Q$10:OFFSET(Q$10,$M$5-1,0,1,1)))),"")</f>
        <v>0.34593572778827986</v>
      </c>
      <c r="R72" s="221">
        <f ca="1">IF(AND(ISNUMBER($L72),(ISNUMBER(R$5))),IF(R$7=1,(R16-MIN(R$10:OFFSET(R$10,$M$5-1,0,1,1)))/(MAX(R$10:OFFSET(R$10,$M$5-1,0,1,1))-MIN(R$10:OFFSET(R$10,$M$5-1,0,1,1))),(R16-MAX(R$10:OFFSET(R$10,$M$5-1,0,1,1)))/(MIN(R$10:OFFSET(R$10,$M$5-1,0,1,1))-MAX(R$10:OFFSET(R$10,$M$5-1,0,1,1)))),"")</f>
        <v>0.8913043478260867</v>
      </c>
      <c r="S72" s="221">
        <f ca="1">IF(AND(ISNUMBER($L72),(ISNUMBER(S$5))),IF(S$7=1,(S16-MIN(S$10:OFFSET(S$10,$M$5-1,0,1,1)))/(MAX(S$10:OFFSET(S$10,$M$5-1,0,1,1))-MIN(S$10:OFFSET(S$10,$M$5-1,0,1,1))),(S16-MAX(S$10:OFFSET(S$10,$M$5-1,0,1,1)))/(MIN(S$10:OFFSET(S$10,$M$5-1,0,1,1))-MAX(S$10:OFFSET(S$10,$M$5-1,0,1,1)))),"")</f>
        <v>0.11583924349881794</v>
      </c>
      <c r="T72" s="187"/>
      <c r="U72" s="199"/>
      <c r="V72" s="206">
        <f t="shared" si="8"/>
        <v>7</v>
      </c>
      <c r="W72" s="220" t="str">
        <f t="shared" si="4"/>
        <v>Georgia</v>
      </c>
      <c r="X72" s="221">
        <f ca="1">IF(AND(ISNUMBER($V72),(ISNUMBER(X$5))),IF(X$7=1,(X16-MIN(X$10:OFFSET(X$10,$W$5-1,0,1,1)))/(MAX(X$10:OFFSET(X$10,$W$5-1,0,1,1))-MIN(X$10:OFFSET(X$10,$W$5-1,0,1,1))),(X16-MAX(X$10:OFFSET(X$10,$W$5-1,0,1,1)))/(MIN(X$10:OFFSET(X$10,$W$5-1,0,1,1))-MAX(X$10:OFFSET(X$10,$W$5-1,0,1,1)))),"")</f>
        <v>0.65541995692749466</v>
      </c>
      <c r="Y72" s="221">
        <f ca="1">IF(AND(ISNUMBER($V72),(ISNUMBER(Y$5))),IF(Y$7=1,(Y16-MIN(Y$10:OFFSET(Y$10,$W$5-1,0,1,1)))/(MAX(Y$10:OFFSET(Y$10,$W$5-1,0,1,1))-MIN(Y$10:OFFSET(Y$10,$W$5-1,0,1,1))),(Y16-MAX(Y$10:OFFSET(Y$10,$W$5-1,0,1,1)))/(MIN(Y$10:OFFSET(Y$10,$W$5-1,0,1,1))-MAX(Y$10:OFFSET(Y$10,$W$5-1,0,1,1)))),"")</f>
        <v>0.84297520661157022</v>
      </c>
      <c r="Z72" s="221">
        <f ca="1">IF(AND(ISNUMBER($V72),(ISNUMBER(Z$5))),IF(Z$7=1,(Z16-MIN(Z$10:OFFSET(Z$10,$W$5-1,0,1,1)))/(MAX(Z$10:OFFSET(Z$10,$W$5-1,0,1,1))-MIN(Z$10:OFFSET(Z$10,$W$5-1,0,1,1))),(Z16-MAX(Z$10:OFFSET(Z$10,$W$5-1,0,1,1)))/(MIN(Z$10:OFFSET(Z$10,$W$5-1,0,1,1))-MAX(Z$10:OFFSET(Z$10,$W$5-1,0,1,1)))),"")</f>
        <v>0.43329253365973086</v>
      </c>
      <c r="AA72" s="221">
        <f ca="1">IF(AND(ISNUMBER($V72),(ISNUMBER(AA$5))),IF(AA$7=1,(AA16-MIN(AA$10:OFFSET(AA$10,$W$5-1,0,1,1)))/(MAX(AA$10:OFFSET(AA$10,$W$5-1,0,1,1))-MIN(AA$10:OFFSET(AA$10,$W$5-1,0,1,1))),(AA16-MAX(AA$10:OFFSET(AA$10,$W$5-1,0,1,1)))/(MIN(AA$10:OFFSET(AA$10,$W$5-1,0,1,1))-MAX(AA$10:OFFSET(AA$10,$W$5-1,0,1,1)))),"")</f>
        <v>0.25241779497098649</v>
      </c>
      <c r="AB72" s="221">
        <f ca="1">IF(AND(ISNUMBER($V72),(ISNUMBER(AB$5))),IF(AB$7=1,(AB16-MIN(AB$10:OFFSET(AB$10,$W$5-1,0,1,1)))/(MAX(AB$10:OFFSET(AB$10,$W$5-1,0,1,1))-MIN(AB$10:OFFSET(AB$10,$W$5-1,0,1,1))),(AB16-MAX(AB$10:OFFSET(AB$10,$W$5-1,0,1,1)))/(MIN(AB$10:OFFSET(AB$10,$W$5-1,0,1,1))-MAX(AB$10:OFFSET(AB$10,$W$5-1,0,1,1)))),"")</f>
        <v>0.93376764386536382</v>
      </c>
      <c r="AC72" s="221">
        <f ca="1">IF(AND(ISNUMBER($V72),(ISNUMBER(AC$5))),IF(AC$7=1,(AC16-MIN(AC$10:OFFSET(AC$10,$W$5-1,0,1,1)))/(MAX(AC$10:OFFSET(AC$10,$W$5-1,0,1,1))-MIN(AC$10:OFFSET(AC$10,$W$5-1,0,1,1))),(AC16-MAX(AC$10:OFFSET(AC$10,$W$5-1,0,1,1)))/(MIN(AC$10:OFFSET(AC$10,$W$5-1,0,1,1))-MAX(AC$10:OFFSET(AC$10,$W$5-1,0,1,1)))),"")</f>
        <v>0.14913294797687854</v>
      </c>
    </row>
    <row r="73" spans="1:29" ht="12.75" customHeight="1" thickBot="1">
      <c r="A73" s="199"/>
      <c r="B73" s="206">
        <f t="shared" si="5"/>
        <v>8</v>
      </c>
      <c r="C73" s="220" t="str">
        <f t="shared" si="6"/>
        <v>Iceland</v>
      </c>
      <c r="D73" s="221">
        <f ca="1">IF(AND(ISNUMBER($B73),(ISNUMBER(D$5))),IF(D$7=1,(D17-MIN(D$10:OFFSET(D$10,$C$5-1,0,1,1)))/(MAX(D$10:OFFSET(D$10,$C$5-1,0,1,1))-MIN(D$10:OFFSET(D$10,$C$5-1,0,1,1))),(D17-MAX(D$10:OFFSET(D$10,$C$5-1,0,1,1)))/(MIN(D$10:OFFSET(D$10,$C$5-1,0,1,1))-MAX(D$10:OFFSET(D$10,$C$5-1,0,1,1)))),"")</f>
        <v>0.38074074074074077</v>
      </c>
      <c r="E73" s="221">
        <f ca="1">IF(AND(ISNUMBER($B73),(ISNUMBER(E$5))),IF(E$7=1,(E17-MIN(E$10:OFFSET(E$10,$C$5-1,0,1,1)))/(MAX(E$10:OFFSET(E$10,$C$5-1,0,1,1))-MIN(E$10:OFFSET(E$10,$C$5-1,0,1,1))),(E17-MAX(E$10:OFFSET(E$10,$C$5-1,0,1,1)))/(MIN(E$10:OFFSET(E$10,$C$5-1,0,1,1))-MAX(E$10:OFFSET(E$10,$C$5-1,0,1,1)))),"")</f>
        <v>0.45662100456621008</v>
      </c>
      <c r="F73" s="221">
        <f ca="1">IF(AND(ISNUMBER($B73),(ISNUMBER(F$5))),IF(F$7=1,(F17-MIN(F$10:OFFSET(F$10,$C$5-1,0,1,1)))/(MAX(F$10:OFFSET(F$10,$C$5-1,0,1,1))-MIN(F$10:OFFSET(F$10,$C$5-1,0,1,1))),(F17-MAX(F$10:OFFSET(F$10,$C$5-1,0,1,1)))/(MIN(F$10:OFFSET(F$10,$C$5-1,0,1,1))-MAX(F$10:OFFSET(F$10,$C$5-1,0,1,1)))),"")</f>
        <v>0.36529680365296796</v>
      </c>
      <c r="G73" s="221">
        <f ca="1">IF(AND(ISNUMBER($B73),(ISNUMBER(G$5))),IF(G$7=1,(G17-MIN(G$10:OFFSET(G$10,$C$5-1,0,1,1)))/(MAX(G$10:OFFSET(G$10,$C$5-1,0,1,1))-MIN(G$10:OFFSET(G$10,$C$5-1,0,1,1))),(G17-MAX(G$10:OFFSET(G$10,$C$5-1,0,1,1)))/(MIN(G$10:OFFSET(G$10,$C$5-1,0,1,1))-MAX(G$10:OFFSET(G$10,$C$5-1,0,1,1)))),"")</f>
        <v>0.63366336633663367</v>
      </c>
      <c r="H73" s="221">
        <f ca="1">IF(AND(ISNUMBER($B73),(ISNUMBER(H$5))),IF(H$7=1,(H17-MIN(H$10:OFFSET(H$10,$C$5-1,0,1,1)))/(MAX(H$10:OFFSET(H$10,$C$5-1,0,1,1))-MIN(H$10:OFFSET(H$10,$C$5-1,0,1,1))),(H17-MAX(H$10:OFFSET(H$10,$C$5-1,0,1,1)))/(MIN(H$10:OFFSET(H$10,$C$5-1,0,1,1))-MAX(H$10:OFFSET(H$10,$C$5-1,0,1,1)))),"")</f>
        <v>0.41942148760330572</v>
      </c>
      <c r="I73" s="221">
        <f ca="1">IF(AND(ISNUMBER($B73),(ISNUMBER(I$5))),IF(I$7=1,(I17-MIN(I$10:OFFSET(I$10,$C$5-1,0,1,1)))/(MAX(I$10:OFFSET(I$10,$C$5-1,0,1,1))-MIN(I$10:OFFSET(I$10,$C$5-1,0,1,1))),(I17-MAX(I$10:OFFSET(I$10,$C$5-1,0,1,1)))/(MIN(I$10:OFFSET(I$10,$C$5-1,0,1,1))-MAX(I$10:OFFSET(I$10,$C$5-1,0,1,1)))),"")</f>
        <v>0.83221476510067116</v>
      </c>
      <c r="J73" s="187"/>
      <c r="K73" s="199"/>
      <c r="L73" s="206">
        <f t="shared" si="7"/>
        <v>8</v>
      </c>
      <c r="M73" s="220" t="str">
        <f t="shared" si="3"/>
        <v>Iceland</v>
      </c>
      <c r="N73" s="221">
        <f ca="1">IF(AND(ISNUMBER($L73),(ISNUMBER(N$5))),IF(N$7=1,(N17-MIN(N$10:OFFSET(N$10,$M$5-1,0,1,1)))/(MAX(N$10:OFFSET(N$10,$M$5-1,0,1,1))-MIN(N$10:OFFSET(N$10,$M$5-1,0,1,1))),(N17-MAX(N$10:OFFSET(N$10,$M$5-1,0,1,1)))/(MIN(N$10:OFFSET(N$10,$M$5-1,0,1,1))-MAX(N$10:OFFSET(N$10,$M$5-1,0,1,1)))),"")</f>
        <v>0.45264623955431754</v>
      </c>
      <c r="O73" s="221">
        <f ca="1">IF(AND(ISNUMBER($L73),(ISNUMBER(O$5))),IF(O$7=1,(O17-MIN(O$10:OFFSET(O$10,$M$5-1,0,1,1)))/(MAX(O$10:OFFSET(O$10,$M$5-1,0,1,1))-MIN(O$10:OFFSET(O$10,$M$5-1,0,1,1))),(O17-MAX(O$10:OFFSET(O$10,$M$5-1,0,1,1)))/(MIN(O$10:OFFSET(O$10,$M$5-1,0,1,1))-MAX(O$10:OFFSET(O$10,$M$5-1,0,1,1)))),"")</f>
        <v>0.49854227405247814</v>
      </c>
      <c r="P73" s="221">
        <f ca="1">IF(AND(ISNUMBER($L73),(ISNUMBER(P$5))),IF(P$7=1,(P17-MIN(P$10:OFFSET(P$10,$M$5-1,0,1,1)))/(MAX(P$10:OFFSET(P$10,$M$5-1,0,1,1))-MIN(P$10:OFFSET(P$10,$M$5-1,0,1,1))),(P17-MAX(P$10:OFFSET(P$10,$M$5-1,0,1,1)))/(MIN(P$10:OFFSET(P$10,$M$5-1,0,1,1))-MAX(P$10:OFFSET(P$10,$M$5-1,0,1,1)))),"")</f>
        <v>0.60556844547563793</v>
      </c>
      <c r="Q73" s="221">
        <f ca="1">IF(AND(ISNUMBER($L73),(ISNUMBER(Q$5))),IF(Q$7=1,(Q17-MIN(Q$10:OFFSET(Q$10,$M$5-1,0,1,1)))/(MAX(Q$10:OFFSET(Q$10,$M$5-1,0,1,1))-MIN(Q$10:OFFSET(Q$10,$M$5-1,0,1,1))),(Q17-MAX(Q$10:OFFSET(Q$10,$M$5-1,0,1,1)))/(MIN(Q$10:OFFSET(Q$10,$M$5-1,0,1,1))-MAX(Q$10:OFFSET(Q$10,$M$5-1,0,1,1)))),"")</f>
        <v>0.69565217391304357</v>
      </c>
      <c r="R73" s="221">
        <f ca="1">IF(AND(ISNUMBER($L73),(ISNUMBER(R$5))),IF(R$7=1,(R17-MIN(R$10:OFFSET(R$10,$M$5-1,0,1,1)))/(MAX(R$10:OFFSET(R$10,$M$5-1,0,1,1))-MIN(R$10:OFFSET(R$10,$M$5-1,0,1,1))),(R17-MAX(R$10:OFFSET(R$10,$M$5-1,0,1,1)))/(MIN(R$10:OFFSET(R$10,$M$5-1,0,1,1))-MAX(R$10:OFFSET(R$10,$M$5-1,0,1,1)))),"")</f>
        <v>0.30830039525691688</v>
      </c>
      <c r="S73" s="221">
        <f ca="1">IF(AND(ISNUMBER($L73),(ISNUMBER(S$5))),IF(S$7=1,(S17-MIN(S$10:OFFSET(S$10,$M$5-1,0,1,1)))/(MAX(S$10:OFFSET(S$10,$M$5-1,0,1,1))-MIN(S$10:OFFSET(S$10,$M$5-1,0,1,1))),(S17-MAX(S$10:OFFSET(S$10,$M$5-1,0,1,1)))/(MIN(S$10:OFFSET(S$10,$M$5-1,0,1,1))-MAX(S$10:OFFSET(S$10,$M$5-1,0,1,1)))),"")</f>
        <v>0.7848699763593382</v>
      </c>
      <c r="T73" s="187"/>
      <c r="U73" s="199"/>
      <c r="V73" s="206">
        <f t="shared" si="8"/>
        <v>8</v>
      </c>
      <c r="W73" s="220" t="str">
        <f t="shared" si="4"/>
        <v>Iceland</v>
      </c>
      <c r="X73" s="221">
        <f ca="1">IF(AND(ISNUMBER($V73),(ISNUMBER(X$5))),IF(X$7=1,(X17-MIN(X$10:OFFSET(X$10,$W$5-1,0,1,1)))/(MAX(X$10:OFFSET(X$10,$W$5-1,0,1,1))-MIN(X$10:OFFSET(X$10,$W$5-1,0,1,1))),(X17-MAX(X$10:OFFSET(X$10,$W$5-1,0,1,1)))/(MIN(X$10:OFFSET(X$10,$W$5-1,0,1,1))-MAX(X$10:OFFSET(X$10,$W$5-1,0,1,1)))),"")</f>
        <v>0.41780330222541279</v>
      </c>
      <c r="Y73" s="221">
        <f ca="1">IF(AND(ISNUMBER($V73),(ISNUMBER(Y$5))),IF(Y$7=1,(Y17-MIN(Y$10:OFFSET(Y$10,$W$5-1,0,1,1)))/(MAX(Y$10:OFFSET(Y$10,$W$5-1,0,1,1))-MIN(Y$10:OFFSET(Y$10,$W$5-1,0,1,1))),(Y17-MAX(Y$10:OFFSET(Y$10,$W$5-1,0,1,1)))/(MIN(Y$10:OFFSET(Y$10,$W$5-1,0,1,1))-MAX(Y$10:OFFSET(Y$10,$W$5-1,0,1,1)))),"")</f>
        <v>0.48234410217881285</v>
      </c>
      <c r="Z73" s="221">
        <f ca="1">IF(AND(ISNUMBER($V73),(ISNUMBER(Z$5))),IF(Z$7=1,(Z17-MIN(Z$10:OFFSET(Z$10,$W$5-1,0,1,1)))/(MAX(Z$10:OFFSET(Z$10,$W$5-1,0,1,1))-MIN(Z$10:OFFSET(Z$10,$W$5-1,0,1,1))),(Z17-MAX(Z$10:OFFSET(Z$10,$W$5-1,0,1,1)))/(MIN(Z$10:OFFSET(Z$10,$W$5-1,0,1,1))-MAX(Z$10:OFFSET(Z$10,$W$5-1,0,1,1)))),"")</f>
        <v>0.46756425948592406</v>
      </c>
      <c r="AA73" s="221">
        <f ca="1">IF(AND(ISNUMBER($V73),(ISNUMBER(AA$5))),IF(AA$7=1,(AA17-MIN(AA$10:OFFSET(AA$10,$W$5-1,0,1,1)))/(MAX(AA$10:OFFSET(AA$10,$W$5-1,0,1,1))-MIN(AA$10:OFFSET(AA$10,$W$5-1,0,1,1))),(AA17-MAX(AA$10:OFFSET(AA$10,$W$5-1,0,1,1)))/(MIN(AA$10:OFFSET(AA$10,$W$5-1,0,1,1))-MAX(AA$10:OFFSET(AA$10,$W$5-1,0,1,1)))),"")</f>
        <v>0.66537717601547397</v>
      </c>
      <c r="AB73" s="221">
        <f ca="1">IF(AND(ISNUMBER($V73),(ISNUMBER(AB$5))),IF(AB$7=1,(AB17-MIN(AB$10:OFFSET(AB$10,$W$5-1,0,1,1)))/(MAX(AB$10:OFFSET(AB$10,$W$5-1,0,1,1))-MIN(AB$10:OFFSET(AB$10,$W$5-1,0,1,1))),(AB17-MAX(AB$10:OFFSET(AB$10,$W$5-1,0,1,1)))/(MIN(AB$10:OFFSET(AB$10,$W$5-1,0,1,1))-MAX(AB$10:OFFSET(AB$10,$W$5-1,0,1,1)))),"")</f>
        <v>0.38979370249728551</v>
      </c>
      <c r="AC73" s="221">
        <f ca="1">IF(AND(ISNUMBER($V73),(ISNUMBER(AC$5))),IF(AC$7=1,(AC17-MIN(AC$10:OFFSET(AC$10,$W$5-1,0,1,1)))/(MAX(AC$10:OFFSET(AC$10,$W$5-1,0,1,1))-MIN(AC$10:OFFSET(AC$10,$W$5-1,0,1,1))),(AC17-MAX(AC$10:OFFSET(AC$10,$W$5-1,0,1,1)))/(MIN(AC$10:OFFSET(AC$10,$W$5-1,0,1,1))-MAX(AC$10:OFFSET(AC$10,$W$5-1,0,1,1)))),"")</f>
        <v>0.80809248554913327</v>
      </c>
    </row>
    <row r="74" spans="1:29" ht="12.75" customHeight="1" thickBot="1">
      <c r="A74" s="199"/>
      <c r="B74" s="206">
        <f t="shared" si="5"/>
        <v>9</v>
      </c>
      <c r="C74" s="220" t="str">
        <f t="shared" si="6"/>
        <v>Israel</v>
      </c>
      <c r="D74" s="221">
        <f ca="1">IF(AND(ISNUMBER($B74),(ISNUMBER(D$5))),IF(D$7=1,(D18-MIN(D$10:OFFSET(D$10,$C$5-1,0,1,1)))/(MAX(D$10:OFFSET(D$10,$C$5-1,0,1,1))-MIN(D$10:OFFSET(D$10,$C$5-1,0,1,1))),(D18-MAX(D$10:OFFSET(D$10,$C$5-1,0,1,1)))/(MIN(D$10:OFFSET(D$10,$C$5-1,0,1,1))-MAX(D$10:OFFSET(D$10,$C$5-1,0,1,1)))),"")</f>
        <v>0.50518518518518518</v>
      </c>
      <c r="E74" s="221">
        <f ca="1">IF(AND(ISNUMBER($B74),(ISNUMBER(E$5))),IF(E$7=1,(E18-MIN(E$10:OFFSET(E$10,$C$5-1,0,1,1)))/(MAX(E$10:OFFSET(E$10,$C$5-1,0,1,1))-MIN(E$10:OFFSET(E$10,$C$5-1,0,1,1))),(E18-MAX(E$10:OFFSET(E$10,$C$5-1,0,1,1)))/(MIN(E$10:OFFSET(E$10,$C$5-1,0,1,1))-MAX(E$10:OFFSET(E$10,$C$5-1,0,1,1)))),"")</f>
        <v>0.62557077625570767</v>
      </c>
      <c r="F74" s="221">
        <f ca="1">IF(AND(ISNUMBER($B74),(ISNUMBER(F$5))),IF(F$7=1,(F18-MIN(F$10:OFFSET(F$10,$C$5-1,0,1,1)))/(MAX(F$10:OFFSET(F$10,$C$5-1,0,1,1))-MIN(F$10:OFFSET(F$10,$C$5-1,0,1,1))),(F18-MAX(F$10:OFFSET(F$10,$C$5-1,0,1,1)))/(MIN(F$10:OFFSET(F$10,$C$5-1,0,1,1))-MAX(F$10:OFFSET(F$10,$C$5-1,0,1,1)))),"")</f>
        <v>0.54337899543378998</v>
      </c>
      <c r="G74" s="221">
        <f ca="1">IF(AND(ISNUMBER($B74),(ISNUMBER(G$5))),IF(G$7=1,(G18-MIN(G$10:OFFSET(G$10,$C$5-1,0,1,1)))/(MAX(G$10:OFFSET(G$10,$C$5-1,0,1,1))-MIN(G$10:OFFSET(G$10,$C$5-1,0,1,1))),(G18-MAX(G$10:OFFSET(G$10,$C$5-1,0,1,1)))/(MIN(G$10:OFFSET(G$10,$C$5-1,0,1,1))-MAX(G$10:OFFSET(G$10,$C$5-1,0,1,1)))),"")</f>
        <v>0.7386138613861386</v>
      </c>
      <c r="H74" s="221">
        <f ca="1">IF(AND(ISNUMBER($B74),(ISNUMBER(H$5))),IF(H$7=1,(H18-MIN(H$10:OFFSET(H$10,$C$5-1,0,1,1)))/(MAX(H$10:OFFSET(H$10,$C$5-1,0,1,1))-MIN(H$10:OFFSET(H$10,$C$5-1,0,1,1))),(H18-MAX(H$10:OFFSET(H$10,$C$5-1,0,1,1)))/(MIN(H$10:OFFSET(H$10,$C$5-1,0,1,1))-MAX(H$10:OFFSET(H$10,$C$5-1,0,1,1)))),"")</f>
        <v>0.34710743801652888</v>
      </c>
      <c r="I74" s="221">
        <f ca="1">IF(AND(ISNUMBER($B74),(ISNUMBER(I$5))),IF(I$7=1,(I18-MIN(I$10:OFFSET(I$10,$C$5-1,0,1,1)))/(MAX(I$10:OFFSET(I$10,$C$5-1,0,1,1))-MIN(I$10:OFFSET(I$10,$C$5-1,0,1,1))),(I18-MAX(I$10:OFFSET(I$10,$C$5-1,0,1,1)))/(MIN(I$10:OFFSET(I$10,$C$5-1,0,1,1))-MAX(I$10:OFFSET(I$10,$C$5-1,0,1,1)))),"")</f>
        <v>0.6017897091722596</v>
      </c>
      <c r="J74" s="187"/>
      <c r="K74" s="199"/>
      <c r="L74" s="206">
        <f t="shared" si="7"/>
        <v>9</v>
      </c>
      <c r="M74" s="220" t="str">
        <f t="shared" si="3"/>
        <v>Israel</v>
      </c>
      <c r="N74" s="221">
        <f ca="1">IF(AND(ISNUMBER($L74),(ISNUMBER(N$5))),IF(N$7=1,(N18-MIN(N$10:OFFSET(N$10,$M$5-1,0,1,1)))/(MAX(N$10:OFFSET(N$10,$M$5-1,0,1,1))-MIN(N$10:OFFSET(N$10,$M$5-1,0,1,1))),(N18-MAX(N$10:OFFSET(N$10,$M$5-1,0,1,1)))/(MIN(N$10:OFFSET(N$10,$M$5-1,0,1,1))-MAX(N$10:OFFSET(N$10,$M$5-1,0,1,1)))),"")</f>
        <v>0.47493036211699169</v>
      </c>
      <c r="O74" s="221">
        <f ca="1">IF(AND(ISNUMBER($L74),(ISNUMBER(O$5))),IF(O$7=1,(O18-MIN(O$10:OFFSET(O$10,$M$5-1,0,1,1)))/(MAX(O$10:OFFSET(O$10,$M$5-1,0,1,1))-MIN(O$10:OFFSET(O$10,$M$5-1,0,1,1))),(O18-MAX(O$10:OFFSET(O$10,$M$5-1,0,1,1)))/(MIN(O$10:OFFSET(O$10,$M$5-1,0,1,1))-MAX(O$10:OFFSET(O$10,$M$5-1,0,1,1)))),"")</f>
        <v>0.64868804664723034</v>
      </c>
      <c r="P74" s="221">
        <f ca="1">IF(AND(ISNUMBER($L74),(ISNUMBER(P$5))),IF(P$7=1,(P18-MIN(P$10:OFFSET(P$10,$M$5-1,0,1,1)))/(MAX(P$10:OFFSET(P$10,$M$5-1,0,1,1))-MIN(P$10:OFFSET(P$10,$M$5-1,0,1,1))),(P18-MAX(P$10:OFFSET(P$10,$M$5-1,0,1,1)))/(MIN(P$10:OFFSET(P$10,$M$5-1,0,1,1))-MAX(P$10:OFFSET(P$10,$M$5-1,0,1,1)))),"")</f>
        <v>0.52436194895591637</v>
      </c>
      <c r="Q74" s="221">
        <f ca="1">IF(AND(ISNUMBER($L74),(ISNUMBER(Q$5))),IF(Q$7=1,(Q18-MIN(Q$10:OFFSET(Q$10,$M$5-1,0,1,1)))/(MAX(Q$10:OFFSET(Q$10,$M$5-1,0,1,1))-MIN(Q$10:OFFSET(Q$10,$M$5-1,0,1,1))),(Q18-MAX(Q$10:OFFSET(Q$10,$M$5-1,0,1,1)))/(MIN(Q$10:OFFSET(Q$10,$M$5-1,0,1,1))-MAX(Q$10:OFFSET(Q$10,$M$5-1,0,1,1)))),"")</f>
        <v>0.75236294896030254</v>
      </c>
      <c r="R74" s="221">
        <f ca="1">IF(AND(ISNUMBER($L74),(ISNUMBER(R$5))),IF(R$7=1,(R18-MIN(R$10:OFFSET(R$10,$M$5-1,0,1,1)))/(MAX(R$10:OFFSET(R$10,$M$5-1,0,1,1))-MIN(R$10:OFFSET(R$10,$M$5-1,0,1,1))),(R18-MAX(R$10:OFFSET(R$10,$M$5-1,0,1,1)))/(MIN(R$10:OFFSET(R$10,$M$5-1,0,1,1))-MAX(R$10:OFFSET(R$10,$M$5-1,0,1,1)))),"")</f>
        <v>0.23913043478260862</v>
      </c>
      <c r="S74" s="221">
        <f ca="1">IF(AND(ISNUMBER($L74),(ISNUMBER(S$5))),IF(S$7=1,(S18-MIN(S$10:OFFSET(S$10,$M$5-1,0,1,1)))/(MAX(S$10:OFFSET(S$10,$M$5-1,0,1,1))-MIN(S$10:OFFSET(S$10,$M$5-1,0,1,1))),(S18-MAX(S$10:OFFSET(S$10,$M$5-1,0,1,1)))/(MIN(S$10:OFFSET(S$10,$M$5-1,0,1,1))-MAX(S$10:OFFSET(S$10,$M$5-1,0,1,1)))),"")</f>
        <v>0.41371158392434992</v>
      </c>
      <c r="T74" s="187"/>
      <c r="U74" s="199"/>
      <c r="V74" s="206">
        <f t="shared" si="8"/>
        <v>9</v>
      </c>
      <c r="W74" s="220" t="str">
        <f t="shared" si="4"/>
        <v>Israel</v>
      </c>
      <c r="X74" s="221">
        <f ca="1">IF(AND(ISNUMBER($V74),(ISNUMBER(X$5))),IF(X$7=1,(X18-MIN(X$10:OFFSET(X$10,$W$5-1,0,1,1)))/(MAX(X$10:OFFSET(X$10,$W$5-1,0,1,1))-MIN(X$10:OFFSET(X$10,$W$5-1,0,1,1))),(X18-MAX(X$10:OFFSET(X$10,$W$5-1,0,1,1)))/(MIN(X$10:OFFSET(X$10,$W$5-1,0,1,1))-MAX(X$10:OFFSET(X$10,$W$5-1,0,1,1)))),"")</f>
        <v>0.48959081119885139</v>
      </c>
      <c r="Y74" s="221">
        <f ca="1">IF(AND(ISNUMBER($V74),(ISNUMBER(Y$5))),IF(Y$7=1,(Y18-MIN(Y$10:OFFSET(Y$10,$W$5-1,0,1,1)))/(MAX(Y$10:OFFSET(Y$10,$W$5-1,0,1,1))-MIN(Y$10:OFFSET(Y$10,$W$5-1,0,1,1))),(Y18-MAX(Y$10:OFFSET(Y$10,$W$5-1,0,1,1)))/(MIN(Y$10:OFFSET(Y$10,$W$5-1,0,1,1))-MAX(Y$10:OFFSET(Y$10,$W$5-1,0,1,1)))),"")</f>
        <v>0.64312546957175054</v>
      </c>
      <c r="Z74" s="221">
        <f ca="1">IF(AND(ISNUMBER($V74),(ISNUMBER(Z$5))),IF(Z$7=1,(Z18-MIN(Z$10:OFFSET(Z$10,$W$5-1,0,1,1)))/(MAX(Z$10:OFFSET(Z$10,$W$5-1,0,1,1))-MIN(Z$10:OFFSET(Z$10,$W$5-1,0,1,1))),(Z18-MAX(Z$10:OFFSET(Z$10,$W$5-1,0,1,1)))/(MIN(Z$10:OFFSET(Z$10,$W$5-1,0,1,1))-MAX(Z$10:OFFSET(Z$10,$W$5-1,0,1,1)))),"")</f>
        <v>0.52019583843329265</v>
      </c>
      <c r="AA74" s="221">
        <f ca="1">IF(AND(ISNUMBER($V74),(ISNUMBER(AA$5))),IF(AA$7=1,(AA18-MIN(AA$10:OFFSET(AA$10,$W$5-1,0,1,1)))/(MAX(AA$10:OFFSET(AA$10,$W$5-1,0,1,1))-MIN(AA$10:OFFSET(AA$10,$W$5-1,0,1,1))),(AA18-MAX(AA$10:OFFSET(AA$10,$W$5-1,0,1,1)))/(MIN(AA$10:OFFSET(AA$10,$W$5-1,0,1,1))-MAX(AA$10:OFFSET(AA$10,$W$5-1,0,1,1)))),"")</f>
        <v>0.7456479690522243</v>
      </c>
      <c r="AB74" s="221">
        <f ca="1">IF(AND(ISNUMBER($V74),(ISNUMBER(AB$5))),IF(AB$7=1,(AB18-MIN(AB$10:OFFSET(AB$10,$W$5-1,0,1,1)))/(MAX(AB$10:OFFSET(AB$10,$W$5-1,0,1,1))-MIN(AB$10:OFFSET(AB$10,$W$5-1,0,1,1))),(AB18-MAX(AB$10:OFFSET(AB$10,$W$5-1,0,1,1)))/(MIN(AB$10:OFFSET(AB$10,$W$5-1,0,1,1))-MAX(AB$10:OFFSET(AB$10,$W$5-1,0,1,1)))),"")</f>
        <v>0.31378935939196517</v>
      </c>
      <c r="AC74" s="221">
        <f ca="1">IF(AND(ISNUMBER($V74),(ISNUMBER(AC$5))),IF(AC$7=1,(AC18-MIN(AC$10:OFFSET(AC$10,$W$5-1,0,1,1)))/(MAX(AC$10:OFFSET(AC$10,$W$5-1,0,1,1))-MIN(AC$10:OFFSET(AC$10,$W$5-1,0,1,1))),(AC18-MAX(AC$10:OFFSET(AC$10,$W$5-1,0,1,1)))/(MIN(AC$10:OFFSET(AC$10,$W$5-1,0,1,1))-MAX(AC$10:OFFSET(AC$10,$W$5-1,0,1,1)))),"")</f>
        <v>0.50751445086705238</v>
      </c>
    </row>
    <row r="75" spans="1:29" ht="15" customHeight="1" thickBot="1">
      <c r="A75" s="199"/>
      <c r="B75" s="206">
        <f t="shared" si="5"/>
        <v>10</v>
      </c>
      <c r="C75" s="220" t="str">
        <f t="shared" si="6"/>
        <v>Kazakhstan</v>
      </c>
      <c r="D75" s="221">
        <f ca="1">IF(AND(ISNUMBER($B75),(ISNUMBER(D$5))),IF(D$7=1,(D19-MIN(D$10:OFFSET(D$10,$C$5-1,0,1,1)))/(MAX(D$10:OFFSET(D$10,$C$5-1,0,1,1))-MIN(D$10:OFFSET(D$10,$C$5-1,0,1,1))),(D19-MAX(D$10:OFFSET(D$10,$C$5-1,0,1,1)))/(MIN(D$10:OFFSET(D$10,$C$5-1,0,1,1))-MAX(D$10:OFFSET(D$10,$C$5-1,0,1,1)))),"")</f>
        <v>0.70370370370370372</v>
      </c>
      <c r="E75" s="221">
        <f ca="1">IF(AND(ISNUMBER($B75),(ISNUMBER(E$5))),IF(E$7=1,(E19-MIN(E$10:OFFSET(E$10,$C$5-1,0,1,1)))/(MAX(E$10:OFFSET(E$10,$C$5-1,0,1,1))-MIN(E$10:OFFSET(E$10,$C$5-1,0,1,1))),(E19-MAX(E$10:OFFSET(E$10,$C$5-1,0,1,1)))/(MIN(E$10:OFFSET(E$10,$C$5-1,0,1,1))-MAX(E$10:OFFSET(E$10,$C$5-1,0,1,1)))),"")</f>
        <v>0.30745814307458141</v>
      </c>
      <c r="F75" s="221">
        <f ca="1">IF(AND(ISNUMBER($B75),(ISNUMBER(F$5))),IF(F$7=1,(F19-MIN(F$10:OFFSET(F$10,$C$5-1,0,1,1)))/(MAX(F$10:OFFSET(F$10,$C$5-1,0,1,1))-MIN(F$10:OFFSET(F$10,$C$5-1,0,1,1))),(F19-MAX(F$10:OFFSET(F$10,$C$5-1,0,1,1)))/(MIN(F$10:OFFSET(F$10,$C$5-1,0,1,1))-MAX(F$10:OFFSET(F$10,$C$5-1,0,1,1)))),"")</f>
        <v>0.24885844748858454</v>
      </c>
      <c r="G75" s="221">
        <f ca="1">IF(AND(ISNUMBER($B75),(ISNUMBER(G$5))),IF(G$7=1,(G19-MIN(G$10:OFFSET(G$10,$C$5-1,0,1,1)))/(MAX(G$10:OFFSET(G$10,$C$5-1,0,1,1))-MIN(G$10:OFFSET(G$10,$C$5-1,0,1,1))),(G19-MAX(G$10:OFFSET(G$10,$C$5-1,0,1,1)))/(MIN(G$10:OFFSET(G$10,$C$5-1,0,1,1))-MAX(G$10:OFFSET(G$10,$C$5-1,0,1,1)))),"")</f>
        <v>0.33267326732673264</v>
      </c>
      <c r="H75" s="221">
        <f ca="1">IF(AND(ISNUMBER($B75),(ISNUMBER(H$5))),IF(H$7=1,(H19-MIN(H$10:OFFSET(H$10,$C$5-1,0,1,1)))/(MAX(H$10:OFFSET(H$10,$C$5-1,0,1,1))-MIN(H$10:OFFSET(H$10,$C$5-1,0,1,1))),(H19-MAX(H$10:OFFSET(H$10,$C$5-1,0,1,1)))/(MIN(H$10:OFFSET(H$10,$C$5-1,0,1,1))-MAX(H$10:OFFSET(H$10,$C$5-1,0,1,1)))),"")</f>
        <v>0.66322314049586784</v>
      </c>
      <c r="I75" s="221">
        <f ca="1">IF(AND(ISNUMBER($B75),(ISNUMBER(I$5))),IF(I$7=1,(I19-MIN(I$10:OFFSET(I$10,$C$5-1,0,1,1)))/(MAX(I$10:OFFSET(I$10,$C$5-1,0,1,1))-MIN(I$10:OFFSET(I$10,$C$5-1,0,1,1))),(I19-MAX(I$10:OFFSET(I$10,$C$5-1,0,1,1)))/(MIN(I$10:OFFSET(I$10,$C$5-1,0,1,1))-MAX(I$10:OFFSET(I$10,$C$5-1,0,1,1)))),"")</f>
        <v>0.38031319910514538</v>
      </c>
      <c r="J75" s="187"/>
      <c r="K75" s="199"/>
      <c r="L75" s="206">
        <f t="shared" si="7"/>
        <v>10</v>
      </c>
      <c r="M75" s="220" t="str">
        <f t="shared" si="3"/>
        <v>Kazakhstan</v>
      </c>
      <c r="N75" s="221">
        <f ca="1">IF(AND(ISNUMBER($L75),(ISNUMBER(N$5))),IF(N$7=1,(N19-MIN(N$10:OFFSET(N$10,$M$5-1,0,1,1)))/(MAX(N$10:OFFSET(N$10,$M$5-1,0,1,1))-MIN(N$10:OFFSET(N$10,$M$5-1,0,1,1))),(N19-MAX(N$10:OFFSET(N$10,$M$5-1,0,1,1)))/(MIN(N$10:OFFSET(N$10,$M$5-1,0,1,1))-MAX(N$10:OFFSET(N$10,$M$5-1,0,1,1)))),"")</f>
        <v>0.66016713091922008</v>
      </c>
      <c r="O75" s="221">
        <f ca="1">IF(AND(ISNUMBER($L75),(ISNUMBER(O$5))),IF(O$7=1,(O19-MIN(O$10:OFFSET(O$10,$M$5-1,0,1,1)))/(MAX(O$10:OFFSET(O$10,$M$5-1,0,1,1))-MIN(O$10:OFFSET(O$10,$M$5-1,0,1,1))),(O19-MAX(O$10:OFFSET(O$10,$M$5-1,0,1,1)))/(MIN(O$10:OFFSET(O$10,$M$5-1,0,1,1))-MAX(O$10:OFFSET(O$10,$M$5-1,0,1,1)))),"")</f>
        <v>0.39358600583090381</v>
      </c>
      <c r="P75" s="221">
        <f ca="1">IF(AND(ISNUMBER($L75),(ISNUMBER(P$5))),IF(P$7=1,(P19-MIN(P$10:OFFSET(P$10,$M$5-1,0,1,1)))/(MAX(P$10:OFFSET(P$10,$M$5-1,0,1,1))-MIN(P$10:OFFSET(P$10,$M$5-1,0,1,1))),(P19-MAX(P$10:OFFSET(P$10,$M$5-1,0,1,1)))/(MIN(P$10:OFFSET(P$10,$M$5-1,0,1,1))-MAX(P$10:OFFSET(P$10,$M$5-1,0,1,1)))),"")</f>
        <v>0.34106728538283054</v>
      </c>
      <c r="Q75" s="221">
        <f ca="1">IF(AND(ISNUMBER($L75),(ISNUMBER(Q$5))),IF(Q$7=1,(Q19-MIN(Q$10:OFFSET(Q$10,$M$5-1,0,1,1)))/(MAX(Q$10:OFFSET(Q$10,$M$5-1,0,1,1))-MIN(Q$10:OFFSET(Q$10,$M$5-1,0,1,1))),(Q19-MAX(Q$10:OFFSET(Q$10,$M$5-1,0,1,1)))/(MIN(Q$10:OFFSET(Q$10,$M$5-1,0,1,1))-MAX(Q$10:OFFSET(Q$10,$M$5-1,0,1,1)))),"")</f>
        <v>0.36294896030245755</v>
      </c>
      <c r="R75" s="221">
        <f ca="1">IF(AND(ISNUMBER($L75),(ISNUMBER(R$5))),IF(R$7=1,(R19-MIN(R$10:OFFSET(R$10,$M$5-1,0,1,1)))/(MAX(R$10:OFFSET(R$10,$M$5-1,0,1,1))-MIN(R$10:OFFSET(R$10,$M$5-1,0,1,1))),(R19-MAX(R$10:OFFSET(R$10,$M$5-1,0,1,1)))/(MIN(R$10:OFFSET(R$10,$M$5-1,0,1,1))-MAX(R$10:OFFSET(R$10,$M$5-1,0,1,1)))),"")</f>
        <v>0.78853754940711462</v>
      </c>
      <c r="S75" s="221">
        <f ca="1">IF(AND(ISNUMBER($L75),(ISNUMBER(S$5))),IF(S$7=1,(S19-MIN(S$10:OFFSET(S$10,$M$5-1,0,1,1)))/(MAX(S$10:OFFSET(S$10,$M$5-1,0,1,1))-MIN(S$10:OFFSET(S$10,$M$5-1,0,1,1))),(S19-MAX(S$10:OFFSET(S$10,$M$5-1,0,1,1)))/(MIN(S$10:OFFSET(S$10,$M$5-1,0,1,1))-MAX(S$10:OFFSET(S$10,$M$5-1,0,1,1)))),"")</f>
        <v>0.38297872340425526</v>
      </c>
      <c r="T75" s="187"/>
      <c r="U75" s="199"/>
      <c r="V75" s="206">
        <f t="shared" si="8"/>
        <v>10</v>
      </c>
      <c r="W75" s="220" t="str">
        <f t="shared" si="4"/>
        <v>Kazakhstan</v>
      </c>
      <c r="X75" s="221">
        <f ca="1">IF(AND(ISNUMBER($V75),(ISNUMBER(X$5))),IF(X$7=1,(X19-MIN(X$10:OFFSET(X$10,$W$5-1,0,1,1)))/(MAX(X$10:OFFSET(X$10,$W$5-1,0,1,1))-MIN(X$10:OFFSET(X$10,$W$5-1,0,1,1))),(X19-MAX(X$10:OFFSET(X$10,$W$5-1,0,1,1)))/(MIN(X$10:OFFSET(X$10,$W$5-1,0,1,1))-MAX(X$10:OFFSET(X$10,$W$5-1,0,1,1)))),"")</f>
        <v>0.68126346015793249</v>
      </c>
      <c r="Y75" s="221">
        <f ca="1">IF(AND(ISNUMBER($V75),(ISNUMBER(Y$5))),IF(Y$7=1,(Y19-MIN(Y$10:OFFSET(Y$10,$W$5-1,0,1,1)))/(MAX(Y$10:OFFSET(Y$10,$W$5-1,0,1,1))-MIN(Y$10:OFFSET(Y$10,$W$5-1,0,1,1))),(Y19-MAX(Y$10:OFFSET(Y$10,$W$5-1,0,1,1)))/(MIN(Y$10:OFFSET(Y$10,$W$5-1,0,1,1))-MAX(Y$10:OFFSET(Y$10,$W$5-1,0,1,1)))),"")</f>
        <v>0.35462058602554469</v>
      </c>
      <c r="Z75" s="221">
        <f ca="1">IF(AND(ISNUMBER($V75),(ISNUMBER(Z$5))),IF(Z$7=1,(Z19-MIN(Z$10:OFFSET(Z$10,$W$5-1,0,1,1)))/(MAX(Z$10:OFFSET(Z$10,$W$5-1,0,1,1))-MIN(Z$10:OFFSET(Z$10,$W$5-1,0,1,1))),(Z19-MAX(Z$10:OFFSET(Z$10,$W$5-1,0,1,1)))/(MIN(Z$10:OFFSET(Z$10,$W$5-1,0,1,1))-MAX(Z$10:OFFSET(Z$10,$W$5-1,0,1,1)))),"")</f>
        <v>0.26560587515299883</v>
      </c>
      <c r="AA75" s="221">
        <f ca="1">IF(AND(ISNUMBER($V75),(ISNUMBER(AA$5))),IF(AA$7=1,(AA19-MIN(AA$10:OFFSET(AA$10,$W$5-1,0,1,1)))/(MAX(AA$10:OFFSET(AA$10,$W$5-1,0,1,1))-MIN(AA$10:OFFSET(AA$10,$W$5-1,0,1,1))),(AA19-MAX(AA$10:OFFSET(AA$10,$W$5-1,0,1,1)))/(MIN(AA$10:OFFSET(AA$10,$W$5-1,0,1,1))-MAX(AA$10:OFFSET(AA$10,$W$5-1,0,1,1)))),"")</f>
        <v>0.34816247582205034</v>
      </c>
      <c r="AB75" s="221">
        <f ca="1">IF(AND(ISNUMBER($V75),(ISNUMBER(AB$5))),IF(AB$7=1,(AB19-MIN(AB$10:OFFSET(AB$10,$W$5-1,0,1,1)))/(MAX(AB$10:OFFSET(AB$10,$W$5-1,0,1,1))-MIN(AB$10:OFFSET(AB$10,$W$5-1,0,1,1))),(AB19-MAX(AB$10:OFFSET(AB$10,$W$5-1,0,1,1)))/(MIN(AB$10:OFFSET(AB$10,$W$5-1,0,1,1))-MAX(AB$10:OFFSET(AB$10,$W$5-1,0,1,1)))),"")</f>
        <v>0.78175895765472314</v>
      </c>
      <c r="AC75" s="221">
        <f ca="1">IF(AND(ISNUMBER($V75),(ISNUMBER(AC$5))),IF(AC$7=1,(AC19-MIN(AC$10:OFFSET(AC$10,$W$5-1,0,1,1)))/(MAX(AC$10:OFFSET(AC$10,$W$5-1,0,1,1))-MIN(AC$10:OFFSET(AC$10,$W$5-1,0,1,1))),(AC19-MAX(AC$10:OFFSET(AC$10,$W$5-1,0,1,1)))/(MIN(AC$10:OFFSET(AC$10,$W$5-1,0,1,1))-MAX(AC$10:OFFSET(AC$10,$W$5-1,0,1,1)))),"")</f>
        <v>0.37803468208092494</v>
      </c>
    </row>
    <row r="76" spans="1:29" ht="15" customHeight="1" thickBot="1">
      <c r="A76" s="199"/>
      <c r="B76" s="206">
        <f t="shared" si="5"/>
        <v>11</v>
      </c>
      <c r="C76" s="220" t="str">
        <f t="shared" si="6"/>
        <v>Kyrgyz Republic</v>
      </c>
      <c r="D76" s="221">
        <f ca="1">IF(AND(ISNUMBER($B76),(ISNUMBER(D$5))),IF(D$7=1,(D20-MIN(D$10:OFFSET(D$10,$C$5-1,0,1,1)))/(MAX(D$10:OFFSET(D$10,$C$5-1,0,1,1))-MIN(D$10:OFFSET(D$10,$C$5-1,0,1,1))),(D20-MAX(D$10:OFFSET(D$10,$C$5-1,0,1,1)))/(MIN(D$10:OFFSET(D$10,$C$5-1,0,1,1))-MAX(D$10:OFFSET(D$10,$C$5-1,0,1,1)))),"")</f>
        <v>0.29629629629629628</v>
      </c>
      <c r="E76" s="221">
        <f ca="1">IF(AND(ISNUMBER($B76),(ISNUMBER(E$5))),IF(E$7=1,(E20-MIN(E$10:OFFSET(E$10,$C$5-1,0,1,1)))/(MAX(E$10:OFFSET(E$10,$C$5-1,0,1,1))-MIN(E$10:OFFSET(E$10,$C$5-1,0,1,1))),(E20-MAX(E$10:OFFSET(E$10,$C$5-1,0,1,1)))/(MIN(E$10:OFFSET(E$10,$C$5-1,0,1,1))-MAX(E$10:OFFSET(E$10,$C$5-1,0,1,1)))),"")</f>
        <v>0.37290715372907152</v>
      </c>
      <c r="F76" s="221">
        <f ca="1">IF(AND(ISNUMBER($B76),(ISNUMBER(F$5))),IF(F$7=1,(F20-MIN(F$10:OFFSET(F$10,$C$5-1,0,1,1)))/(MAX(F$10:OFFSET(F$10,$C$5-1,0,1,1))-MIN(F$10:OFFSET(F$10,$C$5-1,0,1,1))),(F20-MAX(F$10:OFFSET(F$10,$C$5-1,0,1,1)))/(MIN(F$10:OFFSET(F$10,$C$5-1,0,1,1))-MAX(F$10:OFFSET(F$10,$C$5-1,0,1,1)))),"")</f>
        <v>0.17579908675799086</v>
      </c>
      <c r="G76" s="221">
        <f ca="1">IF(AND(ISNUMBER($B76),(ISNUMBER(G$5))),IF(G$7=1,(G20-MIN(G$10:OFFSET(G$10,$C$5-1,0,1,1)))/(MAX(G$10:OFFSET(G$10,$C$5-1,0,1,1))-MIN(G$10:OFFSET(G$10,$C$5-1,0,1,1))),(G20-MAX(G$10:OFFSET(G$10,$C$5-1,0,1,1)))/(MIN(G$10:OFFSET(G$10,$C$5-1,0,1,1))-MAX(G$10:OFFSET(G$10,$C$5-1,0,1,1)))),"")</f>
        <v>0.49504950495049505</v>
      </c>
      <c r="H76" s="221">
        <f ca="1">IF(AND(ISNUMBER($B76),(ISNUMBER(H$5))),IF(H$7=1,(H20-MIN(H$10:OFFSET(H$10,$C$5-1,0,1,1)))/(MAX(H$10:OFFSET(H$10,$C$5-1,0,1,1))-MIN(H$10:OFFSET(H$10,$C$5-1,0,1,1))),(H20-MAX(H$10:OFFSET(H$10,$C$5-1,0,1,1)))/(MIN(H$10:OFFSET(H$10,$C$5-1,0,1,1))-MAX(H$10:OFFSET(H$10,$C$5-1,0,1,1)))),"")</f>
        <v>0.83471074380165289</v>
      </c>
      <c r="I76" s="221">
        <f ca="1">IF(AND(ISNUMBER($B76),(ISNUMBER(I$5))),IF(I$7=1,(I20-MIN(I$10:OFFSET(I$10,$C$5-1,0,1,1)))/(MAX(I$10:OFFSET(I$10,$C$5-1,0,1,1))-MIN(I$10:OFFSET(I$10,$C$5-1,0,1,1))),(I20-MAX(I$10:OFFSET(I$10,$C$5-1,0,1,1)))/(MIN(I$10:OFFSET(I$10,$C$5-1,0,1,1))-MAX(I$10:OFFSET(I$10,$C$5-1,0,1,1)))),"")</f>
        <v>0.37136465324384788</v>
      </c>
      <c r="J76" s="187"/>
      <c r="K76" s="199"/>
      <c r="L76" s="206">
        <f t="shared" si="7"/>
        <v>11</v>
      </c>
      <c r="M76" s="220" t="str">
        <f t="shared" si="3"/>
        <v>Kyrgyz Republic</v>
      </c>
      <c r="N76" s="221">
        <f ca="1">IF(AND(ISNUMBER($L76),(ISNUMBER(N$5))),IF(N$7=1,(N20-MIN(N$10:OFFSET(N$10,$M$5-1,0,1,1)))/(MAX(N$10:OFFSET(N$10,$M$5-1,0,1,1))-MIN(N$10:OFFSET(N$10,$M$5-1,0,1,1))),(N20-MAX(N$10:OFFSET(N$10,$M$5-1,0,1,1)))/(MIN(N$10:OFFSET(N$10,$M$5-1,0,1,1))-MAX(N$10:OFFSET(N$10,$M$5-1,0,1,1)))),"")</f>
        <v>0.28272980501392758</v>
      </c>
      <c r="O76" s="221">
        <f ca="1">IF(AND(ISNUMBER($L76),(ISNUMBER(O$5))),IF(O$7=1,(O20-MIN(O$10:OFFSET(O$10,$M$5-1,0,1,1)))/(MAX(O$10:OFFSET(O$10,$M$5-1,0,1,1))-MIN(O$10:OFFSET(O$10,$M$5-1,0,1,1))),(O20-MAX(O$10:OFFSET(O$10,$M$5-1,0,1,1)))/(MIN(O$10:OFFSET(O$10,$M$5-1,0,1,1))-MAX(O$10:OFFSET(O$10,$M$5-1,0,1,1)))),"")</f>
        <v>0.35714285714285715</v>
      </c>
      <c r="P76" s="221">
        <f ca="1">IF(AND(ISNUMBER($L76),(ISNUMBER(P$5))),IF(P$7=1,(P20-MIN(P$10:OFFSET(P$10,$M$5-1,0,1,1)))/(MAX(P$10:OFFSET(P$10,$M$5-1,0,1,1))-MIN(P$10:OFFSET(P$10,$M$5-1,0,1,1))),(P20-MAX(P$10:OFFSET(P$10,$M$5-1,0,1,1)))/(MIN(P$10:OFFSET(P$10,$M$5-1,0,1,1))-MAX(P$10:OFFSET(P$10,$M$5-1,0,1,1)))),"")</f>
        <v>0.25522041763341052</v>
      </c>
      <c r="Q76" s="221">
        <f ca="1">IF(AND(ISNUMBER($L76),(ISNUMBER(Q$5))),IF(Q$7=1,(Q20-MIN(Q$10:OFFSET(Q$10,$M$5-1,0,1,1)))/(MAX(Q$10:OFFSET(Q$10,$M$5-1,0,1,1))-MIN(Q$10:OFFSET(Q$10,$M$5-1,0,1,1))),(Q20-MAX(Q$10:OFFSET(Q$10,$M$5-1,0,1,1)))/(MIN(Q$10:OFFSET(Q$10,$M$5-1,0,1,1))-MAX(Q$10:OFFSET(Q$10,$M$5-1,0,1,1)))),"")</f>
        <v>0.47258979206049151</v>
      </c>
      <c r="R76" s="221">
        <f ca="1">IF(AND(ISNUMBER($L76),(ISNUMBER(R$5))),IF(R$7=1,(R20-MIN(R$10:OFFSET(R$10,$M$5-1,0,1,1)))/(MAX(R$10:OFFSET(R$10,$M$5-1,0,1,1))-MIN(R$10:OFFSET(R$10,$M$5-1,0,1,1))),(R20-MAX(R$10:OFFSET(R$10,$M$5-1,0,1,1)))/(MIN(R$10:OFFSET(R$10,$M$5-1,0,1,1))-MAX(R$10:OFFSET(R$10,$M$5-1,0,1,1)))),"")</f>
        <v>0.934782608695652</v>
      </c>
      <c r="S76" s="221">
        <f ca="1">IF(AND(ISNUMBER($L76),(ISNUMBER(S$5))),IF(S$7=1,(S20-MIN(S$10:OFFSET(S$10,$M$5-1,0,1,1)))/(MAX(S$10:OFFSET(S$10,$M$5-1,0,1,1))-MIN(S$10:OFFSET(S$10,$M$5-1,0,1,1))),(S20-MAX(S$10:OFFSET(S$10,$M$5-1,0,1,1)))/(MIN(S$10:OFFSET(S$10,$M$5-1,0,1,1))-MAX(S$10:OFFSET(S$10,$M$5-1,0,1,1)))),"")</f>
        <v>0.32387706855791953</v>
      </c>
      <c r="T76" s="187"/>
      <c r="U76" s="199"/>
      <c r="V76" s="206">
        <f t="shared" si="8"/>
        <v>11</v>
      </c>
      <c r="W76" s="220" t="str">
        <f t="shared" si="4"/>
        <v>Kyrgyz Republic</v>
      </c>
      <c r="X76" s="221">
        <f ca="1">IF(AND(ISNUMBER($V76),(ISNUMBER(X$5))),IF(X$7=1,(X20-MIN(X$10:OFFSET(X$10,$W$5-1,0,1,1)))/(MAX(X$10:OFFSET(X$10,$W$5-1,0,1,1))-MIN(X$10:OFFSET(X$10,$W$5-1,0,1,1))),(X20-MAX(X$10:OFFSET(X$10,$W$5-1,0,1,1)))/(MIN(X$10:OFFSET(X$10,$W$5-1,0,1,1))-MAX(X$10:OFFSET(X$10,$W$5-1,0,1,1)))),"")</f>
        <v>0.28930366116295758</v>
      </c>
      <c r="Y76" s="221">
        <f ca="1">IF(AND(ISNUMBER($V76),(ISNUMBER(Y$5))),IF(Y$7=1,(Y20-MIN(Y$10:OFFSET(Y$10,$W$5-1,0,1,1)))/(MAX(Y$10:OFFSET(Y$10,$W$5-1,0,1,1))-MIN(Y$10:OFFSET(Y$10,$W$5-1,0,1,1))),(Y20-MAX(Y$10:OFFSET(Y$10,$W$5-1,0,1,1)))/(MIN(Y$10:OFFSET(Y$10,$W$5-1,0,1,1))-MAX(Y$10:OFFSET(Y$10,$W$5-1,0,1,1)))),"")</f>
        <v>0.36814425244177312</v>
      </c>
      <c r="Z76" s="221">
        <f ca="1">IF(AND(ISNUMBER($V76),(ISNUMBER(Z$5))),IF(Z$7=1,(Z20-MIN(Z$10:OFFSET(Z$10,$W$5-1,0,1,1)))/(MAX(Z$10:OFFSET(Z$10,$W$5-1,0,1,1))-MIN(Z$10:OFFSET(Z$10,$W$5-1,0,1,1))),(Z20-MAX(Z$10:OFFSET(Z$10,$W$5-1,0,1,1)))/(MIN(Z$10:OFFSET(Z$10,$W$5-1,0,1,1))-MAX(Z$10:OFFSET(Z$10,$W$5-1,0,1,1)))),"")</f>
        <v>0.18115055079559361</v>
      </c>
      <c r="AA76" s="221">
        <f ca="1">IF(AND(ISNUMBER($V76),(ISNUMBER(AA$5))),IF(AA$7=1,(AA20-MIN(AA$10:OFFSET(AA$10,$W$5-1,0,1,1)))/(MAX(AA$10:OFFSET(AA$10,$W$5-1,0,1,1))-MIN(AA$10:OFFSET(AA$10,$W$5-1,0,1,1))),(AA20-MAX(AA$10:OFFSET(AA$10,$W$5-1,0,1,1)))/(MIN(AA$10:OFFSET(AA$10,$W$5-1,0,1,1))-MAX(AA$10:OFFSET(AA$10,$W$5-1,0,1,1)))),"")</f>
        <v>0.48355899419729209</v>
      </c>
      <c r="AB76" s="221">
        <f ca="1">IF(AND(ISNUMBER($V76),(ISNUMBER(AB$5))),IF(AB$7=1,(AB20-MIN(AB$10:OFFSET(AB$10,$W$5-1,0,1,1)))/(MAX(AB$10:OFFSET(AB$10,$W$5-1,0,1,1))-MIN(AB$10:OFFSET(AB$10,$W$5-1,0,1,1))),(AB20-MAX(AB$10:OFFSET(AB$10,$W$5-1,0,1,1)))/(MIN(AB$10:OFFSET(AB$10,$W$5-1,0,1,1))-MAX(AB$10:OFFSET(AB$10,$W$5-1,0,1,1)))),"")</f>
        <v>0.95222584147665579</v>
      </c>
      <c r="AC76" s="221">
        <f ca="1">IF(AND(ISNUMBER($V76),(ISNUMBER(AC$5))),IF(AC$7=1,(AC20-MIN(AC$10:OFFSET(AC$10,$W$5-1,0,1,1)))/(MAX(AC$10:OFFSET(AC$10,$W$5-1,0,1,1))-MIN(AC$10:OFFSET(AC$10,$W$5-1,0,1,1))),(AC20-MAX(AC$10:OFFSET(AC$10,$W$5-1,0,1,1)))/(MIN(AC$10:OFFSET(AC$10,$W$5-1,0,1,1))-MAX(AC$10:OFFSET(AC$10,$W$5-1,0,1,1)))),"")</f>
        <v>0.34450867052023126</v>
      </c>
    </row>
    <row r="77" spans="1:29" ht="15" customHeight="1" thickBot="1">
      <c r="A77" s="199"/>
      <c r="B77" s="206">
        <f t="shared" si="5"/>
        <v>12</v>
      </c>
      <c r="C77" s="220" t="str">
        <f t="shared" si="6"/>
        <v>Liechtenstein</v>
      </c>
      <c r="D77" s="221">
        <f ca="1">IF(AND(ISNUMBER($B77),(ISNUMBER(D$5))),IF(D$7=1,(D21-MIN(D$10:OFFSET(D$10,$C$5-1,0,1,1)))/(MAX(D$10:OFFSET(D$10,$C$5-1,0,1,1))-MIN(D$10:OFFSET(D$10,$C$5-1,0,1,1))),(D21-MAX(D$10:OFFSET(D$10,$C$5-1,0,1,1)))/(MIN(D$10:OFFSET(D$10,$C$5-1,0,1,1))-MAX(D$10:OFFSET(D$10,$C$5-1,0,1,1)))),"")</f>
        <v>0.37481481481481477</v>
      </c>
      <c r="E77" s="221">
        <f ca="1">IF(AND(ISNUMBER($B77),(ISNUMBER(E$5))),IF(E$7=1,(E21-MIN(E$10:OFFSET(E$10,$C$5-1,0,1,1)))/(MAX(E$10:OFFSET(E$10,$C$5-1,0,1,1))-MIN(E$10:OFFSET(E$10,$C$5-1,0,1,1))),(E21-MAX(E$10:OFFSET(E$10,$C$5-1,0,1,1)))/(MIN(E$10:OFFSET(E$10,$C$5-1,0,1,1))-MAX(E$10:OFFSET(E$10,$C$5-1,0,1,1)))),"")</f>
        <v>0.22678843226788434</v>
      </c>
      <c r="F77" s="221">
        <f ca="1">IF(AND(ISNUMBER($B77),(ISNUMBER(F$5))),IF(F$7=1,(F21-MIN(F$10:OFFSET(F$10,$C$5-1,0,1,1)))/(MAX(F$10:OFFSET(F$10,$C$5-1,0,1,1))-MIN(F$10:OFFSET(F$10,$C$5-1,0,1,1))),(F21-MAX(F$10:OFFSET(F$10,$C$5-1,0,1,1)))/(MIN(F$10:OFFSET(F$10,$C$5-1,0,1,1))-MAX(F$10:OFFSET(F$10,$C$5-1,0,1,1)))),"")</f>
        <v>0.32191780821917804</v>
      </c>
      <c r="G77" s="221">
        <f ca="1">IF(AND(ISNUMBER($B77),(ISNUMBER(G$5))),IF(G$7=1,(G21-MIN(G$10:OFFSET(G$10,$C$5-1,0,1,1)))/(MAX(G$10:OFFSET(G$10,$C$5-1,0,1,1))-MIN(G$10:OFFSET(G$10,$C$5-1,0,1,1))),(G21-MAX(G$10:OFFSET(G$10,$C$5-1,0,1,1)))/(MIN(G$10:OFFSET(G$10,$C$5-1,0,1,1))-MAX(G$10:OFFSET(G$10,$C$5-1,0,1,1)))),"")</f>
        <v>0.57029702970297025</v>
      </c>
      <c r="H77" s="221">
        <f ca="1">IF(AND(ISNUMBER($B77),(ISNUMBER(H$5))),IF(H$7=1,(H21-MIN(H$10:OFFSET(H$10,$C$5-1,0,1,1)))/(MAX(H$10:OFFSET(H$10,$C$5-1,0,1,1))-MIN(H$10:OFFSET(H$10,$C$5-1,0,1,1))),(H21-MAX(H$10:OFFSET(H$10,$C$5-1,0,1,1)))/(MIN(H$10:OFFSET(H$10,$C$5-1,0,1,1))-MAX(H$10:OFFSET(H$10,$C$5-1,0,1,1)))),"")</f>
        <v>0.48347107438016529</v>
      </c>
      <c r="I77" s="221">
        <f ca="1">IF(AND(ISNUMBER($B77),(ISNUMBER(I$5))),IF(I$7=1,(I21-MIN(I$10:OFFSET(I$10,$C$5-1,0,1,1)))/(MAX(I$10:OFFSET(I$10,$C$5-1,0,1,1))-MIN(I$10:OFFSET(I$10,$C$5-1,0,1,1))),(I21-MAX(I$10:OFFSET(I$10,$C$5-1,0,1,1)))/(MIN(I$10:OFFSET(I$10,$C$5-1,0,1,1))-MAX(I$10:OFFSET(I$10,$C$5-1,0,1,1)))),"")</f>
        <v>0.88590604026845621</v>
      </c>
      <c r="J77" s="187"/>
      <c r="K77" s="199"/>
      <c r="L77" s="206">
        <f t="shared" si="7"/>
        <v>12</v>
      </c>
      <c r="M77" s="220" t="str">
        <f t="shared" si="3"/>
        <v>Liechtenstein</v>
      </c>
      <c r="N77" s="221">
        <f ca="1">IF(AND(ISNUMBER($L77),(ISNUMBER(N$5))),IF(N$7=1,(N21-MIN(N$10:OFFSET(N$10,$M$5-1,0,1,1)))/(MAX(N$10:OFFSET(N$10,$M$5-1,0,1,1))-MIN(N$10:OFFSET(N$10,$M$5-1,0,1,1))),(N21-MAX(N$10:OFFSET(N$10,$M$5-1,0,1,1)))/(MIN(N$10:OFFSET(N$10,$M$5-1,0,1,1))-MAX(N$10:OFFSET(N$10,$M$5-1,0,1,1)))),"")</f>
        <v>0.46935933147632319</v>
      </c>
      <c r="O77" s="221">
        <f ca="1">IF(AND(ISNUMBER($L77),(ISNUMBER(O$5))),IF(O$7=1,(O21-MIN(O$10:OFFSET(O$10,$M$5-1,0,1,1)))/(MAX(O$10:OFFSET(O$10,$M$5-1,0,1,1))-MIN(O$10:OFFSET(O$10,$M$5-1,0,1,1))),(O21-MAX(O$10:OFFSET(O$10,$M$5-1,0,1,1)))/(MIN(O$10:OFFSET(O$10,$M$5-1,0,1,1))-MAX(O$10:OFFSET(O$10,$M$5-1,0,1,1)))),"")</f>
        <v>0.21720116618075808</v>
      </c>
      <c r="P77" s="221">
        <f ca="1">IF(AND(ISNUMBER($L77),(ISNUMBER(P$5))),IF(P$7=1,(P21-MIN(P$10:OFFSET(P$10,$M$5-1,0,1,1)))/(MAX(P$10:OFFSET(P$10,$M$5-1,0,1,1))-MIN(P$10:OFFSET(P$10,$M$5-1,0,1,1))),(P21-MAX(P$10:OFFSET(P$10,$M$5-1,0,1,1)))/(MIN(P$10:OFFSET(P$10,$M$5-1,0,1,1))-MAX(P$10:OFFSET(P$10,$M$5-1,0,1,1)))),"")</f>
        <v>0.36890951276102085</v>
      </c>
      <c r="Q77" s="221">
        <f ca="1">IF(AND(ISNUMBER($L77),(ISNUMBER(Q$5))),IF(Q$7=1,(Q21-MIN(Q$10:OFFSET(Q$10,$M$5-1,0,1,1)))/(MAX(Q$10:OFFSET(Q$10,$M$5-1,0,1,1))-MIN(Q$10:OFFSET(Q$10,$M$5-1,0,1,1))),(Q21-MAX(Q$10:OFFSET(Q$10,$M$5-1,0,1,1)))/(MIN(Q$10:OFFSET(Q$10,$M$5-1,0,1,1))-MAX(Q$10:OFFSET(Q$10,$M$5-1,0,1,1)))),"")</f>
        <v>0.58979206049149346</v>
      </c>
      <c r="R77" s="221">
        <f ca="1">IF(AND(ISNUMBER($L77),(ISNUMBER(R$5))),IF(R$7=1,(R21-MIN(R$10:OFFSET(R$10,$M$5-1,0,1,1)))/(MAX(R$10:OFFSET(R$10,$M$5-1,0,1,1))-MIN(R$10:OFFSET(R$10,$M$5-1,0,1,1))),(R21-MAX(R$10:OFFSET(R$10,$M$5-1,0,1,1)))/(MIN(R$10:OFFSET(R$10,$M$5-1,0,1,1))-MAX(R$10:OFFSET(R$10,$M$5-1,0,1,1)))),"")</f>
        <v>0.64426877470355715</v>
      </c>
      <c r="S77" s="221">
        <f ca="1">IF(AND(ISNUMBER($L77),(ISNUMBER(S$5))),IF(S$7=1,(S21-MIN(S$10:OFFSET(S$10,$M$5-1,0,1,1)))/(MAX(S$10:OFFSET(S$10,$M$5-1,0,1,1))-MIN(S$10:OFFSET(S$10,$M$5-1,0,1,1))),(S21-MAX(S$10:OFFSET(S$10,$M$5-1,0,1,1)))/(MIN(S$10:OFFSET(S$10,$M$5-1,0,1,1))-MAX(S$10:OFFSET(S$10,$M$5-1,0,1,1)))),"")</f>
        <v>0.89125295508274249</v>
      </c>
      <c r="T77" s="187"/>
      <c r="U77" s="199"/>
      <c r="V77" s="206">
        <f t="shared" si="8"/>
        <v>12</v>
      </c>
      <c r="W77" s="220" t="str">
        <f t="shared" si="4"/>
        <v>Liechtenstein</v>
      </c>
      <c r="X77" s="221">
        <f ca="1">IF(AND(ISNUMBER($V77),(ISNUMBER(X$5))),IF(X$7=1,(X21-MIN(X$10:OFFSET(X$10,$W$5-1,0,1,1)))/(MAX(X$10:OFFSET(X$10,$W$5-1,0,1,1))-MIN(X$10:OFFSET(X$10,$W$5-1,0,1,1))),(X21-MAX(X$10:OFFSET(X$10,$W$5-1,0,1,1)))/(MIN(X$10:OFFSET(X$10,$W$5-1,0,1,1))-MAX(X$10:OFFSET(X$10,$W$5-1,0,1,1)))),"")</f>
        <v>0.42354630294328782</v>
      </c>
      <c r="Y77" s="221">
        <f ca="1">IF(AND(ISNUMBER($V77),(ISNUMBER(Y$5))),IF(Y$7=1,(Y21-MIN(Y$10:OFFSET(Y$10,$W$5-1,0,1,1)))/(MAX(Y$10:OFFSET(Y$10,$W$5-1,0,1,1))-MIN(Y$10:OFFSET(Y$10,$W$5-1,0,1,1))),(Y21-MAX(Y$10:OFFSET(Y$10,$W$5-1,0,1,1)))/(MIN(Y$10:OFFSET(Y$10,$W$5-1,0,1,1))-MAX(Y$10:OFFSET(Y$10,$W$5-1,0,1,1)))),"")</f>
        <v>0.22389181066867023</v>
      </c>
      <c r="Z77" s="221">
        <f ca="1">IF(AND(ISNUMBER($V77),(ISNUMBER(Z$5))),IF(Z$7=1,(Z21-MIN(Z$10:OFFSET(Z$10,$W$5-1,0,1,1)))/(MAX(Z$10:OFFSET(Z$10,$W$5-1,0,1,1))-MIN(Z$10:OFFSET(Z$10,$W$5-1,0,1,1))),(Z21-MAX(Z$10:OFFSET(Z$10,$W$5-1,0,1,1)))/(MIN(Z$10:OFFSET(Z$10,$W$5-1,0,1,1))-MAX(Z$10:OFFSET(Z$10,$W$5-1,0,1,1)))),"")</f>
        <v>0.31946144430844553</v>
      </c>
      <c r="AA77" s="221">
        <f ca="1">IF(AND(ISNUMBER($V77),(ISNUMBER(AA$5))),IF(AA$7=1,(AA21-MIN(AA$10:OFFSET(AA$10,$W$5-1,0,1,1)))/(MAX(AA$10:OFFSET(AA$10,$W$5-1,0,1,1))-MIN(AA$10:OFFSET(AA$10,$W$5-1,0,1,1))),(AA21-MAX(AA$10:OFFSET(AA$10,$W$5-1,0,1,1)))/(MIN(AA$10:OFFSET(AA$10,$W$5-1,0,1,1))-MAX(AA$10:OFFSET(AA$10,$W$5-1,0,1,1)))),"")</f>
        <v>0.58027079303675055</v>
      </c>
      <c r="AB77" s="221">
        <f ca="1">IF(AND(ISNUMBER($V77),(ISNUMBER(AB$5))),IF(AB$7=1,(AB21-MIN(AB$10:OFFSET(AB$10,$W$5-1,0,1,1)))/(MAX(AB$10:OFFSET(AB$10,$W$5-1,0,1,1))-MIN(AB$10:OFFSET(AB$10,$W$5-1,0,1,1))),(AB21-MAX(AB$10:OFFSET(AB$10,$W$5-1,0,1,1)))/(MIN(AB$10:OFFSET(AB$10,$W$5-1,0,1,1))-MAX(AB$10:OFFSET(AB$10,$W$5-1,0,1,1)))),"")</f>
        <v>0.60803474484256248</v>
      </c>
      <c r="AC77" s="221">
        <f ca="1">IF(AND(ISNUMBER($V77),(ISNUMBER(AC$5))),IF(AC$7=1,(AC21-MIN(AC$10:OFFSET(AC$10,$W$5-1,0,1,1)))/(MAX(AC$10:OFFSET(AC$10,$W$5-1,0,1,1))-MIN(AC$10:OFFSET(AC$10,$W$5-1,0,1,1))),(AC21-MAX(AC$10:OFFSET(AC$10,$W$5-1,0,1,1)))/(MIN(AC$10:OFFSET(AC$10,$W$5-1,0,1,1))-MAX(AC$10:OFFSET(AC$10,$W$5-1,0,1,1)))),"")</f>
        <v>0.88786127167630069</v>
      </c>
    </row>
    <row r="78" spans="1:29" ht="15" customHeight="1" thickBot="1">
      <c r="A78" s="199"/>
      <c r="B78" s="206">
        <f t="shared" si="5"/>
        <v>13</v>
      </c>
      <c r="C78" s="220" t="str">
        <f t="shared" si="6"/>
        <v>Moldova</v>
      </c>
      <c r="D78" s="221">
        <f ca="1">IF(AND(ISNUMBER($B78),(ISNUMBER(D$5))),IF(D$7=1,(D22-MIN(D$10:OFFSET(D$10,$C$5-1,0,1,1)))/(MAX(D$10:OFFSET(D$10,$C$5-1,0,1,1))-MIN(D$10:OFFSET(D$10,$C$5-1,0,1,1))),(D22-MAX(D$10:OFFSET(D$10,$C$5-1,0,1,1)))/(MIN(D$10:OFFSET(D$10,$C$5-1,0,1,1))-MAX(D$10:OFFSET(D$10,$C$5-1,0,1,1)))),"")</f>
        <v>0.44148148148148142</v>
      </c>
      <c r="E78" s="221">
        <f ca="1">IF(AND(ISNUMBER($B78),(ISNUMBER(E$5))),IF(E$7=1,(E22-MIN(E$10:OFFSET(E$10,$C$5-1,0,1,1)))/(MAX(E$10:OFFSET(E$10,$C$5-1,0,1,1))-MIN(E$10:OFFSET(E$10,$C$5-1,0,1,1))),(E22-MAX(E$10:OFFSET(E$10,$C$5-1,0,1,1)))/(MIN(E$10:OFFSET(E$10,$C$5-1,0,1,1))-MAX(E$10:OFFSET(E$10,$C$5-1,0,1,1)))),"")</f>
        <v>0.48706240487062402</v>
      </c>
      <c r="F78" s="221">
        <f ca="1">IF(AND(ISNUMBER($B78),(ISNUMBER(F$5))),IF(F$7=1,(F22-MIN(F$10:OFFSET(F$10,$C$5-1,0,1,1)))/(MAX(F$10:OFFSET(F$10,$C$5-1,0,1,1))-MIN(F$10:OFFSET(F$10,$C$5-1,0,1,1))),(F22-MAX(F$10:OFFSET(F$10,$C$5-1,0,1,1)))/(MIN(F$10:OFFSET(F$10,$C$5-1,0,1,1))-MAX(F$10:OFFSET(F$10,$C$5-1,0,1,1)))),"")</f>
        <v>0.25570776255707761</v>
      </c>
      <c r="G78" s="221">
        <f ca="1">IF(AND(ISNUMBER($B78),(ISNUMBER(G$5))),IF(G$7=1,(G22-MIN(G$10:OFFSET(G$10,$C$5-1,0,1,1)))/(MAX(G$10:OFFSET(G$10,$C$5-1,0,1,1))-MIN(G$10:OFFSET(G$10,$C$5-1,0,1,1))),(G22-MAX(G$10:OFFSET(G$10,$C$5-1,0,1,1)))/(MIN(G$10:OFFSET(G$10,$C$5-1,0,1,1))-MAX(G$10:OFFSET(G$10,$C$5-1,0,1,1)))),"")</f>
        <v>0.6198019801980198</v>
      </c>
      <c r="H78" s="221">
        <f ca="1">IF(AND(ISNUMBER($B78),(ISNUMBER(H$5))),IF(H$7=1,(H22-MIN(H$10:OFFSET(H$10,$C$5-1,0,1,1)))/(MAX(H$10:OFFSET(H$10,$C$5-1,0,1,1))-MIN(H$10:OFFSET(H$10,$C$5-1,0,1,1))),(H22-MAX(H$10:OFFSET(H$10,$C$5-1,0,1,1)))/(MIN(H$10:OFFSET(H$10,$C$5-1,0,1,1))-MAX(H$10:OFFSET(H$10,$C$5-1,0,1,1)))),"")</f>
        <v>0.25413223140495861</v>
      </c>
      <c r="I78" s="221">
        <f ca="1">IF(AND(ISNUMBER($B78),(ISNUMBER(I$5))),IF(I$7=1,(I22-MIN(I$10:OFFSET(I$10,$C$5-1,0,1,1)))/(MAX(I$10:OFFSET(I$10,$C$5-1,0,1,1))-MIN(I$10:OFFSET(I$10,$C$5-1,0,1,1))),(I22-MAX(I$10:OFFSET(I$10,$C$5-1,0,1,1)))/(MIN(I$10:OFFSET(I$10,$C$5-1,0,1,1))-MAX(I$10:OFFSET(I$10,$C$5-1,0,1,1)))),"")</f>
        <v>8.9485458612975383E-2</v>
      </c>
      <c r="J78" s="187"/>
      <c r="K78" s="199"/>
      <c r="L78" s="206">
        <f t="shared" si="7"/>
        <v>13</v>
      </c>
      <c r="M78" s="220" t="str">
        <f t="shared" si="3"/>
        <v>Moldova</v>
      </c>
      <c r="N78" s="221">
        <f ca="1">IF(AND(ISNUMBER($L78),(ISNUMBER(N$5))),IF(N$7=1,(N22-MIN(N$10:OFFSET(N$10,$M$5-1,0,1,1)))/(MAX(N$10:OFFSET(N$10,$M$5-1,0,1,1))-MIN(N$10:OFFSET(N$10,$M$5-1,0,1,1))),(N22-MAX(N$10:OFFSET(N$10,$M$5-1,0,1,1)))/(MIN(N$10:OFFSET(N$10,$M$5-1,0,1,1))-MAX(N$10:OFFSET(N$10,$M$5-1,0,1,1)))),"")</f>
        <v>0.47493036211699169</v>
      </c>
      <c r="O78" s="221">
        <f ca="1">IF(AND(ISNUMBER($L78),(ISNUMBER(O$5))),IF(O$7=1,(O22-MIN(O$10:OFFSET(O$10,$M$5-1,0,1,1)))/(MAX(O$10:OFFSET(O$10,$M$5-1,0,1,1))-MIN(O$10:OFFSET(O$10,$M$5-1,0,1,1))),(O22-MAX(O$10:OFFSET(O$10,$M$5-1,0,1,1)))/(MIN(O$10:OFFSET(O$10,$M$5-1,0,1,1))-MAX(O$10:OFFSET(O$10,$M$5-1,0,1,1)))),"")</f>
        <v>0.46647230320699712</v>
      </c>
      <c r="P78" s="221">
        <f ca="1">IF(AND(ISNUMBER($L78),(ISNUMBER(P$5))),IF(P$7=1,(P22-MIN(P$10:OFFSET(P$10,$M$5-1,0,1,1)))/(MAX(P$10:OFFSET(P$10,$M$5-1,0,1,1))-MIN(P$10:OFFSET(P$10,$M$5-1,0,1,1))),(P22-MAX(P$10:OFFSET(P$10,$M$5-1,0,1,1)))/(MIN(P$10:OFFSET(P$10,$M$5-1,0,1,1))-MAX(P$10:OFFSET(P$10,$M$5-1,0,1,1)))),"")</f>
        <v>0.3225058004640371</v>
      </c>
      <c r="Q78" s="221">
        <f ca="1">IF(AND(ISNUMBER($L78),(ISNUMBER(Q$5))),IF(Q$7=1,(Q22-MIN(Q$10:OFFSET(Q$10,$M$5-1,0,1,1)))/(MAX(Q$10:OFFSET(Q$10,$M$5-1,0,1,1))-MIN(Q$10:OFFSET(Q$10,$M$5-1,0,1,1))),(Q22-MAX(Q$10:OFFSET(Q$10,$M$5-1,0,1,1)))/(MIN(Q$10:OFFSET(Q$10,$M$5-1,0,1,1))-MAX(Q$10:OFFSET(Q$10,$M$5-1,0,1,1)))),"")</f>
        <v>0.62192816635160675</v>
      </c>
      <c r="R78" s="221">
        <f ca="1">IF(AND(ISNUMBER($L78),(ISNUMBER(R$5))),IF(R$7=1,(R22-MIN(R$10:OFFSET(R$10,$M$5-1,0,1,1)))/(MAX(R$10:OFFSET(R$10,$M$5-1,0,1,1))-MIN(R$10:OFFSET(R$10,$M$5-1,0,1,1))),(R22-MAX(R$10:OFFSET(R$10,$M$5-1,0,1,1)))/(MIN(R$10:OFFSET(R$10,$M$5-1,0,1,1))-MAX(R$10:OFFSET(R$10,$M$5-1,0,1,1)))),"")</f>
        <v>0.39723320158102754</v>
      </c>
      <c r="S78" s="221">
        <f ca="1">IF(AND(ISNUMBER($L78),(ISNUMBER(S$5))),IF(S$7=1,(S22-MIN(S$10:OFFSET(S$10,$M$5-1,0,1,1)))/(MAX(S$10:OFFSET(S$10,$M$5-1,0,1,1))-MIN(S$10:OFFSET(S$10,$M$5-1,0,1,1))),(S22-MAX(S$10:OFFSET(S$10,$M$5-1,0,1,1)))/(MIN(S$10:OFFSET(S$10,$M$5-1,0,1,1))-MAX(S$10:OFFSET(S$10,$M$5-1,0,1,1)))),"")</f>
        <v>1.8912529550827357E-2</v>
      </c>
      <c r="T78" s="187"/>
      <c r="U78" s="199"/>
      <c r="V78" s="206">
        <f t="shared" si="8"/>
        <v>13</v>
      </c>
      <c r="W78" s="220" t="str">
        <f t="shared" si="4"/>
        <v>Moldova</v>
      </c>
      <c r="X78" s="221">
        <f ca="1">IF(AND(ISNUMBER($V78),(ISNUMBER(X$5))),IF(X$7=1,(X22-MIN(X$10:OFFSET(X$10,$W$5-1,0,1,1)))/(MAX(X$10:OFFSET(X$10,$W$5-1,0,1,1))-MIN(X$10:OFFSET(X$10,$W$5-1,0,1,1))),(X22-MAX(X$10:OFFSET(X$10,$W$5-1,0,1,1)))/(MIN(X$10:OFFSET(X$10,$W$5-1,0,1,1))-MAX(X$10:OFFSET(X$10,$W$5-1,0,1,1)))),"")</f>
        <v>0.45872218234027279</v>
      </c>
      <c r="Y78" s="221">
        <f ca="1">IF(AND(ISNUMBER($V78),(ISNUMBER(Y$5))),IF(Y$7=1,(Y22-MIN(Y$10:OFFSET(Y$10,$W$5-1,0,1,1)))/(MAX(Y$10:OFFSET(Y$10,$W$5-1,0,1,1))-MIN(Y$10:OFFSET(Y$10,$W$5-1,0,1,1))),(Y22-MAX(Y$10:OFFSET(Y$10,$W$5-1,0,1,1)))/(MIN(Y$10:OFFSET(Y$10,$W$5-1,0,1,1))-MAX(Y$10:OFFSET(Y$10,$W$5-1,0,1,1)))),"")</f>
        <v>0.48084147257700977</v>
      </c>
      <c r="Z78" s="221">
        <f ca="1">IF(AND(ISNUMBER($V78),(ISNUMBER(Z$5))),IF(Z$7=1,(Z22-MIN(Z$10:OFFSET(Z$10,$W$5-1,0,1,1)))/(MAX(Z$10:OFFSET(Z$10,$W$5-1,0,1,1))-MIN(Z$10:OFFSET(Z$10,$W$5-1,0,1,1))),(Z22-MAX(Z$10:OFFSET(Z$10,$W$5-1,0,1,1)))/(MIN(Z$10:OFFSET(Z$10,$W$5-1,0,1,1))-MAX(Z$10:OFFSET(Z$10,$W$5-1,0,1,1)))),"")</f>
        <v>0.25948592411260718</v>
      </c>
      <c r="AA78" s="221">
        <f ca="1">IF(AND(ISNUMBER($V78),(ISNUMBER(AA$5))),IF(AA$7=1,(AA22-MIN(AA$10:OFFSET(AA$10,$W$5-1,0,1,1)))/(MAX(AA$10:OFFSET(AA$10,$W$5-1,0,1,1))-MIN(AA$10:OFFSET(AA$10,$W$5-1,0,1,1))),(AA22-MAX(AA$10:OFFSET(AA$10,$W$5-1,0,1,1)))/(MIN(AA$10:OFFSET(AA$10,$W$5-1,0,1,1))-MAX(AA$10:OFFSET(AA$10,$W$5-1,0,1,1)))),"")</f>
        <v>0.62088974854932288</v>
      </c>
      <c r="AB78" s="221">
        <f ca="1">IF(AND(ISNUMBER($V78),(ISNUMBER(AB$5))),IF(AB$7=1,(AB22-MIN(AB$10:OFFSET(AB$10,$W$5-1,0,1,1)))/(MAX(AB$10:OFFSET(AB$10,$W$5-1,0,1,1))-MIN(AB$10:OFFSET(AB$10,$W$5-1,0,1,1))),(AB22-MAX(AB$10:OFFSET(AB$10,$W$5-1,0,1,1)))/(MIN(AB$10:OFFSET(AB$10,$W$5-1,0,1,1))-MAX(AB$10:OFFSET(AB$10,$W$5-1,0,1,1)))),"")</f>
        <v>0.35179153094462534</v>
      </c>
      <c r="AC78" s="221">
        <f ca="1">IF(AND(ISNUMBER($V78),(ISNUMBER(AC$5))),IF(AC$7=1,(AC22-MIN(AC$10:OFFSET(AC$10,$W$5-1,0,1,1)))/(MAX(AC$10:OFFSET(AC$10,$W$5-1,0,1,1))-MIN(AC$10:OFFSET(AC$10,$W$5-1,0,1,1))),(AC22-MAX(AC$10:OFFSET(AC$10,$W$5-1,0,1,1)))/(MIN(AC$10:OFFSET(AC$10,$W$5-1,0,1,1))-MAX(AC$10:OFFSET(AC$10,$W$5-1,0,1,1)))),"")</f>
        <v>4.9710982658959513E-2</v>
      </c>
    </row>
    <row r="79" spans="1:29" ht="15" customHeight="1" thickBot="1">
      <c r="A79" s="199"/>
      <c r="B79" s="206">
        <f t="shared" si="5"/>
        <v>14</v>
      </c>
      <c r="C79" s="220" t="str">
        <f t="shared" si="6"/>
        <v>Monaco</v>
      </c>
      <c r="D79" s="221">
        <f ca="1">IF(AND(ISNUMBER($B79),(ISNUMBER(D$5))),IF(D$7=1,(D23-MIN(D$10:OFFSET(D$10,$C$5-1,0,1,1)))/(MAX(D$10:OFFSET(D$10,$C$5-1,0,1,1))-MIN(D$10:OFFSET(D$10,$C$5-1,0,1,1))),(D23-MAX(D$10:OFFSET(D$10,$C$5-1,0,1,1)))/(MIN(D$10:OFFSET(D$10,$C$5-1,0,1,1))-MAX(D$10:OFFSET(D$10,$C$5-1,0,1,1)))),"")</f>
        <v>0</v>
      </c>
      <c r="E79" s="221">
        <f ca="1">IF(AND(ISNUMBER($B79),(ISNUMBER(E$5))),IF(E$7=1,(E23-MIN(E$10:OFFSET(E$10,$C$5-1,0,1,1)))/(MAX(E$10:OFFSET(E$10,$C$5-1,0,1,1))-MIN(E$10:OFFSET(E$10,$C$5-1,0,1,1))),(E23-MAX(E$10:OFFSET(E$10,$C$5-1,0,1,1)))/(MIN(E$10:OFFSET(E$10,$C$5-1,0,1,1))-MAX(E$10:OFFSET(E$10,$C$5-1,0,1,1)))),"")</f>
        <v>0.28006088280060887</v>
      </c>
      <c r="F79" s="221">
        <f ca="1">IF(AND(ISNUMBER($B79),(ISNUMBER(F$5))),IF(F$7=1,(F23-MIN(F$10:OFFSET(F$10,$C$5-1,0,1,1)))/(MAX(F$10:OFFSET(F$10,$C$5-1,0,1,1))-MIN(F$10:OFFSET(F$10,$C$5-1,0,1,1))),(F23-MAX(F$10:OFFSET(F$10,$C$5-1,0,1,1)))/(MIN(F$10:OFFSET(F$10,$C$5-1,0,1,1))-MAX(F$10:OFFSET(F$10,$C$5-1,0,1,1)))),"")</f>
        <v>4.5662100456621009E-2</v>
      </c>
      <c r="G79" s="221">
        <f ca="1">IF(AND(ISNUMBER($B79),(ISNUMBER(G$5))),IF(G$7=1,(G23-MIN(G$10:OFFSET(G$10,$C$5-1,0,1,1)))/(MAX(G$10:OFFSET(G$10,$C$5-1,0,1,1))-MIN(G$10:OFFSET(G$10,$C$5-1,0,1,1))),(G23-MAX(G$10:OFFSET(G$10,$C$5-1,0,1,1)))/(MIN(G$10:OFFSET(G$10,$C$5-1,0,1,1))-MAX(G$10:OFFSET(G$10,$C$5-1,0,1,1)))),"")</f>
        <v>0.50297029702970297</v>
      </c>
      <c r="H79" s="221">
        <f ca="1">IF(AND(ISNUMBER($B79),(ISNUMBER(H$5))),IF(H$7=1,(H23-MIN(H$10:OFFSET(H$10,$C$5-1,0,1,1)))/(MAX(H$10:OFFSET(H$10,$C$5-1,0,1,1))-MIN(H$10:OFFSET(H$10,$C$5-1,0,1,1))),(H23-MAX(H$10:OFFSET(H$10,$C$5-1,0,1,1)))/(MIN(H$10:OFFSET(H$10,$C$5-1,0,1,1))-MAX(H$10:OFFSET(H$10,$C$5-1,0,1,1)))),"")</f>
        <v>6.1983471074379577E-3</v>
      </c>
      <c r="I79" s="221">
        <f ca="1">IF(AND(ISNUMBER($B79),(ISNUMBER(I$5))),IF(I$7=1,(I23-MIN(I$10:OFFSET(I$10,$C$5-1,0,1,1)))/(MAX(I$10:OFFSET(I$10,$C$5-1,0,1,1))-MIN(I$10:OFFSET(I$10,$C$5-1,0,1,1))),(I23-MAX(I$10:OFFSET(I$10,$C$5-1,0,1,1)))/(MIN(I$10:OFFSET(I$10,$C$5-1,0,1,1))-MAX(I$10:OFFSET(I$10,$C$5-1,0,1,1)))),"")</f>
        <v>0.72706935123042504</v>
      </c>
      <c r="J79" s="187"/>
      <c r="K79" s="199"/>
      <c r="L79" s="206">
        <f t="shared" si="7"/>
        <v>14</v>
      </c>
      <c r="M79" s="220" t="str">
        <f t="shared" si="3"/>
        <v>Monaco</v>
      </c>
      <c r="N79" s="221">
        <f ca="1">IF(AND(ISNUMBER($L79),(ISNUMBER(N$5))),IF(N$7=1,(N23-MIN(N$10:OFFSET(N$10,$M$5-1,0,1,1)))/(MAX(N$10:OFFSET(N$10,$M$5-1,0,1,1))-MIN(N$10:OFFSET(N$10,$M$5-1,0,1,1))),(N23-MAX(N$10:OFFSET(N$10,$M$5-1,0,1,1)))/(MIN(N$10:OFFSET(N$10,$M$5-1,0,1,1))-MAX(N$10:OFFSET(N$10,$M$5-1,0,1,1)))),"")</f>
        <v>0</v>
      </c>
      <c r="O79" s="221">
        <f ca="1">IF(AND(ISNUMBER($L79),(ISNUMBER(O$5))),IF(O$7=1,(O23-MIN(O$10:OFFSET(O$10,$M$5-1,0,1,1)))/(MAX(O$10:OFFSET(O$10,$M$5-1,0,1,1))-MIN(O$10:OFFSET(O$10,$M$5-1,0,1,1))),(O23-MAX(O$10:OFFSET(O$10,$M$5-1,0,1,1)))/(MIN(O$10:OFFSET(O$10,$M$5-1,0,1,1))-MAX(O$10:OFFSET(O$10,$M$5-1,0,1,1)))),"")</f>
        <v>0.26822157434402338</v>
      </c>
      <c r="P79" s="221">
        <f ca="1">IF(AND(ISNUMBER($L79),(ISNUMBER(P$5))),IF(P$7=1,(P23-MIN(P$10:OFFSET(P$10,$M$5-1,0,1,1)))/(MAX(P$10:OFFSET(P$10,$M$5-1,0,1,1))-MIN(P$10:OFFSET(P$10,$M$5-1,0,1,1))),(P23-MAX(P$10:OFFSET(P$10,$M$5-1,0,1,1)))/(MIN(P$10:OFFSET(P$10,$M$5-1,0,1,1))-MAX(P$10:OFFSET(P$10,$M$5-1,0,1,1)))),"")</f>
        <v>0.32018561484918789</v>
      </c>
      <c r="Q79" s="221">
        <f ca="1">IF(AND(ISNUMBER($L79),(ISNUMBER(Q$5))),IF(Q$7=1,(Q23-MIN(Q$10:OFFSET(Q$10,$M$5-1,0,1,1)))/(MAX(Q$10:OFFSET(Q$10,$M$5-1,0,1,1))-MIN(Q$10:OFFSET(Q$10,$M$5-1,0,1,1))),(Q23-MAX(Q$10:OFFSET(Q$10,$M$5-1,0,1,1)))/(MIN(Q$10:OFFSET(Q$10,$M$5-1,0,1,1))-MAX(Q$10:OFFSET(Q$10,$M$5-1,0,1,1)))),"")</f>
        <v>0.48204158790170132</v>
      </c>
      <c r="R79" s="221">
        <f ca="1">IF(AND(ISNUMBER($L79),(ISNUMBER(R$5))),IF(R$7=1,(R23-MIN(R$10:OFFSET(R$10,$M$5-1,0,1,1)))/(MAX(R$10:OFFSET(R$10,$M$5-1,0,1,1))-MIN(R$10:OFFSET(R$10,$M$5-1,0,1,1))),(R23-MAX(R$10:OFFSET(R$10,$M$5-1,0,1,1)))/(MIN(R$10:OFFSET(R$10,$M$5-1,0,1,1))-MAX(R$10:OFFSET(R$10,$M$5-1,0,1,1)))),"")</f>
        <v>5.9288537549407249E-3</v>
      </c>
      <c r="S79" s="221">
        <f ca="1">IF(AND(ISNUMBER($L79),(ISNUMBER(S$5))),IF(S$7=1,(S23-MIN(S$10:OFFSET(S$10,$M$5-1,0,1,1)))/(MAX(S$10:OFFSET(S$10,$M$5-1,0,1,1))-MIN(S$10:OFFSET(S$10,$M$5-1,0,1,1))),(S23-MAX(S$10:OFFSET(S$10,$M$5-1,0,1,1)))/(MIN(S$10:OFFSET(S$10,$M$5-1,0,1,1))-MAX(S$10:OFFSET(S$10,$M$5-1,0,1,1)))),"")</f>
        <v>0.69267139479905437</v>
      </c>
      <c r="T79" s="187"/>
      <c r="U79" s="199"/>
      <c r="V79" s="206">
        <f t="shared" si="8"/>
        <v>14</v>
      </c>
      <c r="W79" s="220" t="str">
        <f t="shared" si="4"/>
        <v>Monaco</v>
      </c>
      <c r="X79" s="221">
        <f ca="1">IF(AND(ISNUMBER($V79),(ISNUMBER(X$5))),IF(X$7=1,(X23-MIN(X$10:OFFSET(X$10,$W$5-1,0,1,1)))/(MAX(X$10:OFFSET(X$10,$W$5-1,0,1,1))-MIN(X$10:OFFSET(X$10,$W$5-1,0,1,1))),(X23-MAX(X$10:OFFSET(X$10,$W$5-1,0,1,1)))/(MIN(X$10:OFFSET(X$10,$W$5-1,0,1,1))-MAX(X$10:OFFSET(X$10,$W$5-1,0,1,1)))),"")</f>
        <v>0</v>
      </c>
      <c r="Y79" s="221">
        <f ca="1">IF(AND(ISNUMBER($V79),(ISNUMBER(Y$5))),IF(Y$7=1,(Y23-MIN(Y$10:OFFSET(Y$10,$W$5-1,0,1,1)))/(MAX(Y$10:OFFSET(Y$10,$W$5-1,0,1,1))-MIN(Y$10:OFFSET(Y$10,$W$5-1,0,1,1))),(Y23-MAX(Y$10:OFFSET(Y$10,$W$5-1,0,1,1)))/(MIN(Y$10:OFFSET(Y$10,$W$5-1,0,1,1))-MAX(Y$10:OFFSET(Y$10,$W$5-1,0,1,1)))),"")</f>
        <v>0.27648384673178067</v>
      </c>
      <c r="Z79" s="221">
        <f ca="1">IF(AND(ISNUMBER($V79),(ISNUMBER(Z$5))),IF(Z$7=1,(Z23-MIN(Z$10:OFFSET(Z$10,$W$5-1,0,1,1)))/(MAX(Z$10:OFFSET(Z$10,$W$5-1,0,1,1))-MIN(Z$10:OFFSET(Z$10,$W$5-1,0,1,1))),(Z23-MAX(Z$10:OFFSET(Z$10,$W$5-1,0,1,1)))/(MIN(Z$10:OFFSET(Z$10,$W$5-1,0,1,1))-MAX(Z$10:OFFSET(Z$10,$W$5-1,0,1,1)))),"")</f>
        <v>0.14565483476132199</v>
      </c>
      <c r="AA79" s="221">
        <f ca="1">IF(AND(ISNUMBER($V79),(ISNUMBER(AA$5))),IF(AA$7=1,(AA23-MIN(AA$10:OFFSET(AA$10,$W$5-1,0,1,1)))/(MAX(AA$10:OFFSET(AA$10,$W$5-1,0,1,1))-MIN(AA$10:OFFSET(AA$10,$W$5-1,0,1,1))),(AA23-MAX(AA$10:OFFSET(AA$10,$W$5-1,0,1,1)))/(MIN(AA$10:OFFSET(AA$10,$W$5-1,0,1,1))-MAX(AA$10:OFFSET(AA$10,$W$5-1,0,1,1)))),"")</f>
        <v>0.49226305609284327</v>
      </c>
      <c r="AB79" s="221">
        <f ca="1">IF(AND(ISNUMBER($V79),(ISNUMBER(AB$5))),IF(AB$7=1,(AB23-MIN(AB$10:OFFSET(AB$10,$W$5-1,0,1,1)))/(MAX(AB$10:OFFSET(AB$10,$W$5-1,0,1,1))-MIN(AB$10:OFFSET(AB$10,$W$5-1,0,1,1))),(AB23-MAX(AB$10:OFFSET(AB$10,$W$5-1,0,1,1)))/(MIN(AB$10:OFFSET(AB$10,$W$5-1,0,1,1))-MAX(AB$10:OFFSET(AB$10,$W$5-1,0,1,1)))),"")</f>
        <v>6.5146579804559648E-3</v>
      </c>
      <c r="AC79" s="221">
        <f ca="1">IF(AND(ISNUMBER($V79),(ISNUMBER(AC$5))),IF(AC$7=1,(AC23-MIN(AC$10:OFFSET(AC$10,$W$5-1,0,1,1)))/(MAX(AC$10:OFFSET(AC$10,$W$5-1,0,1,1))-MIN(AC$10:OFFSET(AC$10,$W$5-1,0,1,1))),(AC23-MAX(AC$10:OFFSET(AC$10,$W$5-1,0,1,1)))/(MIN(AC$10:OFFSET(AC$10,$W$5-1,0,1,1))-MAX(AC$10:OFFSET(AC$10,$W$5-1,0,1,1)))),"")</f>
        <v>0.70867052023121391</v>
      </c>
    </row>
    <row r="80" spans="1:29" ht="15" customHeight="1" thickBot="1">
      <c r="A80" s="199"/>
      <c r="B80" s="206">
        <f t="shared" si="5"/>
        <v>15</v>
      </c>
      <c r="C80" s="220" t="str">
        <f t="shared" si="6"/>
        <v>Montenegro</v>
      </c>
      <c r="D80" s="221">
        <f ca="1">IF(AND(ISNUMBER($B80),(ISNUMBER(D$5))),IF(D$7=1,(D24-MIN(D$10:OFFSET(D$10,$C$5-1,0,1,1)))/(MAX(D$10:OFFSET(D$10,$C$5-1,0,1,1))-MIN(D$10:OFFSET(D$10,$C$5-1,0,1,1))),(D24-MAX(D$10:OFFSET(D$10,$C$5-1,0,1,1)))/(MIN(D$10:OFFSET(D$10,$C$5-1,0,1,1))-MAX(D$10:OFFSET(D$10,$C$5-1,0,1,1)))),"")</f>
        <v>0.42666666666666664</v>
      </c>
      <c r="E80" s="221">
        <f ca="1">IF(AND(ISNUMBER($B80),(ISNUMBER(E$5))),IF(E$7=1,(E24-MIN(E$10:OFFSET(E$10,$C$5-1,0,1,1)))/(MAX(E$10:OFFSET(E$10,$C$5-1,0,1,1))-MIN(E$10:OFFSET(E$10,$C$5-1,0,1,1))),(E24-MAX(E$10:OFFSET(E$10,$C$5-1,0,1,1)))/(MIN(E$10:OFFSET(E$10,$C$5-1,0,1,1))-MAX(E$10:OFFSET(E$10,$C$5-1,0,1,1)))),"")</f>
        <v>0.23287671232876711</v>
      </c>
      <c r="F80" s="221">
        <f ca="1">IF(AND(ISNUMBER($B80),(ISNUMBER(F$5))),IF(F$7=1,(F24-MIN(F$10:OFFSET(F$10,$C$5-1,0,1,1)))/(MAX(F$10:OFFSET(F$10,$C$5-1,0,1,1))-MIN(F$10:OFFSET(F$10,$C$5-1,0,1,1))),(F24-MAX(F$10:OFFSET(F$10,$C$5-1,0,1,1)))/(MIN(F$10:OFFSET(F$10,$C$5-1,0,1,1))-MAX(F$10:OFFSET(F$10,$C$5-1,0,1,1)))),"")</f>
        <v>0.30821917808219174</v>
      </c>
      <c r="G80" s="221">
        <f ca="1">IF(AND(ISNUMBER($B80),(ISNUMBER(G$5))),IF(G$7=1,(G24-MIN(G$10:OFFSET(G$10,$C$5-1,0,1,1)))/(MAX(G$10:OFFSET(G$10,$C$5-1,0,1,1))-MIN(G$10:OFFSET(G$10,$C$5-1,0,1,1))),(G24-MAX(G$10:OFFSET(G$10,$C$5-1,0,1,1)))/(MIN(G$10:OFFSET(G$10,$C$5-1,0,1,1))-MAX(G$10:OFFSET(G$10,$C$5-1,0,1,1)))),"")</f>
        <v>0.42574257425742573</v>
      </c>
      <c r="H80" s="221">
        <f ca="1">IF(AND(ISNUMBER($B80),(ISNUMBER(H$5))),IF(H$7=1,(H24-MIN(H$10:OFFSET(H$10,$C$5-1,0,1,1)))/(MAX(H$10:OFFSET(H$10,$C$5-1,0,1,1))-MIN(H$10:OFFSET(H$10,$C$5-1,0,1,1))),(H24-MAX(H$10:OFFSET(H$10,$C$5-1,0,1,1)))/(MIN(H$10:OFFSET(H$10,$C$5-1,0,1,1))-MAX(H$10:OFFSET(H$10,$C$5-1,0,1,1)))),"")</f>
        <v>0.56611570247933884</v>
      </c>
      <c r="I80" s="221">
        <f ca="1">IF(AND(ISNUMBER($B80),(ISNUMBER(I$5))),IF(I$7=1,(I24-MIN(I$10:OFFSET(I$10,$C$5-1,0,1,1)))/(MAX(I$10:OFFSET(I$10,$C$5-1,0,1,1))-MIN(I$10:OFFSET(I$10,$C$5-1,0,1,1))),(I24-MAX(I$10:OFFSET(I$10,$C$5-1,0,1,1)))/(MIN(I$10:OFFSET(I$10,$C$5-1,0,1,1))-MAX(I$10:OFFSET(I$10,$C$5-1,0,1,1)))),"")</f>
        <v>0.31543624161073824</v>
      </c>
      <c r="J80" s="187"/>
      <c r="K80" s="199"/>
      <c r="L80" s="206">
        <f t="shared" si="7"/>
        <v>15</v>
      </c>
      <c r="M80" s="220" t="str">
        <f t="shared" si="3"/>
        <v>Montenegro</v>
      </c>
      <c r="N80" s="221">
        <f ca="1">IF(AND(ISNUMBER($L80),(ISNUMBER(N$5))),IF(N$7=1,(N24-MIN(N$10:OFFSET(N$10,$M$5-1,0,1,1)))/(MAX(N$10:OFFSET(N$10,$M$5-1,0,1,1))-MIN(N$10:OFFSET(N$10,$M$5-1,0,1,1))),(N24-MAX(N$10:OFFSET(N$10,$M$5-1,0,1,1)))/(MIN(N$10:OFFSET(N$10,$M$5-1,0,1,1))-MAX(N$10:OFFSET(N$10,$M$5-1,0,1,1)))),"")</f>
        <v>0.3662952646239554</v>
      </c>
      <c r="O80" s="221">
        <f ca="1">IF(AND(ISNUMBER($L80),(ISNUMBER(O$5))),IF(O$7=1,(O24-MIN(O$10:OFFSET(O$10,$M$5-1,0,1,1)))/(MAX(O$10:OFFSET(O$10,$M$5-1,0,1,1))-MIN(O$10:OFFSET(O$10,$M$5-1,0,1,1))),(O24-MAX(O$10:OFFSET(O$10,$M$5-1,0,1,1)))/(MIN(O$10:OFFSET(O$10,$M$5-1,0,1,1))-MAX(O$10:OFFSET(O$10,$M$5-1,0,1,1)))),"")</f>
        <v>0.43586005830903796</v>
      </c>
      <c r="P80" s="221">
        <f ca="1">IF(AND(ISNUMBER($L80),(ISNUMBER(P$5))),IF(P$7=1,(P24-MIN(P$10:OFFSET(P$10,$M$5-1,0,1,1)))/(MAX(P$10:OFFSET(P$10,$M$5-1,0,1,1))-MIN(P$10:OFFSET(P$10,$M$5-1,0,1,1))),(P24-MAX(P$10:OFFSET(P$10,$M$5-1,0,1,1)))/(MIN(P$10:OFFSET(P$10,$M$5-1,0,1,1))-MAX(P$10:OFFSET(P$10,$M$5-1,0,1,1)))),"")</f>
        <v>0.41531322505800461</v>
      </c>
      <c r="Q80" s="221">
        <f ca="1">IF(AND(ISNUMBER($L80),(ISNUMBER(Q$5))),IF(Q$7=1,(Q24-MIN(Q$10:OFFSET(Q$10,$M$5-1,0,1,1)))/(MAX(Q$10:OFFSET(Q$10,$M$5-1,0,1,1))-MIN(Q$10:OFFSET(Q$10,$M$5-1,0,1,1))),(Q24-MAX(Q$10:OFFSET(Q$10,$M$5-1,0,1,1)))/(MIN(Q$10:OFFSET(Q$10,$M$5-1,0,1,1))-MAX(Q$10:OFFSET(Q$10,$M$5-1,0,1,1)))),"")</f>
        <v>0.49716446124763713</v>
      </c>
      <c r="R80" s="221">
        <f ca="1">IF(AND(ISNUMBER($L80),(ISNUMBER(R$5))),IF(R$7=1,(R24-MIN(R$10:OFFSET(R$10,$M$5-1,0,1,1)))/(MAX(R$10:OFFSET(R$10,$M$5-1,0,1,1))-MIN(R$10:OFFSET(R$10,$M$5-1,0,1,1))),(R24-MAX(R$10:OFFSET(R$10,$M$5-1,0,1,1)))/(MIN(R$10:OFFSET(R$10,$M$5-1,0,1,1))-MAX(R$10:OFFSET(R$10,$M$5-1,0,1,1)))),"")</f>
        <v>0.79841897233201575</v>
      </c>
      <c r="S80" s="221">
        <f ca="1">IF(AND(ISNUMBER($L80),(ISNUMBER(S$5))),IF(S$7=1,(S24-MIN(S$10:OFFSET(S$10,$M$5-1,0,1,1)))/(MAX(S$10:OFFSET(S$10,$M$5-1,0,1,1))-MIN(S$10:OFFSET(S$10,$M$5-1,0,1,1))),(S24-MAX(S$10:OFFSET(S$10,$M$5-1,0,1,1)))/(MIN(S$10:OFFSET(S$10,$M$5-1,0,1,1))-MAX(S$10:OFFSET(S$10,$M$5-1,0,1,1)))),"")</f>
        <v>0.26477541371158386</v>
      </c>
      <c r="T80" s="187"/>
      <c r="U80" s="199"/>
      <c r="V80" s="206">
        <f t="shared" si="8"/>
        <v>15</v>
      </c>
      <c r="W80" s="220" t="str">
        <f t="shared" si="4"/>
        <v>Montenegro</v>
      </c>
      <c r="X80" s="221">
        <f ca="1">IF(AND(ISNUMBER($V80),(ISNUMBER(X$5))),IF(X$7=1,(X24-MIN(X$10:OFFSET(X$10,$W$5-1,0,1,1)))/(MAX(X$10:OFFSET(X$10,$W$5-1,0,1,1))-MIN(X$10:OFFSET(X$10,$W$5-1,0,1,1))),(X24-MAX(X$10:OFFSET(X$10,$W$5-1,0,1,1)))/(MIN(X$10:OFFSET(X$10,$W$5-1,0,1,1))-MAX(X$10:OFFSET(X$10,$W$5-1,0,1,1)))),"")</f>
        <v>0.39554917444364673</v>
      </c>
      <c r="Y80" s="221">
        <f ca="1">IF(AND(ISNUMBER($V80),(ISNUMBER(Y$5))),IF(Y$7=1,(Y24-MIN(Y$10:OFFSET(Y$10,$W$5-1,0,1,1)))/(MAX(Y$10:OFFSET(Y$10,$W$5-1,0,1,1))-MIN(Y$10:OFFSET(Y$10,$W$5-1,0,1,1))),(Y24-MAX(Y$10:OFFSET(Y$10,$W$5-1,0,1,1)))/(MIN(Y$10:OFFSET(Y$10,$W$5-1,0,1,1))-MAX(Y$10:OFFSET(Y$10,$W$5-1,0,1,1)))),"")</f>
        <v>0.33959429000751318</v>
      </c>
      <c r="Z80" s="221">
        <f ca="1">IF(AND(ISNUMBER($V80),(ISNUMBER(Z$5))),IF(Z$7=1,(Z24-MIN(Z$10:OFFSET(Z$10,$W$5-1,0,1,1)))/(MAX(Z$10:OFFSET(Z$10,$W$5-1,0,1,1))-MIN(Z$10:OFFSET(Z$10,$W$5-1,0,1,1))),(Z24-MAX(Z$10:OFFSET(Z$10,$W$5-1,0,1,1)))/(MIN(Z$10:OFFSET(Z$10,$W$5-1,0,1,1))-MAX(Z$10:OFFSET(Z$10,$W$5-1,0,1,1)))),"")</f>
        <v>0.3365973072215423</v>
      </c>
      <c r="AA80" s="221">
        <f ca="1">IF(AND(ISNUMBER($V80),(ISNUMBER(AA$5))),IF(AA$7=1,(AA24-MIN(AA$10:OFFSET(AA$10,$W$5-1,0,1,1)))/(MAX(AA$10:OFFSET(AA$10,$W$5-1,0,1,1))-MIN(AA$10:OFFSET(AA$10,$W$5-1,0,1,1))),(AA24-MAX(AA$10:OFFSET(AA$10,$W$5-1,0,1,1)))/(MIN(AA$10:OFFSET(AA$10,$W$5-1,0,1,1))-MAX(AA$10:OFFSET(AA$10,$W$5-1,0,1,1)))),"")</f>
        <v>0.46228239845261121</v>
      </c>
      <c r="AB80" s="221">
        <f ca="1">IF(AND(ISNUMBER($V80),(ISNUMBER(AB$5))),IF(AB$7=1,(AB24-MIN(AB$10:OFFSET(AB$10,$W$5-1,0,1,1)))/(MAX(AB$10:OFFSET(AB$10,$W$5-1,0,1,1))-MIN(AB$10:OFFSET(AB$10,$W$5-1,0,1,1))),(AB24-MAX(AB$10:OFFSET(AB$10,$W$5-1,0,1,1)))/(MIN(AB$10:OFFSET(AB$10,$W$5-1,0,1,1))-MAX(AB$10:OFFSET(AB$10,$W$5-1,0,1,1)))),"")</f>
        <v>0.73615635179153094</v>
      </c>
      <c r="AC80" s="221">
        <f ca="1">IF(AND(ISNUMBER($V80),(ISNUMBER(AC$5))),IF(AC$7=1,(AC24-MIN(AC$10:OFFSET(AC$10,$W$5-1,0,1,1)))/(MAX(AC$10:OFFSET(AC$10,$W$5-1,0,1,1))-MIN(AC$10:OFFSET(AC$10,$W$5-1,0,1,1))),(AC24-MAX(AC$10:OFFSET(AC$10,$W$5-1,0,1,1)))/(MIN(AC$10:OFFSET(AC$10,$W$5-1,0,1,1))-MAX(AC$10:OFFSET(AC$10,$W$5-1,0,1,1)))),"")</f>
        <v>0.28670520231213875</v>
      </c>
    </row>
    <row r="81" spans="1:29" ht="15" customHeight="1" thickBot="1">
      <c r="A81" s="199"/>
      <c r="B81" s="206">
        <f t="shared" si="5"/>
        <v>16</v>
      </c>
      <c r="C81" s="220" t="str">
        <f t="shared" si="6"/>
        <v>North Macedonia</v>
      </c>
      <c r="D81" s="221">
        <f ca="1">IF(AND(ISNUMBER($B81),(ISNUMBER(D$5))),IF(D$7=1,(D25-MIN(D$10:OFFSET(D$10,$C$5-1,0,1,1)))/(MAX(D$10:OFFSET(D$10,$C$5-1,0,1,1))-MIN(D$10:OFFSET(D$10,$C$5-1,0,1,1))),(D25-MAX(D$10:OFFSET(D$10,$C$5-1,0,1,1)))/(MIN(D$10:OFFSET(D$10,$C$5-1,0,1,1))-MAX(D$10:OFFSET(D$10,$C$5-1,0,1,1)))),"")</f>
        <v>0.48</v>
      </c>
      <c r="E81" s="221">
        <f ca="1">IF(AND(ISNUMBER($B81),(ISNUMBER(E$5))),IF(E$7=1,(E25-MIN(E$10:OFFSET(E$10,$C$5-1,0,1,1)))/(MAX(E$10:OFFSET(E$10,$C$5-1,0,1,1))-MIN(E$10:OFFSET(E$10,$C$5-1,0,1,1))),(E25-MAX(E$10:OFFSET(E$10,$C$5-1,0,1,1)))/(MIN(E$10:OFFSET(E$10,$C$5-1,0,1,1))-MAX(E$10:OFFSET(E$10,$C$5-1,0,1,1)))),"")</f>
        <v>0.43531202435312022</v>
      </c>
      <c r="F81" s="221">
        <f ca="1">IF(AND(ISNUMBER($B81),(ISNUMBER(F$5))),IF(F$7=1,(F25-MIN(F$10:OFFSET(F$10,$C$5-1,0,1,1)))/(MAX(F$10:OFFSET(F$10,$C$5-1,0,1,1))-MIN(F$10:OFFSET(F$10,$C$5-1,0,1,1))),(F25-MAX(F$10:OFFSET(F$10,$C$5-1,0,1,1)))/(MIN(F$10:OFFSET(F$10,$C$5-1,0,1,1))-MAX(F$10:OFFSET(F$10,$C$5-1,0,1,1)))),"")</f>
        <v>0.26027397260273977</v>
      </c>
      <c r="G81" s="221">
        <f ca="1">IF(AND(ISNUMBER($B81),(ISNUMBER(G$5))),IF(G$7=1,(G25-MIN(G$10:OFFSET(G$10,$C$5-1,0,1,1)))/(MAX(G$10:OFFSET(G$10,$C$5-1,0,1,1))-MIN(G$10:OFFSET(G$10,$C$5-1,0,1,1))),(G25-MAX(G$10:OFFSET(G$10,$C$5-1,0,1,1)))/(MIN(G$10:OFFSET(G$10,$C$5-1,0,1,1))-MAX(G$10:OFFSET(G$10,$C$5-1,0,1,1)))),"")</f>
        <v>0.26336633663366338</v>
      </c>
      <c r="H81" s="221">
        <f ca="1">IF(AND(ISNUMBER($B81),(ISNUMBER(H$5))),IF(H$7=1,(H25-MIN(H$10:OFFSET(H$10,$C$5-1,0,1,1)))/(MAX(H$10:OFFSET(H$10,$C$5-1,0,1,1))-MIN(H$10:OFFSET(H$10,$C$5-1,0,1,1))),(H25-MAX(H$10:OFFSET(H$10,$C$5-1,0,1,1)))/(MIN(H$10:OFFSET(H$10,$C$5-1,0,1,1))-MAX(H$10:OFFSET(H$10,$C$5-1,0,1,1)))),"")</f>
        <v>0.34297520661157027</v>
      </c>
      <c r="I81" s="221">
        <f ca="1">IF(AND(ISNUMBER($B81),(ISNUMBER(I$5))),IF(I$7=1,(I25-MIN(I$10:OFFSET(I$10,$C$5-1,0,1,1)))/(MAX(I$10:OFFSET(I$10,$C$5-1,0,1,1))-MIN(I$10:OFFSET(I$10,$C$5-1,0,1,1))),(I25-MAX(I$10:OFFSET(I$10,$C$5-1,0,1,1)))/(MIN(I$10:OFFSET(I$10,$C$5-1,0,1,1))-MAX(I$10:OFFSET(I$10,$C$5-1,0,1,1)))),"")</f>
        <v>0.31543624161073824</v>
      </c>
      <c r="J81" s="187"/>
      <c r="K81" s="199"/>
      <c r="L81" s="206">
        <f t="shared" si="7"/>
        <v>16</v>
      </c>
      <c r="M81" s="220" t="str">
        <f t="shared" si="3"/>
        <v>North Macedonia</v>
      </c>
      <c r="N81" s="221">
        <f ca="1">IF(AND(ISNUMBER($L81),(ISNUMBER(N$5))),IF(N$7=1,(N25-MIN(N$10:OFFSET(N$10,$M$5-1,0,1,1)))/(MAX(N$10:OFFSET(N$10,$M$5-1,0,1,1))-MIN(N$10:OFFSET(N$10,$M$5-1,0,1,1))),(N25-MAX(N$10:OFFSET(N$10,$M$5-1,0,1,1)))/(MIN(N$10:OFFSET(N$10,$M$5-1,0,1,1))-MAX(N$10:OFFSET(N$10,$M$5-1,0,1,1)))),"")</f>
        <v>0.39275766016713098</v>
      </c>
      <c r="O81" s="221">
        <f ca="1">IF(AND(ISNUMBER($L81),(ISNUMBER(O$5))),IF(O$7=1,(O25-MIN(O$10:OFFSET(O$10,$M$5-1,0,1,1)))/(MAX(O$10:OFFSET(O$10,$M$5-1,0,1,1))-MIN(O$10:OFFSET(O$10,$M$5-1,0,1,1))),(O25-MAX(O$10:OFFSET(O$10,$M$5-1,0,1,1)))/(MIN(O$10:OFFSET(O$10,$M$5-1,0,1,1))-MAX(O$10:OFFSET(O$10,$M$5-1,0,1,1)))),"")</f>
        <v>0.50874635568513127</v>
      </c>
      <c r="P81" s="221">
        <f ca="1">IF(AND(ISNUMBER($L81),(ISNUMBER(P$5))),IF(P$7=1,(P25-MIN(P$10:OFFSET(P$10,$M$5-1,0,1,1)))/(MAX(P$10:OFFSET(P$10,$M$5-1,0,1,1))-MIN(P$10:OFFSET(P$10,$M$5-1,0,1,1))),(P25-MAX(P$10:OFFSET(P$10,$M$5-1,0,1,1)))/(MIN(P$10:OFFSET(P$10,$M$5-1,0,1,1))-MAX(P$10:OFFSET(P$10,$M$5-1,0,1,1)))),"")</f>
        <v>0.3109048723897912</v>
      </c>
      <c r="Q81" s="221">
        <f ca="1">IF(AND(ISNUMBER($L81),(ISNUMBER(Q$5))),IF(Q$7=1,(Q25-MIN(Q$10:OFFSET(Q$10,$M$5-1,0,1,1)))/(MAX(Q$10:OFFSET(Q$10,$M$5-1,0,1,1))-MIN(Q$10:OFFSET(Q$10,$M$5-1,0,1,1))),(Q25-MAX(Q$10:OFFSET(Q$10,$M$5-1,0,1,1)))/(MIN(Q$10:OFFSET(Q$10,$M$5-1,0,1,1))-MAX(Q$10:OFFSET(Q$10,$M$5-1,0,1,1)))),"")</f>
        <v>0.43289224952741018</v>
      </c>
      <c r="R81" s="221">
        <f ca="1">IF(AND(ISNUMBER($L81),(ISNUMBER(R$5))),IF(R$7=1,(R25-MIN(R$10:OFFSET(R$10,$M$5-1,0,1,1)))/(MAX(R$10:OFFSET(R$10,$M$5-1,0,1,1))-MIN(R$10:OFFSET(R$10,$M$5-1,0,1,1))),(R25-MAX(R$10:OFFSET(R$10,$M$5-1,0,1,1)))/(MIN(R$10:OFFSET(R$10,$M$5-1,0,1,1))-MAX(R$10:OFFSET(R$10,$M$5-1,0,1,1)))),"")</f>
        <v>0.56521739130434767</v>
      </c>
      <c r="S81" s="221">
        <f ca="1">IF(AND(ISNUMBER($L81),(ISNUMBER(S$5))),IF(S$7=1,(S25-MIN(S$10:OFFSET(S$10,$M$5-1,0,1,1)))/(MAX(S$10:OFFSET(S$10,$M$5-1,0,1,1))-MIN(S$10:OFFSET(S$10,$M$5-1,0,1,1))),(S25-MAX(S$10:OFFSET(S$10,$M$5-1,0,1,1)))/(MIN(S$10:OFFSET(S$10,$M$5-1,0,1,1))-MAX(S$10:OFFSET(S$10,$M$5-1,0,1,1)))),"")</f>
        <v>0.30732860520094563</v>
      </c>
      <c r="T81" s="187"/>
      <c r="U81" s="199"/>
      <c r="V81" s="206">
        <f t="shared" si="8"/>
        <v>16</v>
      </c>
      <c r="W81" s="220" t="str">
        <f t="shared" si="4"/>
        <v>North Macedonia</v>
      </c>
      <c r="X81" s="221">
        <f ca="1">IF(AND(ISNUMBER($V81),(ISNUMBER(X$5))),IF(X$7=1,(X25-MIN(X$10:OFFSET(X$10,$W$5-1,0,1,1)))/(MAX(X$10:OFFSET(X$10,$W$5-1,0,1,1))-MIN(X$10:OFFSET(X$10,$W$5-1,0,1,1))),(X25-MAX(X$10:OFFSET(X$10,$W$5-1,0,1,1)))/(MIN(X$10:OFFSET(X$10,$W$5-1,0,1,1))-MAX(X$10:OFFSET(X$10,$W$5-1,0,1,1)))),"")</f>
        <v>0.43503230437903795</v>
      </c>
      <c r="Y81" s="221">
        <f ca="1">IF(AND(ISNUMBER($V81),(ISNUMBER(Y$5))),IF(Y$7=1,(Y25-MIN(Y$10:OFFSET(Y$10,$W$5-1,0,1,1)))/(MAX(Y$10:OFFSET(Y$10,$W$5-1,0,1,1))-MIN(Y$10:OFFSET(Y$10,$W$5-1,0,1,1))),(Y25-MAX(Y$10:OFFSET(Y$10,$W$5-1,0,1,1)))/(MIN(Y$10:OFFSET(Y$10,$W$5-1,0,1,1))-MAX(Y$10:OFFSET(Y$10,$W$5-1,0,1,1)))),"")</f>
        <v>0.47708489857250197</v>
      </c>
      <c r="Z81" s="221">
        <f ca="1">IF(AND(ISNUMBER($V81),(ISNUMBER(Z$5))),IF(Z$7=1,(Z25-MIN(Z$10:OFFSET(Z$10,$W$5-1,0,1,1)))/(MAX(Z$10:OFFSET(Z$10,$W$5-1,0,1,1))-MIN(Z$10:OFFSET(Z$10,$W$5-1,0,1,1))),(Z25-MAX(Z$10:OFFSET(Z$10,$W$5-1,0,1,1)))/(MIN(Z$10:OFFSET(Z$10,$W$5-1,0,1,1))-MAX(Z$10:OFFSET(Z$10,$W$5-1,0,1,1)))),"")</f>
        <v>0.25581395348837221</v>
      </c>
      <c r="AA81" s="221">
        <f ca="1">IF(AND(ISNUMBER($V81),(ISNUMBER(AA$5))),IF(AA$7=1,(AA25-MIN(AA$10:OFFSET(AA$10,$W$5-1,0,1,1)))/(MAX(AA$10:OFFSET(AA$10,$W$5-1,0,1,1))-MIN(AA$10:OFFSET(AA$10,$W$5-1,0,1,1))),(AA25-MAX(AA$10:OFFSET(AA$10,$W$5-1,0,1,1)))/(MIN(AA$10:OFFSET(AA$10,$W$5-1,0,1,1))-MAX(AA$10:OFFSET(AA$10,$W$5-1,0,1,1)))),"")</f>
        <v>0.35009671179883939</v>
      </c>
      <c r="AB81" s="221">
        <f ca="1">IF(AND(ISNUMBER($V81),(ISNUMBER(AB$5))),IF(AB$7=1,(AB25-MIN(AB$10:OFFSET(AB$10,$W$5-1,0,1,1)))/(MAX(AB$10:OFFSET(AB$10,$W$5-1,0,1,1))-MIN(AB$10:OFFSET(AB$10,$W$5-1,0,1,1))),(AB25-MAX(AB$10:OFFSET(AB$10,$W$5-1,0,1,1)))/(MIN(AB$10:OFFSET(AB$10,$W$5-1,0,1,1))-MAX(AB$10:OFFSET(AB$10,$W$5-1,0,1,1)))),"")</f>
        <v>0.49077090119435385</v>
      </c>
      <c r="AC81" s="221">
        <f ca="1">IF(AND(ISNUMBER($V81),(ISNUMBER(AC$5))),IF(AC$7=1,(AC25-MIN(AC$10:OFFSET(AC$10,$W$5-1,0,1,1)))/(MAX(AC$10:OFFSET(AC$10,$W$5-1,0,1,1))-MIN(AC$10:OFFSET(AC$10,$W$5-1,0,1,1))),(AC25-MAX(AC$10:OFFSET(AC$10,$W$5-1,0,1,1)))/(MIN(AC$10:OFFSET(AC$10,$W$5-1,0,1,1))-MAX(AC$10:OFFSET(AC$10,$W$5-1,0,1,1)))),"")</f>
        <v>0.30751445086705215</v>
      </c>
    </row>
    <row r="82" spans="1:29" ht="15" customHeight="1" thickBot="1">
      <c r="A82" s="199"/>
      <c r="B82" s="206">
        <f t="shared" si="5"/>
        <v>17</v>
      </c>
      <c r="C82" s="220" t="str">
        <f t="shared" si="6"/>
        <v>Norway</v>
      </c>
      <c r="D82" s="221">
        <f ca="1">IF(AND(ISNUMBER($B82),(ISNUMBER(D$5))),IF(D$7=1,(D26-MIN(D$10:OFFSET(D$10,$C$5-1,0,1,1)))/(MAX(D$10:OFFSET(D$10,$C$5-1,0,1,1))-MIN(D$10:OFFSET(D$10,$C$5-1,0,1,1))),(D26-MAX(D$10:OFFSET(D$10,$C$5-1,0,1,1)))/(MIN(D$10:OFFSET(D$10,$C$5-1,0,1,1))-MAX(D$10:OFFSET(D$10,$C$5-1,0,1,1)))),"")</f>
        <v>0.62370370370370376</v>
      </c>
      <c r="E82" s="221">
        <f ca="1">IF(AND(ISNUMBER($B82),(ISNUMBER(E$5))),IF(E$7=1,(E26-MIN(E$10:OFFSET(E$10,$C$5-1,0,1,1)))/(MAX(E$10:OFFSET(E$10,$C$5-1,0,1,1))-MIN(E$10:OFFSET(E$10,$C$5-1,0,1,1))),(E26-MAX(E$10:OFFSET(E$10,$C$5-1,0,1,1)))/(MIN(E$10:OFFSET(E$10,$C$5-1,0,1,1))-MAX(E$10:OFFSET(E$10,$C$5-1,0,1,1)))),"")</f>
        <v>0.76560121765601208</v>
      </c>
      <c r="F82" s="221">
        <f ca="1">IF(AND(ISNUMBER($B82),(ISNUMBER(F$5))),IF(F$7=1,(F26-MIN(F$10:OFFSET(F$10,$C$5-1,0,1,1)))/(MAX(F$10:OFFSET(F$10,$C$5-1,0,1,1))-MIN(F$10:OFFSET(F$10,$C$5-1,0,1,1))),(F26-MAX(F$10:OFFSET(F$10,$C$5-1,0,1,1)))/(MIN(F$10:OFFSET(F$10,$C$5-1,0,1,1))-MAX(F$10:OFFSET(F$10,$C$5-1,0,1,1)))),"")</f>
        <v>0.89726027397260277</v>
      </c>
      <c r="G82" s="221">
        <f ca="1">IF(AND(ISNUMBER($B82),(ISNUMBER(G$5))),IF(G$7=1,(G26-MIN(G$10:OFFSET(G$10,$C$5-1,0,1,1)))/(MAX(G$10:OFFSET(G$10,$C$5-1,0,1,1))-MIN(G$10:OFFSET(G$10,$C$5-1,0,1,1))),(G26-MAX(G$10:OFFSET(G$10,$C$5-1,0,1,1)))/(MIN(G$10:OFFSET(G$10,$C$5-1,0,1,1))-MAX(G$10:OFFSET(G$10,$C$5-1,0,1,1)))),"")</f>
        <v>0.58613861386138622</v>
      </c>
      <c r="H82" s="221">
        <f ca="1">IF(AND(ISNUMBER($B82),(ISNUMBER(H$5))),IF(H$7=1,(H26-MIN(H$10:OFFSET(H$10,$C$5-1,0,1,1)))/(MAX(H$10:OFFSET(H$10,$C$5-1,0,1,1))-MIN(H$10:OFFSET(H$10,$C$5-1,0,1,1))),(H26-MAX(H$10:OFFSET(H$10,$C$5-1,0,1,1)))/(MIN(H$10:OFFSET(H$10,$C$5-1,0,1,1))-MAX(H$10:OFFSET(H$10,$C$5-1,0,1,1)))),"")</f>
        <v>0.78925619834710736</v>
      </c>
      <c r="I82" s="221">
        <f ca="1">IF(AND(ISNUMBER($B82),(ISNUMBER(I$5))),IF(I$7=1,(I26-MIN(I$10:OFFSET(I$10,$C$5-1,0,1,1)))/(MAX(I$10:OFFSET(I$10,$C$5-1,0,1,1))-MIN(I$10:OFFSET(I$10,$C$5-1,0,1,1))),(I26-MAX(I$10:OFFSET(I$10,$C$5-1,0,1,1)))/(MIN(I$10:OFFSET(I$10,$C$5-1,0,1,1))-MAX(I$10:OFFSET(I$10,$C$5-1,0,1,1)))),"")</f>
        <v>1</v>
      </c>
      <c r="J82" s="187"/>
      <c r="K82" s="199"/>
      <c r="L82" s="206">
        <f t="shared" si="7"/>
        <v>17</v>
      </c>
      <c r="M82" s="220" t="str">
        <f t="shared" si="3"/>
        <v>Norway</v>
      </c>
      <c r="N82" s="221">
        <f ca="1">IF(AND(ISNUMBER($L82),(ISNUMBER(N$5))),IF(N$7=1,(N26-MIN(N$10:OFFSET(N$10,$M$5-1,0,1,1)))/(MAX(N$10:OFFSET(N$10,$M$5-1,0,1,1))-MIN(N$10:OFFSET(N$10,$M$5-1,0,1,1))),(N26-MAX(N$10:OFFSET(N$10,$M$5-1,0,1,1)))/(MIN(N$10:OFFSET(N$10,$M$5-1,0,1,1))-MAX(N$10:OFFSET(N$10,$M$5-1,0,1,1)))),"")</f>
        <v>0.64484679665738165</v>
      </c>
      <c r="O82" s="221">
        <f ca="1">IF(AND(ISNUMBER($L82),(ISNUMBER(O$5))),IF(O$7=1,(O26-MIN(O$10:OFFSET(O$10,$M$5-1,0,1,1)))/(MAX(O$10:OFFSET(O$10,$M$5-1,0,1,1))-MIN(O$10:OFFSET(O$10,$M$5-1,0,1,1))),(O26-MAX(O$10:OFFSET(O$10,$M$5-1,0,1,1)))/(MIN(O$10:OFFSET(O$10,$M$5-1,0,1,1))-MAX(O$10:OFFSET(O$10,$M$5-1,0,1,1)))),"")</f>
        <v>0.64285714285714279</v>
      </c>
      <c r="P82" s="221">
        <f ca="1">IF(AND(ISNUMBER($L82),(ISNUMBER(P$5))),IF(P$7=1,(P26-MIN(P$10:OFFSET(P$10,$M$5-1,0,1,1)))/(MAX(P$10:OFFSET(P$10,$M$5-1,0,1,1))-MIN(P$10:OFFSET(P$10,$M$5-1,0,1,1))),(P26-MAX(P$10:OFFSET(P$10,$M$5-1,0,1,1)))/(MIN(P$10:OFFSET(P$10,$M$5-1,0,1,1))-MAX(P$10:OFFSET(P$10,$M$5-1,0,1,1)))),"")</f>
        <v>0.82830626450115996</v>
      </c>
      <c r="Q82" s="221">
        <f ca="1">IF(AND(ISNUMBER($L82),(ISNUMBER(Q$5))),IF(Q$7=1,(Q26-MIN(Q$10:OFFSET(Q$10,$M$5-1,0,1,1)))/(MAX(Q$10:OFFSET(Q$10,$M$5-1,0,1,1))-MIN(Q$10:OFFSET(Q$10,$M$5-1,0,1,1))),(Q26-MAX(Q$10:OFFSET(Q$10,$M$5-1,0,1,1)))/(MIN(Q$10:OFFSET(Q$10,$M$5-1,0,1,1))-MAX(Q$10:OFFSET(Q$10,$M$5-1,0,1,1)))),"")</f>
        <v>0.55954631379962194</v>
      </c>
      <c r="R82" s="221">
        <f ca="1">IF(AND(ISNUMBER($L82),(ISNUMBER(R$5))),IF(R$7=1,(R26-MIN(R$10:OFFSET(R$10,$M$5-1,0,1,1)))/(MAX(R$10:OFFSET(R$10,$M$5-1,0,1,1))-MIN(R$10:OFFSET(R$10,$M$5-1,0,1,1))),(R26-MAX(R$10:OFFSET(R$10,$M$5-1,0,1,1)))/(MIN(R$10:OFFSET(R$10,$M$5-1,0,1,1))-MAX(R$10:OFFSET(R$10,$M$5-1,0,1,1)))),"")</f>
        <v>1</v>
      </c>
      <c r="S82" s="221">
        <f ca="1">IF(AND(ISNUMBER($L82),(ISNUMBER(S$5))),IF(S$7=1,(S26-MIN(S$10:OFFSET(S$10,$M$5-1,0,1,1)))/(MAX(S$10:OFFSET(S$10,$M$5-1,0,1,1))-MIN(S$10:OFFSET(S$10,$M$5-1,0,1,1))),(S26-MAX(S$10:OFFSET(S$10,$M$5-1,0,1,1)))/(MIN(S$10:OFFSET(S$10,$M$5-1,0,1,1))-MAX(S$10:OFFSET(S$10,$M$5-1,0,1,1)))),"")</f>
        <v>1</v>
      </c>
      <c r="T82" s="187"/>
      <c r="U82" s="199"/>
      <c r="V82" s="206">
        <f t="shared" si="8"/>
        <v>17</v>
      </c>
      <c r="W82" s="220" t="str">
        <f t="shared" si="4"/>
        <v>Norway</v>
      </c>
      <c r="X82" s="221">
        <f ca="1">IF(AND(ISNUMBER($V82),(ISNUMBER(X$5))),IF(X$7=1,(X26-MIN(X$10:OFFSET(X$10,$W$5-1,0,1,1)))/(MAX(X$10:OFFSET(X$10,$W$5-1,0,1,1))-MIN(X$10:OFFSET(X$10,$W$5-1,0,1,1))),(X26-MAX(X$10:OFFSET(X$10,$W$5-1,0,1,1)))/(MIN(X$10:OFFSET(X$10,$W$5-1,0,1,1))-MAX(X$10:OFFSET(X$10,$W$5-1,0,1,1)))),"")</f>
        <v>0.63460157932519745</v>
      </c>
      <c r="Y82" s="221">
        <f ca="1">IF(AND(ISNUMBER($V82),(ISNUMBER(Y$5))),IF(Y$7=1,(Y26-MIN(Y$10:OFFSET(Y$10,$W$5-1,0,1,1)))/(MAX(Y$10:OFFSET(Y$10,$W$5-1,0,1,1))-MIN(Y$10:OFFSET(Y$10,$W$5-1,0,1,1))),(Y26-MAX(Y$10:OFFSET(Y$10,$W$5-1,0,1,1)))/(MIN(Y$10:OFFSET(Y$10,$W$5-1,0,1,1))-MAX(Y$10:OFFSET(Y$10,$W$5-1,0,1,1)))),"")</f>
        <v>0.70924117205108939</v>
      </c>
      <c r="Z82" s="221">
        <f ca="1">IF(AND(ISNUMBER($V82),(ISNUMBER(Z$5))),IF(Z$7=1,(Z26-MIN(Z$10:OFFSET(Z$10,$W$5-1,0,1,1)))/(MAX(Z$10:OFFSET(Z$10,$W$5-1,0,1,1))-MIN(Z$10:OFFSET(Z$10,$W$5-1,0,1,1))),(Z26-MAX(Z$10:OFFSET(Z$10,$W$5-1,0,1,1)))/(MIN(Z$10:OFFSET(Z$10,$W$5-1,0,1,1))-MAX(Z$10:OFFSET(Z$10,$W$5-1,0,1,1)))),"")</f>
        <v>0.87025703794369647</v>
      </c>
      <c r="AA82" s="221">
        <f ca="1">IF(AND(ISNUMBER($V82),(ISNUMBER(AA$5))),IF(AA$7=1,(AA26-MIN(AA$10:OFFSET(AA$10,$W$5-1,0,1,1)))/(MAX(AA$10:OFFSET(AA$10,$W$5-1,0,1,1))-MIN(AA$10:OFFSET(AA$10,$W$5-1,0,1,1))),(AA26-MAX(AA$10:OFFSET(AA$10,$W$5-1,0,1,1)))/(MIN(AA$10:OFFSET(AA$10,$W$5-1,0,1,1))-MAX(AA$10:OFFSET(AA$10,$W$5-1,0,1,1)))),"")</f>
        <v>0.57253384912959371</v>
      </c>
      <c r="AB82" s="221">
        <f ca="1">IF(AND(ISNUMBER($V82),(ISNUMBER(AB$5))),IF(AB$7=1,(AB26-MIN(AB$10:OFFSET(AB$10,$W$5-1,0,1,1)))/(MAX(AB$10:OFFSET(AB$10,$W$5-1,0,1,1))-MIN(AB$10:OFFSET(AB$10,$W$5-1,0,1,1))),(AB26-MAX(AB$10:OFFSET(AB$10,$W$5-1,0,1,1)))/(MIN(AB$10:OFFSET(AB$10,$W$5-1,0,1,1))-MAX(AB$10:OFFSET(AB$10,$W$5-1,0,1,1)))),"")</f>
        <v>0.96416938110749173</v>
      </c>
      <c r="AC82" s="221">
        <f ca="1">IF(AND(ISNUMBER($V82),(ISNUMBER(AC$5))),IF(AC$7=1,(AC26-MIN(AC$10:OFFSET(AC$10,$W$5-1,0,1,1)))/(MAX(AC$10:OFFSET(AC$10,$W$5-1,0,1,1))-MIN(AC$10:OFFSET(AC$10,$W$5-1,0,1,1))),(AC26-MAX(AC$10:OFFSET(AC$10,$W$5-1,0,1,1)))/(MIN(AC$10:OFFSET(AC$10,$W$5-1,0,1,1))-MAX(AC$10:OFFSET(AC$10,$W$5-1,0,1,1)))),"")</f>
        <v>1</v>
      </c>
    </row>
    <row r="83" spans="1:29" ht="15" customHeight="1" thickBot="1">
      <c r="A83" s="199"/>
      <c r="B83" s="206">
        <f t="shared" si="5"/>
        <v>18</v>
      </c>
      <c r="C83" s="220" t="str">
        <f t="shared" si="6"/>
        <v>Russia</v>
      </c>
      <c r="D83" s="221">
        <f ca="1">IF(AND(ISNUMBER($B83),(ISNUMBER(D$5))),IF(D$7=1,(D27-MIN(D$10:OFFSET(D$10,$C$5-1,0,1,1)))/(MAX(D$10:OFFSET(D$10,$C$5-1,0,1,1))-MIN(D$10:OFFSET(D$10,$C$5-1,0,1,1))),(D27-MAX(D$10:OFFSET(D$10,$C$5-1,0,1,1)))/(MIN(D$10:OFFSET(D$10,$C$5-1,0,1,1))-MAX(D$10:OFFSET(D$10,$C$5-1,0,1,1)))),"")</f>
        <v>0.5125925925925926</v>
      </c>
      <c r="E83" s="221">
        <f ca="1">IF(AND(ISNUMBER($B83),(ISNUMBER(E$5))),IF(E$7=1,(E27-MIN(E$10:OFFSET(E$10,$C$5-1,0,1,1)))/(MAX(E$10:OFFSET(E$10,$C$5-1,0,1,1))-MIN(E$10:OFFSET(E$10,$C$5-1,0,1,1))),(E27-MAX(E$10:OFFSET(E$10,$C$5-1,0,1,1)))/(MIN(E$10:OFFSET(E$10,$C$5-1,0,1,1))-MAX(E$10:OFFSET(E$10,$C$5-1,0,1,1)))),"")</f>
        <v>0.50380517503805167</v>
      </c>
      <c r="F83" s="221">
        <f ca="1">IF(AND(ISNUMBER($B83),(ISNUMBER(F$5))),IF(F$7=1,(F27-MIN(F$10:OFFSET(F$10,$C$5-1,0,1,1)))/(MAX(F$10:OFFSET(F$10,$C$5-1,0,1,1))-MIN(F$10:OFFSET(F$10,$C$5-1,0,1,1))),(F27-MAX(F$10:OFFSET(F$10,$C$5-1,0,1,1)))/(MIN(F$10:OFFSET(F$10,$C$5-1,0,1,1))-MAX(F$10:OFFSET(F$10,$C$5-1,0,1,1)))),"")</f>
        <v>0.59132420091324212</v>
      </c>
      <c r="G83" s="221">
        <f ca="1">IF(AND(ISNUMBER($B83),(ISNUMBER(G$5))),IF(G$7=1,(G27-MIN(G$10:OFFSET(G$10,$C$5-1,0,1,1)))/(MAX(G$10:OFFSET(G$10,$C$5-1,0,1,1))-MIN(G$10:OFFSET(G$10,$C$5-1,0,1,1))),(G27-MAX(G$10:OFFSET(G$10,$C$5-1,0,1,1)))/(MIN(G$10:OFFSET(G$10,$C$5-1,0,1,1))-MAX(G$10:OFFSET(G$10,$C$5-1,0,1,1)))),"")</f>
        <v>0.67524752475247529</v>
      </c>
      <c r="H83" s="221">
        <f ca="1">IF(AND(ISNUMBER($B83),(ISNUMBER(H$5))),IF(H$7=1,(H27-MIN(H$10:OFFSET(H$10,$C$5-1,0,1,1)))/(MAX(H$10:OFFSET(H$10,$C$5-1,0,1,1))-MIN(H$10:OFFSET(H$10,$C$5-1,0,1,1))),(H27-MAX(H$10:OFFSET(H$10,$C$5-1,0,1,1)))/(MIN(H$10:OFFSET(H$10,$C$5-1,0,1,1))-MAX(H$10:OFFSET(H$10,$C$5-1,0,1,1)))),"")</f>
        <v>0.51239669421487599</v>
      </c>
      <c r="I83" s="221">
        <f ca="1">IF(AND(ISNUMBER($B83),(ISNUMBER(I$5))),IF(I$7=1,(I27-MIN(I$10:OFFSET(I$10,$C$5-1,0,1,1)))/(MAX(I$10:OFFSET(I$10,$C$5-1,0,1,1))-MIN(I$10:OFFSET(I$10,$C$5-1,0,1,1))),(I27-MAX(I$10:OFFSET(I$10,$C$5-1,0,1,1)))/(MIN(I$10:OFFSET(I$10,$C$5-1,0,1,1))-MAX(I$10:OFFSET(I$10,$C$5-1,0,1,1)))),"")</f>
        <v>0.13646532438478751</v>
      </c>
      <c r="J83" s="187"/>
      <c r="K83" s="199"/>
      <c r="L83" s="206">
        <f t="shared" si="7"/>
        <v>18</v>
      </c>
      <c r="M83" s="220" t="str">
        <f t="shared" si="3"/>
        <v>Russia</v>
      </c>
      <c r="N83" s="221">
        <f ca="1">IF(AND(ISNUMBER($L83),(ISNUMBER(N$5))),IF(N$7=1,(N27-MIN(N$10:OFFSET(N$10,$M$5-1,0,1,1)))/(MAX(N$10:OFFSET(N$10,$M$5-1,0,1,1))-MIN(N$10:OFFSET(N$10,$M$5-1,0,1,1))),(N27-MAX(N$10:OFFSET(N$10,$M$5-1,0,1,1)))/(MIN(N$10:OFFSET(N$10,$M$5-1,0,1,1))-MAX(N$10:OFFSET(N$10,$M$5-1,0,1,1)))),"")</f>
        <v>0.52924791086350975</v>
      </c>
      <c r="O83" s="221">
        <f ca="1">IF(AND(ISNUMBER($L83),(ISNUMBER(O$5))),IF(O$7=1,(O27-MIN(O$10:OFFSET(O$10,$M$5-1,0,1,1)))/(MAX(O$10:OFFSET(O$10,$M$5-1,0,1,1))-MIN(O$10:OFFSET(O$10,$M$5-1,0,1,1))),(O27-MAX(O$10:OFFSET(O$10,$M$5-1,0,1,1)))/(MIN(O$10:OFFSET(O$10,$M$5-1,0,1,1))-MAX(O$10:OFFSET(O$10,$M$5-1,0,1,1)))),"")</f>
        <v>0.60349854227405253</v>
      </c>
      <c r="P83" s="221">
        <f ca="1">IF(AND(ISNUMBER($L83),(ISNUMBER(P$5))),IF(P$7=1,(P27-MIN(P$10:OFFSET(P$10,$M$5-1,0,1,1)))/(MAX(P$10:OFFSET(P$10,$M$5-1,0,1,1))-MIN(P$10:OFFSET(P$10,$M$5-1,0,1,1))),(P27-MAX(P$10:OFFSET(P$10,$M$5-1,0,1,1)))/(MIN(P$10:OFFSET(P$10,$M$5-1,0,1,1))-MAX(P$10:OFFSET(P$10,$M$5-1,0,1,1)))),"")</f>
        <v>0.53132250580046403</v>
      </c>
      <c r="Q83" s="221">
        <f ca="1">IF(AND(ISNUMBER($L83),(ISNUMBER(Q$5))),IF(Q$7=1,(Q27-MIN(Q$10:OFFSET(Q$10,$M$5-1,0,1,1)))/(MAX(Q$10:OFFSET(Q$10,$M$5-1,0,1,1))-MIN(Q$10:OFFSET(Q$10,$M$5-1,0,1,1))),(Q27-MAX(Q$10:OFFSET(Q$10,$M$5-1,0,1,1)))/(MIN(Q$10:OFFSET(Q$10,$M$5-1,0,1,1))-MAX(Q$10:OFFSET(Q$10,$M$5-1,0,1,1)))),"")</f>
        <v>0.82230623818525517</v>
      </c>
      <c r="R83" s="221">
        <f ca="1">IF(AND(ISNUMBER($L83),(ISNUMBER(R$5))),IF(R$7=1,(R27-MIN(R$10:OFFSET(R$10,$M$5-1,0,1,1)))/(MAX(R$10:OFFSET(R$10,$M$5-1,0,1,1))-MIN(R$10:OFFSET(R$10,$M$5-1,0,1,1))),(R27-MAX(R$10:OFFSET(R$10,$M$5-1,0,1,1)))/(MIN(R$10:OFFSET(R$10,$M$5-1,0,1,1))-MAX(R$10:OFFSET(R$10,$M$5-1,0,1,1)))),"")</f>
        <v>0.64426877470355715</v>
      </c>
      <c r="S83" s="221">
        <f ca="1">IF(AND(ISNUMBER($L83),(ISNUMBER(S$5))),IF(S$7=1,(S27-MIN(S$10:OFFSET(S$10,$M$5-1,0,1,1)))/(MAX(S$10:OFFSET(S$10,$M$5-1,0,1,1))-MIN(S$10:OFFSET(S$10,$M$5-1,0,1,1))),(S27-MAX(S$10:OFFSET(S$10,$M$5-1,0,1,1)))/(MIN(S$10:OFFSET(S$10,$M$5-1,0,1,1))-MAX(S$10:OFFSET(S$10,$M$5-1,0,1,1)))),"")</f>
        <v>8.9834515366430195E-2</v>
      </c>
      <c r="T83" s="187"/>
      <c r="U83" s="199"/>
      <c r="V83" s="206">
        <f t="shared" si="8"/>
        <v>18</v>
      </c>
      <c r="W83" s="220" t="str">
        <f t="shared" si="4"/>
        <v>Russia</v>
      </c>
      <c r="X83" s="221">
        <f ca="1">IF(AND(ISNUMBER($V83),(ISNUMBER(X$5))),IF(X$7=1,(X27-MIN(X$10:OFFSET(X$10,$W$5-1,0,1,1)))/(MAX(X$10:OFFSET(X$10,$W$5-1,0,1,1))-MIN(X$10:OFFSET(X$10,$W$5-1,0,1,1))),(X27-MAX(X$10:OFFSET(X$10,$W$5-1,0,1,1)))/(MIN(X$10:OFFSET(X$10,$W$5-1,0,1,1))-MAX(X$10:OFFSET(X$10,$W$5-1,0,1,1)))),"")</f>
        <v>0.52117731514716426</v>
      </c>
      <c r="Y83" s="221">
        <f ca="1">IF(AND(ISNUMBER($V83),(ISNUMBER(Y$5))),IF(Y$7=1,(Y27-MIN(Y$10:OFFSET(Y$10,$W$5-1,0,1,1)))/(MAX(Y$10:OFFSET(Y$10,$W$5-1,0,1,1))-MIN(Y$10:OFFSET(Y$10,$W$5-1,0,1,1))),(Y27-MAX(Y$10:OFFSET(Y$10,$W$5-1,0,1,1)))/(MIN(Y$10:OFFSET(Y$10,$W$5-1,0,1,1))-MAX(Y$10:OFFSET(Y$10,$W$5-1,0,1,1)))),"")</f>
        <v>0.55972952667167541</v>
      </c>
      <c r="Z83" s="221">
        <f ca="1">IF(AND(ISNUMBER($V83),(ISNUMBER(Z$5))),IF(Z$7=1,(Z27-MIN(Z$10:OFFSET(Z$10,$W$5-1,0,1,1)))/(MAX(Z$10:OFFSET(Z$10,$W$5-1,0,1,1))-MIN(Z$10:OFFSET(Z$10,$W$5-1,0,1,1))),(Z27-MAX(Z$10:OFFSET(Z$10,$W$5-1,0,1,1)))/(MIN(Z$10:OFFSET(Z$10,$W$5-1,0,1,1))-MAX(Z$10:OFFSET(Z$10,$W$5-1,0,1,1)))),"")</f>
        <v>0.54957160342717271</v>
      </c>
      <c r="AA83" s="221">
        <f ca="1">IF(AND(ISNUMBER($V83),(ISNUMBER(AA$5))),IF(AA$7=1,(AA27-MIN(AA$10:OFFSET(AA$10,$W$5-1,0,1,1)))/(MAX(AA$10:OFFSET(AA$10,$W$5-1,0,1,1))-MIN(AA$10:OFFSET(AA$10,$W$5-1,0,1,1))),(AA27-MAX(AA$10:OFFSET(AA$10,$W$5-1,0,1,1)))/(MIN(AA$10:OFFSET(AA$10,$W$5-1,0,1,1))-MAX(AA$10:OFFSET(AA$10,$W$5-1,0,1,1)))),"")</f>
        <v>0.75048355899419716</v>
      </c>
      <c r="AB83" s="221">
        <f ca="1">IF(AND(ISNUMBER($V83),(ISNUMBER(AB$5))),IF(AB$7=1,(AB27-MIN(AB$10:OFFSET(AB$10,$W$5-1,0,1,1)))/(MAX(AB$10:OFFSET(AB$10,$W$5-1,0,1,1))-MIN(AB$10:OFFSET(AB$10,$W$5-1,0,1,1))),(AB27-MAX(AB$10:OFFSET(AB$10,$W$5-1,0,1,1)))/(MIN(AB$10:OFFSET(AB$10,$W$5-1,0,1,1))-MAX(AB$10:OFFSET(AB$10,$W$5-1,0,1,1)))),"")</f>
        <v>0.62323561346362644</v>
      </c>
      <c r="AC83" s="221">
        <f ca="1">IF(AND(ISNUMBER($V83),(ISNUMBER(AC$5))),IF(AC$7=1,(AC27-MIN(AC$10:OFFSET(AC$10,$W$5-1,0,1,1)))/(MAX(AC$10:OFFSET(AC$10,$W$5-1,0,1,1))-MIN(AC$10:OFFSET(AC$10,$W$5-1,0,1,1))),(AC27-MAX(AC$10:OFFSET(AC$10,$W$5-1,0,1,1)))/(MIN(AC$10:OFFSET(AC$10,$W$5-1,0,1,1))-MAX(AC$10:OFFSET(AC$10,$W$5-1,0,1,1)))),"")</f>
        <v>0.10867052023121379</v>
      </c>
    </row>
    <row r="84" spans="1:29" ht="15" customHeight="1" thickBot="1">
      <c r="A84" s="199"/>
      <c r="B84" s="206">
        <f t="shared" si="5"/>
        <v>19</v>
      </c>
      <c r="C84" s="220" t="str">
        <f t="shared" si="6"/>
        <v>San Marino</v>
      </c>
      <c r="D84" s="221">
        <f ca="1">IF(AND(ISNUMBER($B84),(ISNUMBER(D$5))),IF(D$7=1,(D28-MIN(D$10:OFFSET(D$10,$C$5-1,0,1,1)))/(MAX(D$10:OFFSET(D$10,$C$5-1,0,1,1))-MIN(D$10:OFFSET(D$10,$C$5-1,0,1,1))),(D28-MAX(D$10:OFFSET(D$10,$C$5-1,0,1,1)))/(MIN(D$10:OFFSET(D$10,$C$5-1,0,1,1))-MAX(D$10:OFFSET(D$10,$C$5-1,0,1,1)))),"")</f>
        <v>0.14666666666666664</v>
      </c>
      <c r="E84" s="221">
        <f ca="1">IF(AND(ISNUMBER($B84),(ISNUMBER(E$5))),IF(E$7=1,(E28-MIN(E$10:OFFSET(E$10,$C$5-1,0,1,1)))/(MAX(E$10:OFFSET(E$10,$C$5-1,0,1,1))-MIN(E$10:OFFSET(E$10,$C$5-1,0,1,1))),(E28-MAX(E$10:OFFSET(E$10,$C$5-1,0,1,1)))/(MIN(E$10:OFFSET(E$10,$C$5-1,0,1,1))-MAX(E$10:OFFSET(E$10,$C$5-1,0,1,1)))),"")</f>
        <v>0.22831050228310501</v>
      </c>
      <c r="F84" s="221">
        <f ca="1">IF(AND(ISNUMBER($B84),(ISNUMBER(F$5))),IF(F$7=1,(F28-MIN(F$10:OFFSET(F$10,$C$5-1,0,1,1)))/(MAX(F$10:OFFSET(F$10,$C$5-1,0,1,1))-MIN(F$10:OFFSET(F$10,$C$5-1,0,1,1))),(F28-MAX(F$10:OFFSET(F$10,$C$5-1,0,1,1)))/(MIN(F$10:OFFSET(F$10,$C$5-1,0,1,1))-MAX(F$10:OFFSET(F$10,$C$5-1,0,1,1)))),"")</f>
        <v>0</v>
      </c>
      <c r="G84" s="221">
        <f ca="1">IF(AND(ISNUMBER($B84),(ISNUMBER(G$5))),IF(G$7=1,(G28-MIN(G$10:OFFSET(G$10,$C$5-1,0,1,1)))/(MAX(G$10:OFFSET(G$10,$C$5-1,0,1,1))-MIN(G$10:OFFSET(G$10,$C$5-1,0,1,1))),(G28-MAX(G$10:OFFSET(G$10,$C$5-1,0,1,1)))/(MIN(G$10:OFFSET(G$10,$C$5-1,0,1,1))-MAX(G$10:OFFSET(G$10,$C$5-1,0,1,1)))),"")</f>
        <v>0.25940594059405941</v>
      </c>
      <c r="H84" s="221">
        <f ca="1">IF(AND(ISNUMBER($B84),(ISNUMBER(H$5))),IF(H$7=1,(H28-MIN(H$10:OFFSET(H$10,$C$5-1,0,1,1)))/(MAX(H$10:OFFSET(H$10,$C$5-1,0,1,1))-MIN(H$10:OFFSET(H$10,$C$5-1,0,1,1))),(H28-MAX(H$10:OFFSET(H$10,$C$5-1,0,1,1)))/(MIN(H$10:OFFSET(H$10,$C$5-1,0,1,1))-MAX(H$10:OFFSET(H$10,$C$5-1,0,1,1)))),"")</f>
        <v>0</v>
      </c>
      <c r="I84" s="221">
        <f ca="1">IF(AND(ISNUMBER($B84),(ISNUMBER(I$5))),IF(I$7=1,(I28-MIN(I$10:OFFSET(I$10,$C$5-1,0,1,1)))/(MAX(I$10:OFFSET(I$10,$C$5-1,0,1,1))-MIN(I$10:OFFSET(I$10,$C$5-1,0,1,1))),(I28-MAX(I$10:OFFSET(I$10,$C$5-1,0,1,1)))/(MIN(I$10:OFFSET(I$10,$C$5-1,0,1,1))-MAX(I$10:OFFSET(I$10,$C$5-1,0,1,1)))),"")</f>
        <v>0.69351230425055921</v>
      </c>
      <c r="J84" s="187"/>
      <c r="K84" s="199"/>
      <c r="L84" s="206">
        <f t="shared" si="7"/>
        <v>19</v>
      </c>
      <c r="M84" s="220" t="str">
        <f t="shared" si="3"/>
        <v>San Marino</v>
      </c>
      <c r="N84" s="221">
        <f ca="1">IF(AND(ISNUMBER($L84),(ISNUMBER(N$5))),IF(N$7=1,(N28-MIN(N$10:OFFSET(N$10,$M$5-1,0,1,1)))/(MAX(N$10:OFFSET(N$10,$M$5-1,0,1,1))-MIN(N$10:OFFSET(N$10,$M$5-1,0,1,1))),(N28-MAX(N$10:OFFSET(N$10,$M$5-1,0,1,1)))/(MIN(N$10:OFFSET(N$10,$M$5-1,0,1,1))-MAX(N$10:OFFSET(N$10,$M$5-1,0,1,1)))),"")</f>
        <v>0.13788300835654593</v>
      </c>
      <c r="O84" s="221">
        <f ca="1">IF(AND(ISNUMBER($L84),(ISNUMBER(O$5))),IF(O$7=1,(O28-MIN(O$10:OFFSET(O$10,$M$5-1,0,1,1)))/(MAX(O$10:OFFSET(O$10,$M$5-1,0,1,1))-MIN(O$10:OFFSET(O$10,$M$5-1,0,1,1))),(O28-MAX(O$10:OFFSET(O$10,$M$5-1,0,1,1)))/(MIN(O$10:OFFSET(O$10,$M$5-1,0,1,1))-MAX(O$10:OFFSET(O$10,$M$5-1,0,1,1)))),"")</f>
        <v>0.27988338192419826</v>
      </c>
      <c r="P84" s="221">
        <f ca="1">IF(AND(ISNUMBER($L84),(ISNUMBER(P$5))),IF(P$7=1,(P28-MIN(P$10:OFFSET(P$10,$M$5-1,0,1,1)))/(MAX(P$10:OFFSET(P$10,$M$5-1,0,1,1))-MIN(P$10:OFFSET(P$10,$M$5-1,0,1,1))),(P28-MAX(P$10:OFFSET(P$10,$M$5-1,0,1,1)))/(MIN(P$10:OFFSET(P$10,$M$5-1,0,1,1))-MAX(P$10:OFFSET(P$10,$M$5-1,0,1,1)))),"")</f>
        <v>0.34338747099767974</v>
      </c>
      <c r="Q84" s="221">
        <f ca="1">IF(AND(ISNUMBER($L84),(ISNUMBER(Q$5))),IF(Q$7=1,(Q28-MIN(Q$10:OFFSET(Q$10,$M$5-1,0,1,1)))/(MAX(Q$10:OFFSET(Q$10,$M$5-1,0,1,1))-MIN(Q$10:OFFSET(Q$10,$M$5-1,0,1,1))),(Q28-MAX(Q$10:OFFSET(Q$10,$M$5-1,0,1,1)))/(MIN(Q$10:OFFSET(Q$10,$M$5-1,0,1,1))-MAX(Q$10:OFFSET(Q$10,$M$5-1,0,1,1)))),"")</f>
        <v>0.24952741020793953</v>
      </c>
      <c r="R84" s="221">
        <f ca="1">IF(AND(ISNUMBER($L84),(ISNUMBER(R$5))),IF(R$7=1,(R28-MIN(R$10:OFFSET(R$10,$M$5-1,0,1,1)))/(MAX(R$10:OFFSET(R$10,$M$5-1,0,1,1))-MIN(R$10:OFFSET(R$10,$M$5-1,0,1,1))),(R28-MAX(R$10:OFFSET(R$10,$M$5-1,0,1,1)))/(MIN(R$10:OFFSET(R$10,$M$5-1,0,1,1))-MAX(R$10:OFFSET(R$10,$M$5-1,0,1,1)))),"")</f>
        <v>0</v>
      </c>
      <c r="S84" s="221">
        <f ca="1">IF(AND(ISNUMBER($L84),(ISNUMBER(S$5))),IF(S$7=1,(S28-MIN(S$10:OFFSET(S$10,$M$5-1,0,1,1)))/(MAX(S$10:OFFSET(S$10,$M$5-1,0,1,1))-MIN(S$10:OFFSET(S$10,$M$5-1,0,1,1))),(S28-MAX(S$10:OFFSET(S$10,$M$5-1,0,1,1)))/(MIN(S$10:OFFSET(S$10,$M$5-1,0,1,1))-MAX(S$10:OFFSET(S$10,$M$5-1,0,1,1)))),"")</f>
        <v>0.66193853427895988</v>
      </c>
      <c r="T84" s="187"/>
      <c r="U84" s="199"/>
      <c r="V84" s="206">
        <f t="shared" si="8"/>
        <v>19</v>
      </c>
      <c r="W84" s="220" t="str">
        <f t="shared" si="4"/>
        <v>San Marino</v>
      </c>
      <c r="X84" s="221">
        <f ca="1">IF(AND(ISNUMBER($V84),(ISNUMBER(X$5))),IF(X$7=1,(X28-MIN(X$10:OFFSET(X$10,$W$5-1,0,1,1)))/(MAX(X$10:OFFSET(X$10,$W$5-1,0,1,1))-MIN(X$10:OFFSET(X$10,$W$5-1,0,1,1))),(X28-MAX(X$10:OFFSET(X$10,$W$5-1,0,1,1)))/(MIN(X$10:OFFSET(X$10,$W$5-1,0,1,1))-MAX(X$10:OFFSET(X$10,$W$5-1,0,1,1)))),"")</f>
        <v>0.14213926776740843</v>
      </c>
      <c r="Y84" s="221">
        <f ca="1">IF(AND(ISNUMBER($V84),(ISNUMBER(Y$5))),IF(Y$7=1,(Y28-MIN(Y$10:OFFSET(Y$10,$W$5-1,0,1,1)))/(MAX(Y$10:OFFSET(Y$10,$W$5-1,0,1,1))-MIN(Y$10:OFFSET(Y$10,$W$5-1,0,1,1))),(Y28-MAX(Y$10:OFFSET(Y$10,$W$5-1,0,1,1)))/(MIN(Y$10:OFFSET(Y$10,$W$5-1,0,1,1))-MAX(Y$10:OFFSET(Y$10,$W$5-1,0,1,1)))),"")</f>
        <v>0.25694966190833957</v>
      </c>
      <c r="Z84" s="221">
        <f ca="1">IF(AND(ISNUMBER($V84),(ISNUMBER(Z$5))),IF(Z$7=1,(Z28-MIN(Z$10:OFFSET(Z$10,$W$5-1,0,1,1)))/(MAX(Z$10:OFFSET(Z$10,$W$5-1,0,1,1))-MIN(Z$10:OFFSET(Z$10,$W$5-1,0,1,1))),(Z28-MAX(Z$10:OFFSET(Z$10,$W$5-1,0,1,1)))/(MIN(Z$10:OFFSET(Z$10,$W$5-1,0,1,1))-MAX(Z$10:OFFSET(Z$10,$W$5-1,0,1,1)))),"")</f>
        <v>0.13341493268053864</v>
      </c>
      <c r="AA84" s="221">
        <f ca="1">IF(AND(ISNUMBER($V84),(ISNUMBER(AA$5))),IF(AA$7=1,(AA28-MIN(AA$10:OFFSET(AA$10,$W$5-1,0,1,1)))/(MAX(AA$10:OFFSET(AA$10,$W$5-1,0,1,1))-MIN(AA$10:OFFSET(AA$10,$W$5-1,0,1,1))),(AA28-MAX(AA$10:OFFSET(AA$10,$W$5-1,0,1,1)))/(MIN(AA$10:OFFSET(AA$10,$W$5-1,0,1,1))-MAX(AA$10:OFFSET(AA$10,$W$5-1,0,1,1)))),"")</f>
        <v>0.25435203094777564</v>
      </c>
      <c r="AB84" s="221">
        <f ca="1">IF(AND(ISNUMBER($V84),(ISNUMBER(AB$5))),IF(AB$7=1,(AB28-MIN(AB$10:OFFSET(AB$10,$W$5-1,0,1,1)))/(MAX(AB$10:OFFSET(AB$10,$W$5-1,0,1,1))-MIN(AB$10:OFFSET(AB$10,$W$5-1,0,1,1))),(AB28-MAX(AB$10:OFFSET(AB$10,$W$5-1,0,1,1)))/(MIN(AB$10:OFFSET(AB$10,$W$5-1,0,1,1))-MAX(AB$10:OFFSET(AB$10,$W$5-1,0,1,1)))),"")</f>
        <v>0</v>
      </c>
      <c r="AC84" s="221">
        <f ca="1">IF(AND(ISNUMBER($V84),(ISNUMBER(AC$5))),IF(AC$7=1,(AC28-MIN(AC$10:OFFSET(AC$10,$W$5-1,0,1,1)))/(MAX(AC$10:OFFSET(AC$10,$W$5-1,0,1,1))-MIN(AC$10:OFFSET(AC$10,$W$5-1,0,1,1))),(AC28-MAX(AC$10:OFFSET(AC$10,$W$5-1,0,1,1)))/(MIN(AC$10:OFFSET(AC$10,$W$5-1,0,1,1))-MAX(AC$10:OFFSET(AC$10,$W$5-1,0,1,1)))),"")</f>
        <v>0.67630057803468202</v>
      </c>
    </row>
    <row r="85" spans="1:29" ht="15" customHeight="1" thickBot="1">
      <c r="A85" s="199"/>
      <c r="B85" s="206">
        <f t="shared" si="5"/>
        <v>20</v>
      </c>
      <c r="C85" s="220" t="str">
        <f t="shared" si="6"/>
        <v>Serbia</v>
      </c>
      <c r="D85" s="221">
        <f ca="1">IF(AND(ISNUMBER($B85),(ISNUMBER(D$5))),IF(D$7=1,(D29-MIN(D$10:OFFSET(D$10,$C$5-1,0,1,1)))/(MAX(D$10:OFFSET(D$10,$C$5-1,0,1,1))-MIN(D$10:OFFSET(D$10,$C$5-1,0,1,1))),(D29-MAX(D$10:OFFSET(D$10,$C$5-1,0,1,1)))/(MIN(D$10:OFFSET(D$10,$C$5-1,0,1,1))-MAX(D$10:OFFSET(D$10,$C$5-1,0,1,1)))),"")</f>
        <v>0.54074074074074074</v>
      </c>
      <c r="E85" s="221">
        <f ca="1">IF(AND(ISNUMBER($B85),(ISNUMBER(E$5))),IF(E$7=1,(E29-MIN(E$10:OFFSET(E$10,$C$5-1,0,1,1)))/(MAX(E$10:OFFSET(E$10,$C$5-1,0,1,1))-MIN(E$10:OFFSET(E$10,$C$5-1,0,1,1))),(E29-MAX(E$10:OFFSET(E$10,$C$5-1,0,1,1)))/(MIN(E$10:OFFSET(E$10,$C$5-1,0,1,1))-MAX(E$10:OFFSET(E$10,$C$5-1,0,1,1)))),"")</f>
        <v>0.40182648401826487</v>
      </c>
      <c r="F85" s="221">
        <f ca="1">IF(AND(ISNUMBER($B85),(ISNUMBER(F$5))),IF(F$7=1,(F29-MIN(F$10:OFFSET(F$10,$C$5-1,0,1,1)))/(MAX(F$10:OFFSET(F$10,$C$5-1,0,1,1))-MIN(F$10:OFFSET(F$10,$C$5-1,0,1,1))),(F29-MAX(F$10:OFFSET(F$10,$C$5-1,0,1,1)))/(MIN(F$10:OFFSET(F$10,$C$5-1,0,1,1))-MAX(F$10:OFFSET(F$10,$C$5-1,0,1,1)))),"")</f>
        <v>0.28310502283105027</v>
      </c>
      <c r="G85" s="221">
        <f ca="1">IF(AND(ISNUMBER($B85),(ISNUMBER(G$5))),IF(G$7=1,(G29-MIN(G$10:OFFSET(G$10,$C$5-1,0,1,1)))/(MAX(G$10:OFFSET(G$10,$C$5-1,0,1,1))-MIN(G$10:OFFSET(G$10,$C$5-1,0,1,1))),(G29-MAX(G$10:OFFSET(G$10,$C$5-1,0,1,1)))/(MIN(G$10:OFFSET(G$10,$C$5-1,0,1,1))-MAX(G$10:OFFSET(G$10,$C$5-1,0,1,1)))),"")</f>
        <v>0.60792079207920802</v>
      </c>
      <c r="H85" s="221">
        <f ca="1">IF(AND(ISNUMBER($B85),(ISNUMBER(H$5))),IF(H$7=1,(H29-MIN(H$10:OFFSET(H$10,$C$5-1,0,1,1)))/(MAX(H$10:OFFSET(H$10,$C$5-1,0,1,1))-MIN(H$10:OFFSET(H$10,$C$5-1,0,1,1))),(H29-MAX(H$10:OFFSET(H$10,$C$5-1,0,1,1)))/(MIN(H$10:OFFSET(H$10,$C$5-1,0,1,1))-MAX(H$10:OFFSET(H$10,$C$5-1,0,1,1)))),"")</f>
        <v>0.50206611570247928</v>
      </c>
      <c r="I85" s="221">
        <f ca="1">IF(AND(ISNUMBER($B85),(ISNUMBER(I$5))),IF(I$7=1,(I29-MIN(I$10:OFFSET(I$10,$C$5-1,0,1,1)))/(MAX(I$10:OFFSET(I$10,$C$5-1,0,1,1))-MIN(I$10:OFFSET(I$10,$C$5-1,0,1,1))),(I29-MAX(I$10:OFFSET(I$10,$C$5-1,0,1,1)))/(MIN(I$10:OFFSET(I$10,$C$5-1,0,1,1))-MAX(I$10:OFFSET(I$10,$C$5-1,0,1,1)))),"")</f>
        <v>0.34451901565995519</v>
      </c>
      <c r="J85" s="187"/>
      <c r="K85" s="199"/>
      <c r="L85" s="206">
        <f t="shared" si="7"/>
        <v>20</v>
      </c>
      <c r="M85" s="220" t="str">
        <f t="shared" si="3"/>
        <v>Serbia</v>
      </c>
      <c r="N85" s="221">
        <f ca="1">IF(AND(ISNUMBER($L85),(ISNUMBER(N$5))),IF(N$7=1,(N29-MIN(N$10:OFFSET(N$10,$M$5-1,0,1,1)))/(MAX(N$10:OFFSET(N$10,$M$5-1,0,1,1))-MIN(N$10:OFFSET(N$10,$M$5-1,0,1,1))),(N29-MAX(N$10:OFFSET(N$10,$M$5-1,0,1,1)))/(MIN(N$10:OFFSET(N$10,$M$5-1,0,1,1))-MAX(N$10:OFFSET(N$10,$M$5-1,0,1,1)))),"")</f>
        <v>0.50835654596100277</v>
      </c>
      <c r="O85" s="221">
        <f ca="1">IF(AND(ISNUMBER($L85),(ISNUMBER(O$5))),IF(O$7=1,(O29-MIN(O$10:OFFSET(O$10,$M$5-1,0,1,1)))/(MAX(O$10:OFFSET(O$10,$M$5-1,0,1,1))-MIN(O$10:OFFSET(O$10,$M$5-1,0,1,1))),(O29-MAX(O$10:OFFSET(O$10,$M$5-1,0,1,1)))/(MIN(O$10:OFFSET(O$10,$M$5-1,0,1,1))-MAX(O$10:OFFSET(O$10,$M$5-1,0,1,1)))),"")</f>
        <v>0.38483965014577265</v>
      </c>
      <c r="P85" s="221">
        <f ca="1">IF(AND(ISNUMBER($L85),(ISNUMBER(P$5))),IF(P$7=1,(P29-MIN(P$10:OFFSET(P$10,$M$5-1,0,1,1)))/(MAX(P$10:OFFSET(P$10,$M$5-1,0,1,1))-MIN(P$10:OFFSET(P$10,$M$5-1,0,1,1))),(P29-MAX(P$10:OFFSET(P$10,$M$5-1,0,1,1)))/(MIN(P$10:OFFSET(P$10,$M$5-1,0,1,1))-MAX(P$10:OFFSET(P$10,$M$5-1,0,1,1)))),"")</f>
        <v>0.33642691415313208</v>
      </c>
      <c r="Q85" s="221">
        <f ca="1">IF(AND(ISNUMBER($L85),(ISNUMBER(Q$5))),IF(Q$7=1,(Q29-MIN(Q$10:OFFSET(Q$10,$M$5-1,0,1,1)))/(MAX(Q$10:OFFSET(Q$10,$M$5-1,0,1,1))-MIN(Q$10:OFFSET(Q$10,$M$5-1,0,1,1))),(Q29-MAX(Q$10:OFFSET(Q$10,$M$5-1,0,1,1)))/(MIN(Q$10:OFFSET(Q$10,$M$5-1,0,1,1))-MAX(Q$10:OFFSET(Q$10,$M$5-1,0,1,1)))),"")</f>
        <v>0.67107750472589789</v>
      </c>
      <c r="R85" s="221">
        <f ca="1">IF(AND(ISNUMBER($L85),(ISNUMBER(R$5))),IF(R$7=1,(R29-MIN(R$10:OFFSET(R$10,$M$5-1,0,1,1)))/(MAX(R$10:OFFSET(R$10,$M$5-1,0,1,1))-MIN(R$10:OFFSET(R$10,$M$5-1,0,1,1))),(R29-MAX(R$10:OFFSET(R$10,$M$5-1,0,1,1)))/(MIN(R$10:OFFSET(R$10,$M$5-1,0,1,1))-MAX(R$10:OFFSET(R$10,$M$5-1,0,1,1)))),"")</f>
        <v>0.64426877470355715</v>
      </c>
      <c r="S85" s="221">
        <f ca="1">IF(AND(ISNUMBER($L85),(ISNUMBER(S$5))),IF(S$7=1,(S29-MIN(S$10:OFFSET(S$10,$M$5-1,0,1,1)))/(MAX(S$10:OFFSET(S$10,$M$5-1,0,1,1))-MIN(S$10:OFFSET(S$10,$M$5-1,0,1,1))),(S29-MAX(S$10:OFFSET(S$10,$M$5-1,0,1,1)))/(MIN(S$10:OFFSET(S$10,$M$5-1,0,1,1))-MAX(S$10:OFFSET(S$10,$M$5-1,0,1,1)))),"")</f>
        <v>0.27895981087470445</v>
      </c>
      <c r="T85" s="187"/>
      <c r="U85" s="199"/>
      <c r="V85" s="206">
        <f t="shared" si="8"/>
        <v>20</v>
      </c>
      <c r="W85" s="220" t="str">
        <f t="shared" si="4"/>
        <v>Serbia</v>
      </c>
      <c r="X85" s="221">
        <f ca="1">IF(AND(ISNUMBER($V85),(ISNUMBER(X$5))),IF(X$7=1,(X29-MIN(X$10:OFFSET(X$10,$W$5-1,0,1,1)))/(MAX(X$10:OFFSET(X$10,$W$5-1,0,1,1))-MIN(X$10:OFFSET(X$10,$W$5-1,0,1,1))),(X29-MAX(X$10:OFFSET(X$10,$W$5-1,0,1,1)))/(MIN(X$10:OFFSET(X$10,$W$5-1,0,1,1))-MAX(X$10:OFFSET(X$10,$W$5-1,0,1,1)))),"")</f>
        <v>0.52404881550610194</v>
      </c>
      <c r="Y85" s="221">
        <f ca="1">IF(AND(ISNUMBER($V85),(ISNUMBER(Y$5))),IF(Y$7=1,(Y29-MIN(Y$10:OFFSET(Y$10,$W$5-1,0,1,1)))/(MAX(Y$10:OFFSET(Y$10,$W$5-1,0,1,1))-MIN(Y$10:OFFSET(Y$10,$W$5-1,0,1,1))),(Y29-MAX(Y$10:OFFSET(Y$10,$W$5-1,0,1,1)))/(MIN(Y$10:OFFSET(Y$10,$W$5-1,0,1,1))-MAX(Y$10:OFFSET(Y$10,$W$5-1,0,1,1)))),"")</f>
        <v>0.39669421487603312</v>
      </c>
      <c r="Z85" s="221">
        <f ca="1">IF(AND(ISNUMBER($V85),(ISNUMBER(Z$5))),IF(Z$7=1,(Z29-MIN(Z$10:OFFSET(Z$10,$W$5-1,0,1,1)))/(MAX(Z$10:OFFSET(Z$10,$W$5-1,0,1,1))-MIN(Z$10:OFFSET(Z$10,$W$5-1,0,1,1))),(Z29-MAX(Z$10:OFFSET(Z$10,$W$5-1,0,1,1)))/(MIN(Z$10:OFFSET(Z$10,$W$5-1,0,1,1))-MAX(Z$10:OFFSET(Z$10,$W$5-1,0,1,1)))),"")</f>
        <v>0.2815177478580172</v>
      </c>
      <c r="AA85" s="221">
        <f ca="1">IF(AND(ISNUMBER($V85),(ISNUMBER(AA$5))),IF(AA$7=1,(AA29-MIN(AA$10:OFFSET(AA$10,$W$5-1,0,1,1)))/(MAX(AA$10:OFFSET(AA$10,$W$5-1,0,1,1))-MIN(AA$10:OFFSET(AA$10,$W$5-1,0,1,1))),(AA29-MAX(AA$10:OFFSET(AA$10,$W$5-1,0,1,1)))/(MIN(AA$10:OFFSET(AA$10,$W$5-1,0,1,1))-MAX(AA$10:OFFSET(AA$10,$W$5-1,0,1,1)))),"")</f>
        <v>0.64023210831721455</v>
      </c>
      <c r="AB85" s="221">
        <f ca="1">IF(AND(ISNUMBER($V85),(ISNUMBER(AB$5))),IF(AB$7=1,(AB29-MIN(AB$10:OFFSET(AB$10,$W$5-1,0,1,1)))/(MAX(AB$10:OFFSET(AB$10,$W$5-1,0,1,1))-MIN(AB$10:OFFSET(AB$10,$W$5-1,0,1,1))),(AB29-MAX(AB$10:OFFSET(AB$10,$W$5-1,0,1,1)))/(MIN(AB$10:OFFSET(AB$10,$W$5-1,0,1,1))-MAX(AB$10:OFFSET(AB$10,$W$5-1,0,1,1)))),"")</f>
        <v>0.61780673181324641</v>
      </c>
      <c r="AC85" s="221">
        <f ca="1">IF(AND(ISNUMBER($V85),(ISNUMBER(AC$5))),IF(AC$7=1,(AC29-MIN(AC$10:OFFSET(AC$10,$W$5-1,0,1,1)))/(MAX(AC$10:OFFSET(AC$10,$W$5-1,0,1,1))-MIN(AC$10:OFFSET(AC$10,$W$5-1,0,1,1))),(AC29-MAX(AC$10:OFFSET(AC$10,$W$5-1,0,1,1)))/(MIN(AC$10:OFFSET(AC$10,$W$5-1,0,1,1))-MAX(AC$10:OFFSET(AC$10,$W$5-1,0,1,1)))),"")</f>
        <v>0.30867052023121394</v>
      </c>
    </row>
    <row r="86" spans="1:29" ht="15" customHeight="1" thickBot="1">
      <c r="A86" s="199"/>
      <c r="B86" s="206">
        <f t="shared" si="5"/>
        <v>21</v>
      </c>
      <c r="C86" s="220" t="str">
        <f t="shared" si="6"/>
        <v>Switzerland</v>
      </c>
      <c r="D86" s="221">
        <f ca="1">IF(AND(ISNUMBER($B86),(ISNUMBER(D$5))),IF(D$7=1,(D30-MIN(D$10:OFFSET(D$10,$C$5-1,0,1,1)))/(MAX(D$10:OFFSET(D$10,$C$5-1,0,1,1))-MIN(D$10:OFFSET(D$10,$C$5-1,0,1,1))),(D30-MAX(D$10:OFFSET(D$10,$C$5-1,0,1,1)))/(MIN(D$10:OFFSET(D$10,$C$5-1,0,1,1))-MAX(D$10:OFFSET(D$10,$C$5-1,0,1,1)))),"")</f>
        <v>0.6325925925925926</v>
      </c>
      <c r="E86" s="221">
        <f ca="1">IF(AND(ISNUMBER($B86),(ISNUMBER(E$5))),IF(E$7=1,(E30-MIN(E$10:OFFSET(E$10,$C$5-1,0,1,1)))/(MAX(E$10:OFFSET(E$10,$C$5-1,0,1,1))-MIN(E$10:OFFSET(E$10,$C$5-1,0,1,1))),(E30-MAX(E$10:OFFSET(E$10,$C$5-1,0,1,1)))/(MIN(E$10:OFFSET(E$10,$C$5-1,0,1,1))-MAX(E$10:OFFSET(E$10,$C$5-1,0,1,1)))),"")</f>
        <v>0.54946727549467267</v>
      </c>
      <c r="F86" s="221">
        <f ca="1">IF(AND(ISNUMBER($B86),(ISNUMBER(F$5))),IF(F$7=1,(F30-MIN(F$10:OFFSET(F$10,$C$5-1,0,1,1)))/(MAX(F$10:OFFSET(F$10,$C$5-1,0,1,1))-MIN(F$10:OFFSET(F$10,$C$5-1,0,1,1))),(F30-MAX(F$10:OFFSET(F$10,$C$5-1,0,1,1)))/(MIN(F$10:OFFSET(F$10,$C$5-1,0,1,1))-MAX(F$10:OFFSET(F$10,$C$5-1,0,1,1)))),"")</f>
        <v>0.97031963470319638</v>
      </c>
      <c r="G86" s="221">
        <f ca="1">IF(AND(ISNUMBER($B86),(ISNUMBER(G$5))),IF(G$7=1,(G30-MIN(G$10:OFFSET(G$10,$C$5-1,0,1,1)))/(MAX(G$10:OFFSET(G$10,$C$5-1,0,1,1))-MIN(G$10:OFFSET(G$10,$C$5-1,0,1,1))),(G30-MAX(G$10:OFFSET(G$10,$C$5-1,0,1,1)))/(MIN(G$10:OFFSET(G$10,$C$5-1,0,1,1))-MAX(G$10:OFFSET(G$10,$C$5-1,0,1,1)))),"")</f>
        <v>0.70099009900990095</v>
      </c>
      <c r="H86" s="221">
        <f ca="1">IF(AND(ISNUMBER($B86),(ISNUMBER(H$5))),IF(H$7=1,(H30-MIN(H$10:OFFSET(H$10,$C$5-1,0,1,1)))/(MAX(H$10:OFFSET(H$10,$C$5-1,0,1,1))-MIN(H$10:OFFSET(H$10,$C$5-1,0,1,1))),(H30-MAX(H$10:OFFSET(H$10,$C$5-1,0,1,1)))/(MIN(H$10:OFFSET(H$10,$C$5-1,0,1,1))-MAX(H$10:OFFSET(H$10,$C$5-1,0,1,1)))),"")</f>
        <v>0.85743801652892548</v>
      </c>
      <c r="I86" s="221">
        <f ca="1">IF(AND(ISNUMBER($B86),(ISNUMBER(I$5))),IF(I$7=1,(I30-MIN(I$10:OFFSET(I$10,$C$5-1,0,1,1)))/(MAX(I$10:OFFSET(I$10,$C$5-1,0,1,1))-MIN(I$10:OFFSET(I$10,$C$5-1,0,1,1))),(I30-MAX(I$10:OFFSET(I$10,$C$5-1,0,1,1)))/(MIN(I$10:OFFSET(I$10,$C$5-1,0,1,1))-MAX(I$10:OFFSET(I$10,$C$5-1,0,1,1)))),"")</f>
        <v>0.90380313199105156</v>
      </c>
      <c r="J86" s="187"/>
      <c r="K86" s="199"/>
      <c r="L86" s="206">
        <f t="shared" si="7"/>
        <v>21</v>
      </c>
      <c r="M86" s="220" t="str">
        <f t="shared" si="3"/>
        <v>Switzerland</v>
      </c>
      <c r="N86" s="221">
        <f ca="1">IF(AND(ISNUMBER($L86),(ISNUMBER(N$5))),IF(N$7=1,(N30-MIN(N$10:OFFSET(N$10,$M$5-1,0,1,1)))/(MAX(N$10:OFFSET(N$10,$M$5-1,0,1,1))-MIN(N$10:OFFSET(N$10,$M$5-1,0,1,1))),(N30-MAX(N$10:OFFSET(N$10,$M$5-1,0,1,1)))/(MIN(N$10:OFFSET(N$10,$M$5-1,0,1,1))-MAX(N$10:OFFSET(N$10,$M$5-1,0,1,1)))),"")</f>
        <v>0.59470752089136492</v>
      </c>
      <c r="O86" s="221">
        <f ca="1">IF(AND(ISNUMBER($L86),(ISNUMBER(O$5))),IF(O$7=1,(O30-MIN(O$10:OFFSET(O$10,$M$5-1,0,1,1)))/(MAX(O$10:OFFSET(O$10,$M$5-1,0,1,1))-MIN(O$10:OFFSET(O$10,$M$5-1,0,1,1))),(O30-MAX(O$10:OFFSET(O$10,$M$5-1,0,1,1)))/(MIN(O$10:OFFSET(O$10,$M$5-1,0,1,1))-MAX(O$10:OFFSET(O$10,$M$5-1,0,1,1)))),"")</f>
        <v>0.58746355685131191</v>
      </c>
      <c r="P86" s="221">
        <f ca="1">IF(AND(ISNUMBER($L86),(ISNUMBER(P$5))),IF(P$7=1,(P30-MIN(P$10:OFFSET(P$10,$M$5-1,0,1,1)))/(MAX(P$10:OFFSET(P$10,$M$5-1,0,1,1))-MIN(P$10:OFFSET(P$10,$M$5-1,0,1,1))),(P30-MAX(P$10:OFFSET(P$10,$M$5-1,0,1,1)))/(MIN(P$10:OFFSET(P$10,$M$5-1,0,1,1))-MAX(P$10:OFFSET(P$10,$M$5-1,0,1,1)))),"")</f>
        <v>1</v>
      </c>
      <c r="Q86" s="221">
        <f ca="1">IF(AND(ISNUMBER($L86),(ISNUMBER(Q$5))),IF(Q$7=1,(Q30-MIN(Q$10:OFFSET(Q$10,$M$5-1,0,1,1)))/(MAX(Q$10:OFFSET(Q$10,$M$5-1,0,1,1))-MIN(Q$10:OFFSET(Q$10,$M$5-1,0,1,1))),(Q30-MAX(Q$10:OFFSET(Q$10,$M$5-1,0,1,1)))/(MIN(Q$10:OFFSET(Q$10,$M$5-1,0,1,1))-MAX(Q$10:OFFSET(Q$10,$M$5-1,0,1,1)))),"")</f>
        <v>0.67107750472589789</v>
      </c>
      <c r="R86" s="221">
        <f ca="1">IF(AND(ISNUMBER($L86),(ISNUMBER(R$5))),IF(R$7=1,(R30-MIN(R$10:OFFSET(R$10,$M$5-1,0,1,1)))/(MAX(R$10:OFFSET(R$10,$M$5-1,0,1,1))-MIN(R$10:OFFSET(R$10,$M$5-1,0,1,1))),(R30-MAX(R$10:OFFSET(R$10,$M$5-1,0,1,1)))/(MIN(R$10:OFFSET(R$10,$M$5-1,0,1,1))-MAX(R$10:OFFSET(R$10,$M$5-1,0,1,1)))),"")</f>
        <v>0.80830039525691699</v>
      </c>
      <c r="S86" s="221">
        <f ca="1">IF(AND(ISNUMBER($L86),(ISNUMBER(S$5))),IF(S$7=1,(S30-MIN(S$10:OFFSET(S$10,$M$5-1,0,1,1)))/(MAX(S$10:OFFSET(S$10,$M$5-1,0,1,1))-MIN(S$10:OFFSET(S$10,$M$5-1,0,1,1))),(S30-MAX(S$10:OFFSET(S$10,$M$5-1,0,1,1)))/(MIN(S$10:OFFSET(S$10,$M$5-1,0,1,1))-MAX(S$10:OFFSET(S$10,$M$5-1,0,1,1)))),"")</f>
        <v>0.89598108747044902</v>
      </c>
      <c r="T86" s="187"/>
      <c r="U86" s="199"/>
      <c r="V86" s="206">
        <f t="shared" si="8"/>
        <v>21</v>
      </c>
      <c r="W86" s="220" t="str">
        <f t="shared" si="4"/>
        <v>Switzerland</v>
      </c>
      <c r="X86" s="221">
        <f ca="1">IF(AND(ISNUMBER($V86),(ISNUMBER(X$5))),IF(X$7=1,(X30-MIN(X$10:OFFSET(X$10,$W$5-1,0,1,1)))/(MAX(X$10:OFFSET(X$10,$W$5-1,0,1,1))-MIN(X$10:OFFSET(X$10,$W$5-1,0,1,1))),(X30-MAX(X$10:OFFSET(X$10,$W$5-1,0,1,1)))/(MIN(X$10:OFFSET(X$10,$W$5-1,0,1,1))-MAX(X$10:OFFSET(X$10,$W$5-1,0,1,1)))),"")</f>
        <v>0.61306532663316582</v>
      </c>
      <c r="Y86" s="221">
        <f ca="1">IF(AND(ISNUMBER($V86),(ISNUMBER(Y$5))),IF(Y$7=1,(Y30-MIN(Y$10:OFFSET(Y$10,$W$5-1,0,1,1)))/(MAX(Y$10:OFFSET(Y$10,$W$5-1,0,1,1))-MIN(Y$10:OFFSET(Y$10,$W$5-1,0,1,1))),(Y30-MAX(Y$10:OFFSET(Y$10,$W$5-1,0,1,1)))/(MIN(Y$10:OFFSET(Y$10,$W$5-1,0,1,1))-MAX(Y$10:OFFSET(Y$10,$W$5-1,0,1,1)))),"")</f>
        <v>0.57400450788880542</v>
      </c>
      <c r="Z86" s="221">
        <f ca="1">IF(AND(ISNUMBER($V86),(ISNUMBER(Z$5))),IF(Z$7=1,(Z30-MIN(Z$10:OFFSET(Z$10,$W$5-1,0,1,1)))/(MAX(Z$10:OFFSET(Z$10,$W$5-1,0,1,1))-MIN(Z$10:OFFSET(Z$10,$W$5-1,0,1,1))),(Z30-MAX(Z$10:OFFSET(Z$10,$W$5-1,0,1,1)))/(MIN(Z$10:OFFSET(Z$10,$W$5-1,0,1,1))-MAX(Z$10:OFFSET(Z$10,$W$5-1,0,1,1)))),"")</f>
        <v>1</v>
      </c>
      <c r="AA86" s="221">
        <f ca="1">IF(AND(ISNUMBER($V86),(ISNUMBER(AA$5))),IF(AA$7=1,(AA30-MIN(AA$10:OFFSET(AA$10,$W$5-1,0,1,1)))/(MAX(AA$10:OFFSET(AA$10,$W$5-1,0,1,1))-MIN(AA$10:OFFSET(AA$10,$W$5-1,0,1,1))),(AA30-MAX(AA$10:OFFSET(AA$10,$W$5-1,0,1,1)))/(MIN(AA$10:OFFSET(AA$10,$W$5-1,0,1,1))-MAX(AA$10:OFFSET(AA$10,$W$5-1,0,1,1)))),"")</f>
        <v>0.68568665377176019</v>
      </c>
      <c r="AB86" s="221">
        <f ca="1">IF(AND(ISNUMBER($V86),(ISNUMBER(AB$5))),IF(AB$7=1,(AB30-MIN(AB$10:OFFSET(AB$10,$W$5-1,0,1,1)))/(MAX(AB$10:OFFSET(AB$10,$W$5-1,0,1,1))-MIN(AB$10:OFFSET(AB$10,$W$5-1,0,1,1))),(AB30-MAX(AB$10:OFFSET(AB$10,$W$5-1,0,1,1)))/(MIN(AB$10:OFFSET(AB$10,$W$5-1,0,1,1))-MAX(AB$10:OFFSET(AB$10,$W$5-1,0,1,1)))),"")</f>
        <v>0.89467969598262753</v>
      </c>
      <c r="AC86" s="221">
        <f ca="1">IF(AND(ISNUMBER($V86),(ISNUMBER(AC$5))),IF(AC$7=1,(AC30-MIN(AC$10:OFFSET(AC$10,$W$5-1,0,1,1)))/(MAX(AC$10:OFFSET(AC$10,$W$5-1,0,1,1))-MIN(AC$10:OFFSET(AC$10,$W$5-1,0,1,1))),(AC30-MAX(AC$10:OFFSET(AC$10,$W$5-1,0,1,1)))/(MIN(AC$10:OFFSET(AC$10,$W$5-1,0,1,1))-MAX(AC$10:OFFSET(AC$10,$W$5-1,0,1,1)))),"")</f>
        <v>0.89942196531791918</v>
      </c>
    </row>
    <row r="87" spans="1:29" ht="15" customHeight="1" thickBot="1">
      <c r="A87" s="199"/>
      <c r="B87" s="206">
        <f t="shared" si="5"/>
        <v>22</v>
      </c>
      <c r="C87" s="220" t="str">
        <f t="shared" si="6"/>
        <v>Tajikistan</v>
      </c>
      <c r="D87" s="221">
        <f ca="1">IF(AND(ISNUMBER($B87),(ISNUMBER(D$5))),IF(D$7=1,(D31-MIN(D$10:OFFSET(D$10,$C$5-1,0,1,1)))/(MAX(D$10:OFFSET(D$10,$C$5-1,0,1,1))-MIN(D$10:OFFSET(D$10,$C$5-1,0,1,1))),(D31-MAX(D$10:OFFSET(D$10,$C$5-1,0,1,1)))/(MIN(D$10:OFFSET(D$10,$C$5-1,0,1,1))-MAX(D$10:OFFSET(D$10,$C$5-1,0,1,1)))),"")</f>
        <v>0.34518518518518521</v>
      </c>
      <c r="E87" s="221">
        <f ca="1">IF(AND(ISNUMBER($B87),(ISNUMBER(E$5))),IF(E$7=1,(E31-MIN(E$10:OFFSET(E$10,$C$5-1,0,1,1)))/(MAX(E$10:OFFSET(E$10,$C$5-1,0,1,1))-MIN(E$10:OFFSET(E$10,$C$5-1,0,1,1))),(E31-MAX(E$10:OFFSET(E$10,$C$5-1,0,1,1)))/(MIN(E$10:OFFSET(E$10,$C$5-1,0,1,1))-MAX(E$10:OFFSET(E$10,$C$5-1,0,1,1)))),"")</f>
        <v>5.4794520547945195E-2</v>
      </c>
      <c r="F87" s="221">
        <f ca="1">IF(AND(ISNUMBER($B87),(ISNUMBER(F$5))),IF(F$7=1,(F31-MIN(F$10:OFFSET(F$10,$C$5-1,0,1,1)))/(MAX(F$10:OFFSET(F$10,$C$5-1,0,1,1))-MIN(F$10:OFFSET(F$10,$C$5-1,0,1,1))),(F31-MAX(F$10:OFFSET(F$10,$C$5-1,0,1,1)))/(MIN(F$10:OFFSET(F$10,$C$5-1,0,1,1))-MAX(F$10:OFFSET(F$10,$C$5-1,0,1,1)))),"")</f>
        <v>0.13013698630136986</v>
      </c>
      <c r="G87" s="221">
        <f ca="1">IF(AND(ISNUMBER($B87),(ISNUMBER(G$5))),IF(G$7=1,(G31-MIN(G$10:OFFSET(G$10,$C$5-1,0,1,1)))/(MAX(G$10:OFFSET(G$10,$C$5-1,0,1,1))-MIN(G$10:OFFSET(G$10,$C$5-1,0,1,1))),(G31-MAX(G$10:OFFSET(G$10,$C$5-1,0,1,1)))/(MIN(G$10:OFFSET(G$10,$C$5-1,0,1,1))-MAX(G$10:OFFSET(G$10,$C$5-1,0,1,1)))),"")</f>
        <v>0.18613861386138611</v>
      </c>
      <c r="H87" s="221">
        <f ca="1">IF(AND(ISNUMBER($B87),(ISNUMBER(H$5))),IF(H$7=1,(H31-MIN(H$10:OFFSET(H$10,$C$5-1,0,1,1)))/(MAX(H$10:OFFSET(H$10,$C$5-1,0,1,1))-MIN(H$10:OFFSET(H$10,$C$5-1,0,1,1))),(H31-MAX(H$10:OFFSET(H$10,$C$5-1,0,1,1)))/(MIN(H$10:OFFSET(H$10,$C$5-1,0,1,1))-MAX(H$10:OFFSET(H$10,$C$5-1,0,1,1)))),"")</f>
        <v>0.26446280991735532</v>
      </c>
      <c r="I87" s="221">
        <f ca="1">IF(AND(ISNUMBER($B87),(ISNUMBER(I$5))),IF(I$7=1,(I31-MIN(I$10:OFFSET(I$10,$C$5-1,0,1,1)))/(MAX(I$10:OFFSET(I$10,$C$5-1,0,1,1))-MIN(I$10:OFFSET(I$10,$C$5-1,0,1,1))),(I31-MAX(I$10:OFFSET(I$10,$C$5-1,0,1,1)))/(MIN(I$10:OFFSET(I$10,$C$5-1,0,1,1))-MAX(I$10:OFFSET(I$10,$C$5-1,0,1,1)))),"")</f>
        <v>0</v>
      </c>
      <c r="J87" s="187"/>
      <c r="K87" s="199"/>
      <c r="L87" s="206">
        <f t="shared" si="7"/>
        <v>22</v>
      </c>
      <c r="M87" s="220" t="str">
        <f t="shared" si="3"/>
        <v>Tajikistan</v>
      </c>
      <c r="N87" s="221">
        <f ca="1">IF(AND(ISNUMBER($L87),(ISNUMBER(N$5))),IF(N$7=1,(N31-MIN(N$10:OFFSET(N$10,$M$5-1,0,1,1)))/(MAX(N$10:OFFSET(N$10,$M$5-1,0,1,1))-MIN(N$10:OFFSET(N$10,$M$5-1,0,1,1))),(N31-MAX(N$10:OFFSET(N$10,$M$5-1,0,1,1)))/(MIN(N$10:OFFSET(N$10,$M$5-1,0,1,1))-MAX(N$10:OFFSET(N$10,$M$5-1,0,1,1)))),"")</f>
        <v>0.20334261838440115</v>
      </c>
      <c r="O87" s="221">
        <f ca="1">IF(AND(ISNUMBER($L87),(ISNUMBER(O$5))),IF(O$7=1,(O31-MIN(O$10:OFFSET(O$10,$M$5-1,0,1,1)))/(MAX(O$10:OFFSET(O$10,$M$5-1,0,1,1))-MIN(O$10:OFFSET(O$10,$M$5-1,0,1,1))),(O31-MAX(O$10:OFFSET(O$10,$M$5-1,0,1,1)))/(MIN(O$10:OFFSET(O$10,$M$5-1,0,1,1))-MAX(O$10:OFFSET(O$10,$M$5-1,0,1,1)))),"")</f>
        <v>0.12244897959183672</v>
      </c>
      <c r="P87" s="221">
        <f ca="1">IF(AND(ISNUMBER($L87),(ISNUMBER(P$5))),IF(P$7=1,(P31-MIN(P$10:OFFSET(P$10,$M$5-1,0,1,1)))/(MAX(P$10:OFFSET(P$10,$M$5-1,0,1,1))-MIN(P$10:OFFSET(P$10,$M$5-1,0,1,1))),(P31-MAX(P$10:OFFSET(P$10,$M$5-1,0,1,1)))/(MIN(P$10:OFFSET(P$10,$M$5-1,0,1,1))-MAX(P$10:OFFSET(P$10,$M$5-1,0,1,1)))),"")</f>
        <v>0.17401392111368907</v>
      </c>
      <c r="Q87" s="221">
        <f ca="1">IF(AND(ISNUMBER($L87),(ISNUMBER(Q$5))),IF(Q$7=1,(Q31-MIN(Q$10:OFFSET(Q$10,$M$5-1,0,1,1)))/(MAX(Q$10:OFFSET(Q$10,$M$5-1,0,1,1))-MIN(Q$10:OFFSET(Q$10,$M$5-1,0,1,1))),(Q31-MAX(Q$10:OFFSET(Q$10,$M$5-1,0,1,1)))/(MIN(Q$10:OFFSET(Q$10,$M$5-1,0,1,1))-MAX(Q$10:OFFSET(Q$10,$M$5-1,0,1,1)))),"")</f>
        <v>0.17769376181474481</v>
      </c>
      <c r="R87" s="221">
        <f ca="1">IF(AND(ISNUMBER($L87),(ISNUMBER(R$5))),IF(R$7=1,(R31-MIN(R$10:OFFSET(R$10,$M$5-1,0,1,1)))/(MAX(R$10:OFFSET(R$10,$M$5-1,0,1,1))-MIN(R$10:OFFSET(R$10,$M$5-1,0,1,1))),(R31-MAX(R$10:OFFSET(R$10,$M$5-1,0,1,1)))/(MIN(R$10:OFFSET(R$10,$M$5-1,0,1,1))-MAX(R$10:OFFSET(R$10,$M$5-1,0,1,1)))),"")</f>
        <v>0.44071146245059284</v>
      </c>
      <c r="S87" s="221">
        <f ca="1">IF(AND(ISNUMBER($L87),(ISNUMBER(S$5))),IF(S$7=1,(S31-MIN(S$10:OFFSET(S$10,$M$5-1,0,1,1)))/(MAX(S$10:OFFSET(S$10,$M$5-1,0,1,1))-MIN(S$10:OFFSET(S$10,$M$5-1,0,1,1))),(S31-MAX(S$10:OFFSET(S$10,$M$5-1,0,1,1)))/(MIN(S$10:OFFSET(S$10,$M$5-1,0,1,1))-MAX(S$10:OFFSET(S$10,$M$5-1,0,1,1)))),"")</f>
        <v>3.0732860520094496E-2</v>
      </c>
      <c r="T87" s="187"/>
      <c r="U87" s="199"/>
      <c r="V87" s="206">
        <f t="shared" si="8"/>
        <v>22</v>
      </c>
      <c r="W87" s="220" t="str">
        <f t="shared" si="4"/>
        <v>Tajikistan</v>
      </c>
      <c r="X87" s="221">
        <f ca="1">IF(AND(ISNUMBER($V87),(ISNUMBER(X$5))),IF(X$7=1,(X31-MIN(X$10:OFFSET(X$10,$W$5-1,0,1,1)))/(MAX(X$10:OFFSET(X$10,$W$5-1,0,1,1))-MIN(X$10:OFFSET(X$10,$W$5-1,0,1,1))),(X31-MAX(X$10:OFFSET(X$10,$W$5-1,0,1,1)))/(MIN(X$10:OFFSET(X$10,$W$5-1,0,1,1))-MAX(X$10:OFFSET(X$10,$W$5-1,0,1,1)))),"")</f>
        <v>0.27207465900933242</v>
      </c>
      <c r="Y87" s="221">
        <f ca="1">IF(AND(ISNUMBER($V87),(ISNUMBER(Y$5))),IF(Y$7=1,(Y31-MIN(Y$10:OFFSET(Y$10,$W$5-1,0,1,1)))/(MAX(Y$10:OFFSET(Y$10,$W$5-1,0,1,1))-MIN(Y$10:OFFSET(Y$10,$W$5-1,0,1,1))),(Y31-MAX(Y$10:OFFSET(Y$10,$W$5-1,0,1,1)))/(MIN(Y$10:OFFSET(Y$10,$W$5-1,0,1,1))-MAX(Y$10:OFFSET(Y$10,$W$5-1,0,1,1)))),"")</f>
        <v>9.0157776108189328E-2</v>
      </c>
      <c r="Z87" s="221">
        <f ca="1">IF(AND(ISNUMBER($V87),(ISNUMBER(Z$5))),IF(Z$7=1,(Z31-MIN(Z$10:OFFSET(Z$10,$W$5-1,0,1,1)))/(MAX(Z$10:OFFSET(Z$10,$W$5-1,0,1,1))-MIN(Z$10:OFFSET(Z$10,$W$5-1,0,1,1))),(Z31-MAX(Z$10:OFFSET(Z$10,$W$5-1,0,1,1)))/(MIN(Z$10:OFFSET(Z$10,$W$5-1,0,1,1))-MAX(Z$10:OFFSET(Z$10,$W$5-1,0,1,1)))),"")</f>
        <v>0.11383108935128516</v>
      </c>
      <c r="AA87" s="221">
        <f ca="1">IF(AND(ISNUMBER($V87),(ISNUMBER(AA$5))),IF(AA$7=1,(AA31-MIN(AA$10:OFFSET(AA$10,$W$5-1,0,1,1)))/(MAX(AA$10:OFFSET(AA$10,$W$5-1,0,1,1))-MIN(AA$10:OFFSET(AA$10,$W$5-1,0,1,1))),(AA31-MAX(AA$10:OFFSET(AA$10,$W$5-1,0,1,1)))/(MIN(AA$10:OFFSET(AA$10,$W$5-1,0,1,1))-MAX(AA$10:OFFSET(AA$10,$W$5-1,0,1,1)))),"")</f>
        <v>0.18181818181818185</v>
      </c>
      <c r="AB87" s="221">
        <f ca="1">IF(AND(ISNUMBER($V87),(ISNUMBER(AB$5))),IF(AB$7=1,(AB31-MIN(AB$10:OFFSET(AB$10,$W$5-1,0,1,1)))/(MAX(AB$10:OFFSET(AB$10,$W$5-1,0,1,1))-MIN(AB$10:OFFSET(AB$10,$W$5-1,0,1,1))),(AB31-MAX(AB$10:OFFSET(AB$10,$W$5-1,0,1,1)))/(MIN(AB$10:OFFSET(AB$10,$W$5-1,0,1,1))-MAX(AB$10:OFFSET(AB$10,$W$5-1,0,1,1)))),"")</f>
        <v>0.38110749185667747</v>
      </c>
      <c r="AC87" s="221">
        <f ca="1">IF(AND(ISNUMBER($V87),(ISNUMBER(AC$5))),IF(AC$7=1,(AC31-MIN(AC$10:OFFSET(AC$10,$W$5-1,0,1,1)))/(MAX(AC$10:OFFSET(AC$10,$W$5-1,0,1,1))-MIN(AC$10:OFFSET(AC$10,$W$5-1,0,1,1))),(AC31-MAX(AC$10:OFFSET(AC$10,$W$5-1,0,1,1)))/(MIN(AC$10:OFFSET(AC$10,$W$5-1,0,1,1))-MAX(AC$10:OFFSET(AC$10,$W$5-1,0,1,1)))),"")</f>
        <v>9.248554913294767E-3</v>
      </c>
    </row>
    <row r="88" spans="1:29" ht="15" customHeight="1" thickBot="1">
      <c r="A88" s="199"/>
      <c r="B88" s="206">
        <f t="shared" si="5"/>
        <v>23</v>
      </c>
      <c r="C88" s="220" t="str">
        <f t="shared" si="6"/>
        <v>Turkey</v>
      </c>
      <c r="D88" s="221">
        <f ca="1">IF(AND(ISNUMBER($B88),(ISNUMBER(D$5))),IF(D$7=1,(D32-MIN(D$10:OFFSET(D$10,$C$5-1,0,1,1)))/(MAX(D$10:OFFSET(D$10,$C$5-1,0,1,1))-MIN(D$10:OFFSET(D$10,$C$5-1,0,1,1))),(D32-MAX(D$10:OFFSET(D$10,$C$5-1,0,1,1)))/(MIN(D$10:OFFSET(D$10,$C$5-1,0,1,1))-MAX(D$10:OFFSET(D$10,$C$5-1,0,1,1)))),"")</f>
        <v>0.63407407407407401</v>
      </c>
      <c r="E88" s="221">
        <f ca="1">IF(AND(ISNUMBER($B88),(ISNUMBER(E$5))),IF(E$7=1,(E32-MIN(E$10:OFFSET(E$10,$C$5-1,0,1,1)))/(MAX(E$10:OFFSET(E$10,$C$5-1,0,1,1))-MIN(E$10:OFFSET(E$10,$C$5-1,0,1,1))),(E32-MAX(E$10:OFFSET(E$10,$C$5-1,0,1,1)))/(MIN(E$10:OFFSET(E$10,$C$5-1,0,1,1))-MAX(E$10:OFFSET(E$10,$C$5-1,0,1,1)))),"")</f>
        <v>0.50076103500761027</v>
      </c>
      <c r="F88" s="221">
        <f ca="1">IF(AND(ISNUMBER($B88),(ISNUMBER(F$5))),IF(F$7=1,(F32-MIN(F$10:OFFSET(F$10,$C$5-1,0,1,1)))/(MAX(F$10:OFFSET(F$10,$C$5-1,0,1,1))-MIN(F$10:OFFSET(F$10,$C$5-1,0,1,1))),(F32-MAX(F$10:OFFSET(F$10,$C$5-1,0,1,1)))/(MIN(F$10:OFFSET(F$10,$C$5-1,0,1,1))-MAX(F$10:OFFSET(F$10,$C$5-1,0,1,1)))),"")</f>
        <v>0.40182648401826482</v>
      </c>
      <c r="G88" s="221">
        <f ca="1">IF(AND(ISNUMBER($B88),(ISNUMBER(G$5))),IF(G$7=1,(G32-MIN(G$10:OFFSET(G$10,$C$5-1,0,1,1)))/(MAX(G$10:OFFSET(G$10,$C$5-1,0,1,1))-MIN(G$10:OFFSET(G$10,$C$5-1,0,1,1))),(G32-MAX(G$10:OFFSET(G$10,$C$5-1,0,1,1)))/(MIN(G$10:OFFSET(G$10,$C$5-1,0,1,1))-MAX(G$10:OFFSET(G$10,$C$5-1,0,1,1)))),"")</f>
        <v>0.66534653465346538</v>
      </c>
      <c r="H88" s="221">
        <f ca="1">IF(AND(ISNUMBER($B88),(ISNUMBER(H$5))),IF(H$7=1,(H32-MIN(H$10:OFFSET(H$10,$C$5-1,0,1,1)))/(MAX(H$10:OFFSET(H$10,$C$5-1,0,1,1))-MIN(H$10:OFFSET(H$10,$C$5-1,0,1,1))),(H32-MAX(H$10:OFFSET(H$10,$C$5-1,0,1,1)))/(MIN(H$10:OFFSET(H$10,$C$5-1,0,1,1))-MAX(H$10:OFFSET(H$10,$C$5-1,0,1,1)))),"")</f>
        <v>0.68388429752066116</v>
      </c>
      <c r="I88" s="221">
        <f ca="1">IF(AND(ISNUMBER($B88),(ISNUMBER(I$5))),IF(I$7=1,(I32-MIN(I$10:OFFSET(I$10,$C$5-1,0,1,1)))/(MAX(I$10:OFFSET(I$10,$C$5-1,0,1,1))-MIN(I$10:OFFSET(I$10,$C$5-1,0,1,1))),(I32-MAX(I$10:OFFSET(I$10,$C$5-1,0,1,1)))/(MIN(I$10:OFFSET(I$10,$C$5-1,0,1,1))-MAX(I$10:OFFSET(I$10,$C$5-1,0,1,1)))),"")</f>
        <v>0.31991051454138691</v>
      </c>
      <c r="J88" s="187"/>
      <c r="K88" s="199"/>
      <c r="L88" s="206">
        <f t="shared" si="7"/>
        <v>23</v>
      </c>
      <c r="M88" s="220" t="str">
        <f t="shared" si="3"/>
        <v>Turkey</v>
      </c>
      <c r="N88" s="221">
        <f ca="1">IF(AND(ISNUMBER($L88),(ISNUMBER(N$5))),IF(N$7=1,(N32-MIN(N$10:OFFSET(N$10,$M$5-1,0,1,1)))/(MAX(N$10:OFFSET(N$10,$M$5-1,0,1,1))-MIN(N$10:OFFSET(N$10,$M$5-1,0,1,1))),(N32-MAX(N$10:OFFSET(N$10,$M$5-1,0,1,1)))/(MIN(N$10:OFFSET(N$10,$M$5-1,0,1,1))-MAX(N$10:OFFSET(N$10,$M$5-1,0,1,1)))),"")</f>
        <v>0.60724233983286913</v>
      </c>
      <c r="O88" s="221">
        <f ca="1">IF(AND(ISNUMBER($L88),(ISNUMBER(O$5))),IF(O$7=1,(O32-MIN(O$10:OFFSET(O$10,$M$5-1,0,1,1)))/(MAX(O$10:OFFSET(O$10,$M$5-1,0,1,1))-MIN(O$10:OFFSET(O$10,$M$5-1,0,1,1))),(O32-MAX(O$10:OFFSET(O$10,$M$5-1,0,1,1)))/(MIN(O$10:OFFSET(O$10,$M$5-1,0,1,1))-MAX(O$10:OFFSET(O$10,$M$5-1,0,1,1)))),"")</f>
        <v>0.5714285714285714</v>
      </c>
      <c r="P88" s="221">
        <f ca="1">IF(AND(ISNUMBER($L88),(ISNUMBER(P$5))),IF(P$7=1,(P32-MIN(P$10:OFFSET(P$10,$M$5-1,0,1,1)))/(MAX(P$10:OFFSET(P$10,$M$5-1,0,1,1))-MIN(P$10:OFFSET(P$10,$M$5-1,0,1,1))),(P32-MAX(P$10:OFFSET(P$10,$M$5-1,0,1,1)))/(MIN(P$10:OFFSET(P$10,$M$5-1,0,1,1))-MAX(P$10:OFFSET(P$10,$M$5-1,0,1,1)))),"")</f>
        <v>0.34338747099767974</v>
      </c>
      <c r="Q88" s="221">
        <f ca="1">IF(AND(ISNUMBER($L88),(ISNUMBER(Q$5))),IF(Q$7=1,(Q32-MIN(Q$10:OFFSET(Q$10,$M$5-1,0,1,1)))/(MAX(Q$10:OFFSET(Q$10,$M$5-1,0,1,1))-MIN(Q$10:OFFSET(Q$10,$M$5-1,0,1,1))),(Q32-MAX(Q$10:OFFSET(Q$10,$M$5-1,0,1,1)))/(MIN(Q$10:OFFSET(Q$10,$M$5-1,0,1,1))-MAX(Q$10:OFFSET(Q$10,$M$5-1,0,1,1)))),"")</f>
        <v>0.72778827977315697</v>
      </c>
      <c r="R88" s="221">
        <f ca="1">IF(AND(ISNUMBER($L88),(ISNUMBER(R$5))),IF(R$7=1,(R32-MIN(R$10:OFFSET(R$10,$M$5-1,0,1,1)))/(MAX(R$10:OFFSET(R$10,$M$5-1,0,1,1))-MIN(R$10:OFFSET(R$10,$M$5-1,0,1,1))),(R32-MAX(R$10:OFFSET(R$10,$M$5-1,0,1,1)))/(MIN(R$10:OFFSET(R$10,$M$5-1,0,1,1))-MAX(R$10:OFFSET(R$10,$M$5-1,0,1,1)))),"")</f>
        <v>0.80830039525691699</v>
      </c>
      <c r="S88" s="221">
        <f ca="1">IF(AND(ISNUMBER($L88),(ISNUMBER(S$5))),IF(S$7=1,(S32-MIN(S$10:OFFSET(S$10,$M$5-1,0,1,1)))/(MAX(S$10:OFFSET(S$10,$M$5-1,0,1,1))-MIN(S$10:OFFSET(S$10,$M$5-1,0,1,1))),(S32-MAX(S$10:OFFSET(S$10,$M$5-1,0,1,1)))/(MIN(S$10:OFFSET(S$10,$M$5-1,0,1,1))-MAX(S$10:OFFSET(S$10,$M$5-1,0,1,1)))),"")</f>
        <v>0.24822695035460995</v>
      </c>
      <c r="T88" s="187"/>
      <c r="U88" s="199"/>
      <c r="V88" s="206">
        <f t="shared" si="8"/>
        <v>23</v>
      </c>
      <c r="W88" s="220" t="str">
        <f t="shared" si="4"/>
        <v>Turkey</v>
      </c>
      <c r="X88" s="221">
        <f ca="1">IF(AND(ISNUMBER($V88),(ISNUMBER(X$5))),IF(X$7=1,(X32-MIN(X$10:OFFSET(X$10,$W$5-1,0,1,1)))/(MAX(X$10:OFFSET(X$10,$W$5-1,0,1,1))-MIN(X$10:OFFSET(X$10,$W$5-1,0,1,1))),(X32-MAX(X$10:OFFSET(X$10,$W$5-1,0,1,1)))/(MIN(X$10:OFFSET(X$10,$W$5-1,0,1,1))-MAX(X$10:OFFSET(X$10,$W$5-1,0,1,1)))),"")</f>
        <v>0.6202440775305097</v>
      </c>
      <c r="Y88" s="221">
        <f ca="1">IF(AND(ISNUMBER($V88),(ISNUMBER(Y$5))),IF(Y$7=1,(Y32-MIN(Y$10:OFFSET(Y$10,$W$5-1,0,1,1)))/(MAX(Y$10:OFFSET(Y$10,$W$5-1,0,1,1))-MIN(Y$10:OFFSET(Y$10,$W$5-1,0,1,1))),(Y32-MAX(Y$10:OFFSET(Y$10,$W$5-1,0,1,1)))/(MIN(Y$10:OFFSET(Y$10,$W$5-1,0,1,1))-MAX(Y$10:OFFSET(Y$10,$W$5-1,0,1,1)))),"")</f>
        <v>0.54169797145003751</v>
      </c>
      <c r="Z88" s="221">
        <f ca="1">IF(AND(ISNUMBER($V88),(ISNUMBER(Z$5))),IF(Z$7=1,(Z32-MIN(Z$10:OFFSET(Z$10,$W$5-1,0,1,1)))/(MAX(Z$10:OFFSET(Z$10,$W$5-1,0,1,1))-MIN(Z$10:OFFSET(Z$10,$W$5-1,0,1,1))),(Z32-MAX(Z$10:OFFSET(Z$10,$W$5-1,0,1,1)))/(MIN(Z$10:OFFSET(Z$10,$W$5-1,0,1,1))-MAX(Z$10:OFFSET(Z$10,$W$5-1,0,1,1)))),"")</f>
        <v>0.34883720930232565</v>
      </c>
      <c r="AA88" s="221">
        <f ca="1">IF(AND(ISNUMBER($V88),(ISNUMBER(AA$5))),IF(AA$7=1,(AA32-MIN(AA$10:OFFSET(AA$10,$W$5-1,0,1,1)))/(MAX(AA$10:OFFSET(AA$10,$W$5-1,0,1,1))-MIN(AA$10:OFFSET(AA$10,$W$5-1,0,1,1))),(AA32-MAX(AA$10:OFFSET(AA$10,$W$5-1,0,1,1)))/(MIN(AA$10:OFFSET(AA$10,$W$5-1,0,1,1))-MAX(AA$10:OFFSET(AA$10,$W$5-1,0,1,1)))),"")</f>
        <v>0.69729206963249513</v>
      </c>
      <c r="AB88" s="221">
        <f ca="1">IF(AND(ISNUMBER($V88),(ISNUMBER(AB$5))),IF(AB$7=1,(AB32-MIN(AB$10:OFFSET(AB$10,$W$5-1,0,1,1)))/(MAX(AB$10:OFFSET(AB$10,$W$5-1,0,1,1))-MIN(AB$10:OFFSET(AB$10,$W$5-1,0,1,1))),(AB32-MAX(AB$10:OFFSET(AB$10,$W$5-1,0,1,1)))/(MIN(AB$10:OFFSET(AB$10,$W$5-1,0,1,1))-MAX(AB$10:OFFSET(AB$10,$W$5-1,0,1,1)))),"")</f>
        <v>0.80347448425624324</v>
      </c>
      <c r="AC88" s="221">
        <f ca="1">IF(AND(ISNUMBER($V88),(ISNUMBER(AC$5))),IF(AC$7=1,(AC32-MIN(AC$10:OFFSET(AC$10,$W$5-1,0,1,1)))/(MAX(AC$10:OFFSET(AC$10,$W$5-1,0,1,1))-MIN(AC$10:OFFSET(AC$10,$W$5-1,0,1,1))),(AC32-MAX(AC$10:OFFSET(AC$10,$W$5-1,0,1,1)))/(MIN(AC$10:OFFSET(AC$10,$W$5-1,0,1,1))-MAX(AC$10:OFFSET(AC$10,$W$5-1,0,1,1)))),"")</f>
        <v>0.28092485549132951</v>
      </c>
    </row>
    <row r="89" spans="1:29" ht="15" customHeight="1" thickBot="1">
      <c r="A89" s="199"/>
      <c r="B89" s="206">
        <f t="shared" si="5"/>
        <v>24</v>
      </c>
      <c r="C89" s="220" t="str">
        <f t="shared" si="6"/>
        <v>Turkmenistan</v>
      </c>
      <c r="D89" s="221">
        <f ca="1">IF(AND(ISNUMBER($B89),(ISNUMBER(D$5))),IF(D$7=1,(D33-MIN(D$10:OFFSET(D$10,$C$5-1,0,1,1)))/(MAX(D$10:OFFSET(D$10,$C$5-1,0,1,1))-MIN(D$10:OFFSET(D$10,$C$5-1,0,1,1))),(D33-MAX(D$10:OFFSET(D$10,$C$5-1,0,1,1)))/(MIN(D$10:OFFSET(D$10,$C$5-1,0,1,1))-MAX(D$10:OFFSET(D$10,$C$5-1,0,1,1)))),"")</f>
        <v>0.21481481481481482</v>
      </c>
      <c r="E89" s="221">
        <f ca="1">IF(AND(ISNUMBER($B89),(ISNUMBER(E$5))),IF(E$7=1,(E33-MIN(E$10:OFFSET(E$10,$C$5-1,0,1,1)))/(MAX(E$10:OFFSET(E$10,$C$5-1,0,1,1))-MIN(E$10:OFFSET(E$10,$C$5-1,0,1,1))),(E33-MAX(E$10:OFFSET(E$10,$C$5-1,0,1,1)))/(MIN(E$10:OFFSET(E$10,$C$5-1,0,1,1))-MAX(E$10:OFFSET(E$10,$C$5-1,0,1,1)))),"")</f>
        <v>0.37899543378995437</v>
      </c>
      <c r="F89" s="221">
        <f ca="1">IF(AND(ISNUMBER($B89),(ISNUMBER(F$5))),IF(F$7=1,(F33-MIN(F$10:OFFSET(F$10,$C$5-1,0,1,1)))/(MAX(F$10:OFFSET(F$10,$C$5-1,0,1,1))-MIN(F$10:OFFSET(F$10,$C$5-1,0,1,1))),(F33-MAX(F$10:OFFSET(F$10,$C$5-1,0,1,1)))/(MIN(F$10:OFFSET(F$10,$C$5-1,0,1,1))-MAX(F$10:OFFSET(F$10,$C$5-1,0,1,1)))),"")</f>
        <v>8.9041095890411009E-2</v>
      </c>
      <c r="G89" s="221">
        <f ca="1">IF(AND(ISNUMBER($B89),(ISNUMBER(G$5))),IF(G$7=1,(G33-MIN(G$10:OFFSET(G$10,$C$5-1,0,1,1)))/(MAX(G$10:OFFSET(G$10,$C$5-1,0,1,1))-MIN(G$10:OFFSET(G$10,$C$5-1,0,1,1))),(G33-MAX(G$10:OFFSET(G$10,$C$5-1,0,1,1)))/(MIN(G$10:OFFSET(G$10,$C$5-1,0,1,1))-MAX(G$10:OFFSET(G$10,$C$5-1,0,1,1)))),"")</f>
        <v>0.31089108910891089</v>
      </c>
      <c r="H89" s="221">
        <f ca="1">IF(AND(ISNUMBER($B89),(ISNUMBER(H$5))),IF(H$7=1,(H33-MIN(H$10:OFFSET(H$10,$C$5-1,0,1,1)))/(MAX(H$10:OFFSET(H$10,$C$5-1,0,1,1))-MIN(H$10:OFFSET(H$10,$C$5-1,0,1,1))),(H33-MAX(H$10:OFFSET(H$10,$C$5-1,0,1,1)))/(MIN(H$10:OFFSET(H$10,$C$5-1,0,1,1))-MAX(H$10:OFFSET(H$10,$C$5-1,0,1,1)))),"")</f>
        <v>0.23553719008264459</v>
      </c>
      <c r="I89" s="221">
        <f ca="1">IF(AND(ISNUMBER($B89),(ISNUMBER(I$5))),IF(I$7=1,(I33-MIN(I$10:OFFSET(I$10,$C$5-1,0,1,1)))/(MAX(I$10:OFFSET(I$10,$C$5-1,0,1,1))-MIN(I$10:OFFSET(I$10,$C$5-1,0,1,1))),(I33-MAX(I$10:OFFSET(I$10,$C$5-1,0,1,1)))/(MIN(I$10:OFFSET(I$10,$C$5-1,0,1,1))-MAX(I$10:OFFSET(I$10,$C$5-1,0,1,1)))),"")</f>
        <v>0.11856823266219232</v>
      </c>
      <c r="J89" s="187"/>
      <c r="K89" s="199"/>
      <c r="L89" s="206">
        <f t="shared" si="7"/>
        <v>24</v>
      </c>
      <c r="M89" s="220" t="str">
        <f t="shared" si="3"/>
        <v>Turkmenistan</v>
      </c>
      <c r="N89" s="221">
        <f ca="1">IF(AND(ISNUMBER($L89),(ISNUMBER(N$5))),IF(N$7=1,(N33-MIN(N$10:OFFSET(N$10,$M$5-1,0,1,1)))/(MAX(N$10:OFFSET(N$10,$M$5-1,0,1,1))-MIN(N$10:OFFSET(N$10,$M$5-1,0,1,1))),(N33-MAX(N$10:OFFSET(N$10,$M$5-1,0,1,1)))/(MIN(N$10:OFFSET(N$10,$M$5-1,0,1,1))-MAX(N$10:OFFSET(N$10,$M$5-1,0,1,1)))),"")</f>
        <v>0.20334261838440115</v>
      </c>
      <c r="O89" s="221">
        <f ca="1">IF(AND(ISNUMBER($L89),(ISNUMBER(O$5))),IF(O$7=1,(O33-MIN(O$10:OFFSET(O$10,$M$5-1,0,1,1)))/(MAX(O$10:OFFSET(O$10,$M$5-1,0,1,1))-MIN(O$10:OFFSET(O$10,$M$5-1,0,1,1))),(O33-MAX(O$10:OFFSET(O$10,$M$5-1,0,1,1)))/(MIN(O$10:OFFSET(O$10,$M$5-1,0,1,1))-MAX(O$10:OFFSET(O$10,$M$5-1,0,1,1)))),"")</f>
        <v>0.370262390670554</v>
      </c>
      <c r="P89" s="221">
        <f ca="1">IF(AND(ISNUMBER($L89),(ISNUMBER(P$5))),IF(P$7=1,(P33-MIN(P$10:OFFSET(P$10,$M$5-1,0,1,1)))/(MAX(P$10:OFFSET(P$10,$M$5-1,0,1,1))-MIN(P$10:OFFSET(P$10,$M$5-1,0,1,1))),(P33-MAX(P$10:OFFSET(P$10,$M$5-1,0,1,1)))/(MIN(P$10:OFFSET(P$10,$M$5-1,0,1,1))-MAX(P$10:OFFSET(P$10,$M$5-1,0,1,1)))),"")</f>
        <v>0</v>
      </c>
      <c r="Q89" s="221">
        <f ca="1">IF(AND(ISNUMBER($L89),(ISNUMBER(Q$5))),IF(Q$7=1,(Q33-MIN(Q$10:OFFSET(Q$10,$M$5-1,0,1,1)))/(MAX(Q$10:OFFSET(Q$10,$M$5-1,0,1,1))-MIN(Q$10:OFFSET(Q$10,$M$5-1,0,1,1))),(Q33-MAX(Q$10:OFFSET(Q$10,$M$5-1,0,1,1)))/(MIN(Q$10:OFFSET(Q$10,$M$5-1,0,1,1))-MAX(Q$10:OFFSET(Q$10,$M$5-1,0,1,1)))),"")</f>
        <v>0.28733459357277885</v>
      </c>
      <c r="R89" s="221">
        <f ca="1">IF(AND(ISNUMBER($L89),(ISNUMBER(R$5))),IF(R$7=1,(R33-MIN(R$10:OFFSET(R$10,$M$5-1,0,1,1)))/(MAX(R$10:OFFSET(R$10,$M$5-1,0,1,1))-MIN(R$10:OFFSET(R$10,$M$5-1,0,1,1))),(R33-MAX(R$10:OFFSET(R$10,$M$5-1,0,1,1)))/(MIN(R$10:OFFSET(R$10,$M$5-1,0,1,1))-MAX(R$10:OFFSET(R$10,$M$5-1,0,1,1)))),"")</f>
        <v>0.37944664031620545</v>
      </c>
      <c r="S89" s="221">
        <f ca="1">IF(AND(ISNUMBER($L89),(ISNUMBER(S$5))),IF(S$7=1,(S33-MIN(S$10:OFFSET(S$10,$M$5-1,0,1,1)))/(MAX(S$10:OFFSET(S$10,$M$5-1,0,1,1))-MIN(S$10:OFFSET(S$10,$M$5-1,0,1,1))),(S33-MAX(S$10:OFFSET(S$10,$M$5-1,0,1,1)))/(MIN(S$10:OFFSET(S$10,$M$5-1,0,1,1))-MAX(S$10:OFFSET(S$10,$M$5-1,0,1,1)))),"")</f>
        <v>0.1040189125295508</v>
      </c>
      <c r="T89" s="187"/>
      <c r="U89" s="199"/>
      <c r="V89" s="206">
        <f t="shared" si="8"/>
        <v>24</v>
      </c>
      <c r="W89" s="220" t="str">
        <f t="shared" si="4"/>
        <v>Turkmenistan</v>
      </c>
      <c r="X89" s="221">
        <f ca="1">IF(AND(ISNUMBER($V89),(ISNUMBER(X$5))),IF(X$7=1,(X33-MIN(X$10:OFFSET(X$10,$W$5-1,0,1,1)))/(MAX(X$10:OFFSET(X$10,$W$5-1,0,1,1))-MIN(X$10:OFFSET(X$10,$W$5-1,0,1,1))),(X33-MAX(X$10:OFFSET(X$10,$W$5-1,0,1,1)))/(MIN(X$10:OFFSET(X$10,$W$5-1,0,1,1))-MAX(X$10:OFFSET(X$10,$W$5-1,0,1,1)))),"")</f>
        <v>0.20890165111270639</v>
      </c>
      <c r="Y89" s="221">
        <f ca="1">IF(AND(ISNUMBER($V89),(ISNUMBER(Y$5))),IF(Y$7=1,(Y33-MIN(Y$10:OFFSET(Y$10,$W$5-1,0,1,1)))/(MAX(Y$10:OFFSET(Y$10,$W$5-1,0,1,1))-MIN(Y$10:OFFSET(Y$10,$W$5-1,0,1,1))),(Y33-MAX(Y$10:OFFSET(Y$10,$W$5-1,0,1,1)))/(MIN(Y$10:OFFSET(Y$10,$W$5-1,0,1,1))-MAX(Y$10:OFFSET(Y$10,$W$5-1,0,1,1)))),"")</f>
        <v>0.37791134485349365</v>
      </c>
      <c r="Z89" s="221">
        <f ca="1">IF(AND(ISNUMBER($V89),(ISNUMBER(Z$5))),IF(Z$7=1,(Z33-MIN(Z$10:OFFSET(Z$10,$W$5-1,0,1,1)))/(MAX(Z$10:OFFSET(Z$10,$W$5-1,0,1,1))-MIN(Z$10:OFFSET(Z$10,$W$5-1,0,1,1))),(Z33-MAX(Z$10:OFFSET(Z$10,$W$5-1,0,1,1)))/(MIN(Z$10:OFFSET(Z$10,$W$5-1,0,1,1))-MAX(Z$10:OFFSET(Z$10,$W$5-1,0,1,1)))),"")</f>
        <v>0</v>
      </c>
      <c r="AA89" s="221">
        <f ca="1">IF(AND(ISNUMBER($V89),(ISNUMBER(AA$5))),IF(AA$7=1,(AA33-MIN(AA$10:OFFSET(AA$10,$W$5-1,0,1,1)))/(MAX(AA$10:OFFSET(AA$10,$W$5-1,0,1,1))-MIN(AA$10:OFFSET(AA$10,$W$5-1,0,1,1))),(AA33-MAX(AA$10:OFFSET(AA$10,$W$5-1,0,1,1)))/(MIN(AA$10:OFFSET(AA$10,$W$5-1,0,1,1))-MAX(AA$10:OFFSET(AA$10,$W$5-1,0,1,1)))),"")</f>
        <v>0.29883945841392645</v>
      </c>
      <c r="AB89" s="221">
        <f ca="1">IF(AND(ISNUMBER($V89),(ISNUMBER(AB$5))),IF(AB$7=1,(AB33-MIN(AB$10:OFFSET(AB$10,$W$5-1,0,1,1)))/(MAX(AB$10:OFFSET(AB$10,$W$5-1,0,1,1))-MIN(AB$10:OFFSET(AB$10,$W$5-1,0,1,1))),(AB33-MAX(AB$10:OFFSET(AB$10,$W$5-1,0,1,1)))/(MIN(AB$10:OFFSET(AB$10,$W$5-1,0,1,1))-MAX(AB$10:OFFSET(AB$10,$W$5-1,0,1,1)))),"")</f>
        <v>0.33224755700325731</v>
      </c>
      <c r="AC89" s="221">
        <f ca="1">IF(AND(ISNUMBER($V89),(ISNUMBER(AC$5))),IF(AC$7=1,(AC33-MIN(AC$10:OFFSET(AC$10,$W$5-1,0,1,1)))/(MAX(AC$10:OFFSET(AC$10,$W$5-1,0,1,1))-MIN(AC$10:OFFSET(AC$10,$W$5-1,0,1,1))),(AC33-MAX(AC$10:OFFSET(AC$10,$W$5-1,0,1,1)))/(MIN(AC$10:OFFSET(AC$10,$W$5-1,0,1,1))-MAX(AC$10:OFFSET(AC$10,$W$5-1,0,1,1)))),"")</f>
        <v>0.10635838150289022</v>
      </c>
    </row>
    <row r="90" spans="1:29" ht="15" customHeight="1" thickBot="1">
      <c r="A90" s="199"/>
      <c r="B90" s="206">
        <f t="shared" si="5"/>
        <v>25</v>
      </c>
      <c r="C90" s="220" t="str">
        <f t="shared" si="6"/>
        <v>Ukraine</v>
      </c>
      <c r="D90" s="221">
        <f ca="1">IF(AND(ISNUMBER($B90),(ISNUMBER(D$5))),IF(D$7=1,(D34-MIN(D$10:OFFSET(D$10,$C$5-1,0,1,1)))/(MAX(D$10:OFFSET(D$10,$C$5-1,0,1,1))-MIN(D$10:OFFSET(D$10,$C$5-1,0,1,1))),(D34-MAX(D$10:OFFSET(D$10,$C$5-1,0,1,1)))/(MIN(D$10:OFFSET(D$10,$C$5-1,0,1,1))-MAX(D$10:OFFSET(D$10,$C$5-1,0,1,1)))),"")</f>
        <v>0.37481481481481477</v>
      </c>
      <c r="E90" s="221">
        <f ca="1">IF(AND(ISNUMBER($B90),(ISNUMBER(E$5))),IF(E$7=1,(E34-MIN(E$10:OFFSET(E$10,$C$5-1,0,1,1)))/(MAX(E$10:OFFSET(E$10,$C$5-1,0,1,1))-MIN(E$10:OFFSET(E$10,$C$5-1,0,1,1))),(E34-MAX(E$10:OFFSET(E$10,$C$5-1,0,1,1)))/(MIN(E$10:OFFSET(E$10,$C$5-1,0,1,1))-MAX(E$10:OFFSET(E$10,$C$5-1,0,1,1)))),"")</f>
        <v>0.32115677321156771</v>
      </c>
      <c r="F90" s="221">
        <f ca="1">IF(AND(ISNUMBER($B90),(ISNUMBER(F$5))),IF(F$7=1,(F34-MIN(F$10:OFFSET(F$10,$C$5-1,0,1,1)))/(MAX(F$10:OFFSET(F$10,$C$5-1,0,1,1))-MIN(F$10:OFFSET(F$10,$C$5-1,0,1,1))),(F34-MAX(F$10:OFFSET(F$10,$C$5-1,0,1,1)))/(MIN(F$10:OFFSET(F$10,$C$5-1,0,1,1))-MAX(F$10:OFFSET(F$10,$C$5-1,0,1,1)))),"")</f>
        <v>0.20319634703196354</v>
      </c>
      <c r="G90" s="221">
        <f ca="1">IF(AND(ISNUMBER($B90),(ISNUMBER(G$5))),IF(G$7=1,(G34-MIN(G$10:OFFSET(G$10,$C$5-1,0,1,1)))/(MAX(G$10:OFFSET(G$10,$C$5-1,0,1,1))-MIN(G$10:OFFSET(G$10,$C$5-1,0,1,1))),(G34-MAX(G$10:OFFSET(G$10,$C$5-1,0,1,1)))/(MIN(G$10:OFFSET(G$10,$C$5-1,0,1,1))-MAX(G$10:OFFSET(G$10,$C$5-1,0,1,1)))),"")</f>
        <v>0.34059405940594067</v>
      </c>
      <c r="H90" s="221">
        <f ca="1">IF(AND(ISNUMBER($B90),(ISNUMBER(H$5))),IF(H$7=1,(H34-MIN(H$10:OFFSET(H$10,$C$5-1,0,1,1)))/(MAX(H$10:OFFSET(H$10,$C$5-1,0,1,1))-MIN(H$10:OFFSET(H$10,$C$5-1,0,1,1))),(H34-MAX(H$10:OFFSET(H$10,$C$5-1,0,1,1)))/(MIN(H$10:OFFSET(H$10,$C$5-1,0,1,1))-MAX(H$10:OFFSET(H$10,$C$5-1,0,1,1)))),"")</f>
        <v>0.50206611570247928</v>
      </c>
      <c r="I90" s="221">
        <f ca="1">IF(AND(ISNUMBER($B90),(ISNUMBER(I$5))),IF(I$7=1,(I34-MIN(I$10:OFFSET(I$10,$C$5-1,0,1,1)))/(MAX(I$10:OFFSET(I$10,$C$5-1,0,1,1))-MIN(I$10:OFFSET(I$10,$C$5-1,0,1,1))),(I34-MAX(I$10:OFFSET(I$10,$C$5-1,0,1,1)))/(MIN(I$10:OFFSET(I$10,$C$5-1,0,1,1))-MAX(I$10:OFFSET(I$10,$C$5-1,0,1,1)))),"")</f>
        <v>1.1185682326621923E-2</v>
      </c>
      <c r="J90" s="187"/>
      <c r="K90" s="199"/>
      <c r="L90" s="206">
        <f t="shared" si="7"/>
        <v>25</v>
      </c>
      <c r="M90" s="220" t="str">
        <f t="shared" si="3"/>
        <v>Ukraine</v>
      </c>
      <c r="N90" s="221">
        <f ca="1">IF(AND(ISNUMBER($L90),(ISNUMBER(N$5))),IF(N$7=1,(N34-MIN(N$10:OFFSET(N$10,$M$5-1,0,1,1)))/(MAX(N$10:OFFSET(N$10,$M$5-1,0,1,1))-MIN(N$10:OFFSET(N$10,$M$5-1,0,1,1))),(N34-MAX(N$10:OFFSET(N$10,$M$5-1,0,1,1)))/(MIN(N$10:OFFSET(N$10,$M$5-1,0,1,1))-MAX(N$10:OFFSET(N$10,$M$5-1,0,1,1)))),"")</f>
        <v>0.33286908077994426</v>
      </c>
      <c r="O90" s="221">
        <f ca="1">IF(AND(ISNUMBER($L90),(ISNUMBER(O$5))),IF(O$7=1,(O34-MIN(O$10:OFFSET(O$10,$M$5-1,0,1,1)))/(MAX(O$10:OFFSET(O$10,$M$5-1,0,1,1))-MIN(O$10:OFFSET(O$10,$M$5-1,0,1,1))),(O34-MAX(O$10:OFFSET(O$10,$M$5-1,0,1,1)))/(MIN(O$10:OFFSET(O$10,$M$5-1,0,1,1))-MAX(O$10:OFFSET(O$10,$M$5-1,0,1,1)))),"")</f>
        <v>0.44606413994169097</v>
      </c>
      <c r="P90" s="221">
        <f ca="1">IF(AND(ISNUMBER($L90),(ISNUMBER(P$5))),IF(P$7=1,(P34-MIN(P$10:OFFSET(P$10,$M$5-1,0,1,1)))/(MAX(P$10:OFFSET(P$10,$M$5-1,0,1,1))-MIN(P$10:OFFSET(P$10,$M$5-1,0,1,1))),(P34-MAX(P$10:OFFSET(P$10,$M$5-1,0,1,1)))/(MIN(P$10:OFFSET(P$10,$M$5-1,0,1,1))-MAX(P$10:OFFSET(P$10,$M$5-1,0,1,1)))),"")</f>
        <v>9.9767981438515077E-2</v>
      </c>
      <c r="Q90" s="221">
        <f ca="1">IF(AND(ISNUMBER($L90),(ISNUMBER(Q$5))),IF(Q$7=1,(Q34-MIN(Q$10:OFFSET(Q$10,$M$5-1,0,1,1)))/(MAX(Q$10:OFFSET(Q$10,$M$5-1,0,1,1))-MIN(Q$10:OFFSET(Q$10,$M$5-1,0,1,1))),(Q34-MAX(Q$10:OFFSET(Q$10,$M$5-1,0,1,1)))/(MIN(Q$10:OFFSET(Q$10,$M$5-1,0,1,1))-MAX(Q$10:OFFSET(Q$10,$M$5-1,0,1,1)))),"")</f>
        <v>0.63705103969754262</v>
      </c>
      <c r="R90" s="221">
        <f ca="1">IF(AND(ISNUMBER($L90),(ISNUMBER(R$5))),IF(R$7=1,(R34-MIN(R$10:OFFSET(R$10,$M$5-1,0,1,1)))/(MAX(R$10:OFFSET(R$10,$M$5-1,0,1,1))-MIN(R$10:OFFSET(R$10,$M$5-1,0,1,1))),(R34-MAX(R$10:OFFSET(R$10,$M$5-1,0,1,1)))/(MIN(R$10:OFFSET(R$10,$M$5-1,0,1,1))-MAX(R$10:OFFSET(R$10,$M$5-1,0,1,1)))),"")</f>
        <v>0.56126482213438733</v>
      </c>
      <c r="S90" s="221">
        <f ca="1">IF(AND(ISNUMBER($L90),(ISNUMBER(S$5))),IF(S$7=1,(S34-MIN(S$10:OFFSET(S$10,$M$5-1,0,1,1)))/(MAX(S$10:OFFSET(S$10,$M$5-1,0,1,1))-MIN(S$10:OFFSET(S$10,$M$5-1,0,1,1))),(S34-MAX(S$10:OFFSET(S$10,$M$5-1,0,1,1)))/(MIN(S$10:OFFSET(S$10,$M$5-1,0,1,1))-MAX(S$10:OFFSET(S$10,$M$5-1,0,1,1)))),"")</f>
        <v>0</v>
      </c>
      <c r="T90" s="187"/>
      <c r="U90" s="199"/>
      <c r="V90" s="206">
        <f t="shared" si="8"/>
        <v>25</v>
      </c>
      <c r="W90" s="220" t="str">
        <f t="shared" si="4"/>
        <v>Ukraine</v>
      </c>
      <c r="X90" s="221">
        <f ca="1">IF(AND(ISNUMBER($V90),(ISNUMBER(X$5))),IF(X$7=1,(X34-MIN(X$10:OFFSET(X$10,$W$5-1,0,1,1)))/(MAX(X$10:OFFSET(X$10,$W$5-1,0,1,1))-MIN(X$10:OFFSET(X$10,$W$5-1,0,1,1))),(X34-MAX(X$10:OFFSET(X$10,$W$5-1,0,1,1)))/(MIN(X$10:OFFSET(X$10,$W$5-1,0,1,1))-MAX(X$10:OFFSET(X$10,$W$5-1,0,1,1)))),"")</f>
        <v>0.35319454414931789</v>
      </c>
      <c r="Y90" s="221">
        <f ca="1">IF(AND(ISNUMBER($V90),(ISNUMBER(Y$5))),IF(Y$7=1,(Y34-MIN(Y$10:OFFSET(Y$10,$W$5-1,0,1,1)))/(MAX(Y$10:OFFSET(Y$10,$W$5-1,0,1,1))-MIN(Y$10:OFFSET(Y$10,$W$5-1,0,1,1))),(Y34-MAX(Y$10:OFFSET(Y$10,$W$5-1,0,1,1)))/(MIN(Y$10:OFFSET(Y$10,$W$5-1,0,1,1))-MAX(Y$10:OFFSET(Y$10,$W$5-1,0,1,1)))),"")</f>
        <v>0.38842975206611569</v>
      </c>
      <c r="Z90" s="221">
        <f ca="1">IF(AND(ISNUMBER($V90),(ISNUMBER(Z$5))),IF(Z$7=1,(Z34-MIN(Z$10:OFFSET(Z$10,$W$5-1,0,1,1)))/(MAX(Z$10:OFFSET(Z$10,$W$5-1,0,1,1))-MIN(Z$10:OFFSET(Z$10,$W$5-1,0,1,1))),(Z34-MAX(Z$10:OFFSET(Z$10,$W$5-1,0,1,1)))/(MIN(Z$10:OFFSET(Z$10,$W$5-1,0,1,1))-MAX(Z$10:OFFSET(Z$10,$W$5-1,0,1,1)))),"")</f>
        <v>0.11383108935128526</v>
      </c>
      <c r="AA90" s="221">
        <f ca="1">IF(AND(ISNUMBER($V90),(ISNUMBER(AA$5))),IF(AA$7=1,(AA34-MIN(AA$10:OFFSET(AA$10,$W$5-1,0,1,1)))/(MAX(AA$10:OFFSET(AA$10,$W$5-1,0,1,1))-MIN(AA$10:OFFSET(AA$10,$W$5-1,0,1,1))),(AA34-MAX(AA$10:OFFSET(AA$10,$W$5-1,0,1,1)))/(MIN(AA$10:OFFSET(AA$10,$W$5-1,0,1,1))-MAX(AA$10:OFFSET(AA$10,$W$5-1,0,1,1)))),"")</f>
        <v>0.49226305609284343</v>
      </c>
      <c r="AB90" s="221">
        <f ca="1">IF(AND(ISNUMBER($V90),(ISNUMBER(AB$5))),IF(AB$7=1,(AB34-MIN(AB$10:OFFSET(AB$10,$W$5-1,0,1,1)))/(MAX(AB$10:OFFSET(AB$10,$W$5-1,0,1,1))-MIN(AB$10:OFFSET(AB$10,$W$5-1,0,1,1))),(AB34-MAX(AB$10:OFFSET(AB$10,$W$5-1,0,1,1)))/(MIN(AB$10:OFFSET(AB$10,$W$5-1,0,1,1))-MAX(AB$10:OFFSET(AB$10,$W$5-1,0,1,1)))),"")</f>
        <v>0.57220412595005421</v>
      </c>
      <c r="AC90" s="221">
        <f ca="1">IF(AND(ISNUMBER($V90),(ISNUMBER(AC$5))),IF(AC$7=1,(AC34-MIN(AC$10:OFFSET(AC$10,$W$5-1,0,1,1)))/(MAX(AC$10:OFFSET(AC$10,$W$5-1,0,1,1))-MIN(AC$10:OFFSET(AC$10,$W$5-1,0,1,1))),(AC34-MAX(AC$10:OFFSET(AC$10,$W$5-1,0,1,1)))/(MIN(AC$10:OFFSET(AC$10,$W$5-1,0,1,1))-MAX(AC$10:OFFSET(AC$10,$W$5-1,0,1,1)))),"")</f>
        <v>0</v>
      </c>
    </row>
    <row r="91" spans="1:29" ht="15" customHeight="1" thickBot="1">
      <c r="A91" s="199"/>
      <c r="B91" s="206">
        <f t="shared" si="5"/>
        <v>26</v>
      </c>
      <c r="C91" s="220" t="str">
        <f t="shared" si="6"/>
        <v>United Kingdom</v>
      </c>
      <c r="D91" s="221">
        <f ca="1">IF(AND(ISNUMBER($B91),(ISNUMBER(D$5))),IF(D$7=1,(D35-MIN(D$10:OFFSET(D$10,$C$5-1,0,1,1)))/(MAX(D$10:OFFSET(D$10,$C$5-1,0,1,1))-MIN(D$10:OFFSET(D$10,$C$5-1,0,1,1))),(D35-MAX(D$10:OFFSET(D$10,$C$5-1,0,1,1)))/(MIN(D$10:OFFSET(D$10,$C$5-1,0,1,1))-MAX(D$10:OFFSET(D$10,$C$5-1,0,1,1)))),"")</f>
        <v>0.82666666666666666</v>
      </c>
      <c r="E91" s="221">
        <f ca="1">IF(AND(ISNUMBER($B91),(ISNUMBER(E$5))),IF(E$7=1,(E35-MIN(E$10:OFFSET(E$10,$C$5-1,0,1,1)))/(MAX(E$10:OFFSET(E$10,$C$5-1,0,1,1))-MIN(E$10:OFFSET(E$10,$C$5-1,0,1,1))),(E35-MAX(E$10:OFFSET(E$10,$C$5-1,0,1,1)))/(MIN(E$10:OFFSET(E$10,$C$5-1,0,1,1))-MAX(E$10:OFFSET(E$10,$C$5-1,0,1,1)))),"")</f>
        <v>0.91780821917808209</v>
      </c>
      <c r="F91" s="221">
        <f ca="1">IF(AND(ISNUMBER($B91),(ISNUMBER(F$5))),IF(F$7=1,(F35-MIN(F$10:OFFSET(F$10,$C$5-1,0,1,1)))/(MAX(F$10:OFFSET(F$10,$C$5-1,0,1,1))-MIN(F$10:OFFSET(F$10,$C$5-1,0,1,1))),(F35-MAX(F$10:OFFSET(F$10,$C$5-1,0,1,1)))/(MIN(F$10:OFFSET(F$10,$C$5-1,0,1,1))-MAX(F$10:OFFSET(F$10,$C$5-1,0,1,1)))),"")</f>
        <v>0.89726027397260277</v>
      </c>
      <c r="G91" s="221">
        <f ca="1">IF(AND(ISNUMBER($B91),(ISNUMBER(G$5))),IF(G$7=1,(G35-MIN(G$10:OFFSET(G$10,$C$5-1,0,1,1)))/(MAX(G$10:OFFSET(G$10,$C$5-1,0,1,1))-MIN(G$10:OFFSET(G$10,$C$5-1,0,1,1))),(G35-MAX(G$10:OFFSET(G$10,$C$5-1,0,1,1)))/(MIN(G$10:OFFSET(G$10,$C$5-1,0,1,1))-MAX(G$10:OFFSET(G$10,$C$5-1,0,1,1)))),"")</f>
        <v>1</v>
      </c>
      <c r="H91" s="221">
        <f ca="1">IF(AND(ISNUMBER($B91),(ISNUMBER(H$5))),IF(H$7=1,(H35-MIN(H$10:OFFSET(H$10,$C$5-1,0,1,1)))/(MAX(H$10:OFFSET(H$10,$C$5-1,0,1,1))-MIN(H$10:OFFSET(H$10,$C$5-1,0,1,1))),(H35-MAX(H$10:OFFSET(H$10,$C$5-1,0,1,1)))/(MIN(H$10:OFFSET(H$10,$C$5-1,0,1,1))-MAX(H$10:OFFSET(H$10,$C$5-1,0,1,1)))),"")</f>
        <v>1</v>
      </c>
      <c r="I91" s="221">
        <f ca="1">IF(AND(ISNUMBER($B91),(ISNUMBER(I$5))),IF(I$7=1,(I35-MIN(I$10:OFFSET(I$10,$C$5-1,0,1,1)))/(MAX(I$10:OFFSET(I$10,$C$5-1,0,1,1))-MIN(I$10:OFFSET(I$10,$C$5-1,0,1,1))),(I35-MAX(I$10:OFFSET(I$10,$C$5-1,0,1,1)))/(MIN(I$10:OFFSET(I$10,$C$5-1,0,1,1))-MAX(I$10:OFFSET(I$10,$C$5-1,0,1,1)))),"")</f>
        <v>0.70469798657718119</v>
      </c>
      <c r="J91" s="187"/>
      <c r="K91" s="199"/>
      <c r="L91" s="206">
        <f t="shared" si="7"/>
        <v>26</v>
      </c>
      <c r="M91" s="220" t="str">
        <f t="shared" si="3"/>
        <v>United Kingdom</v>
      </c>
      <c r="N91" s="221">
        <f ca="1">IF(AND(ISNUMBER($L91),(ISNUMBER(N$5))),IF(N$7=1,(N35-MIN(N$10:OFFSET(N$10,$M$5-1,0,1,1)))/(MAX(N$10:OFFSET(N$10,$M$5-1,0,1,1))-MIN(N$10:OFFSET(N$10,$M$5-1,0,1,1))),(N35-MAX(N$10:OFFSET(N$10,$M$5-1,0,1,1)))/(MIN(N$10:OFFSET(N$10,$M$5-1,0,1,1))-MAX(N$10:OFFSET(N$10,$M$5-1,0,1,1)))),"")</f>
        <v>0.77994428969359331</v>
      </c>
      <c r="O91" s="221">
        <f ca="1">IF(AND(ISNUMBER($L91),(ISNUMBER(O$5))),IF(O$7=1,(O35-MIN(O$10:OFFSET(O$10,$M$5-1,0,1,1)))/(MAX(O$10:OFFSET(O$10,$M$5-1,0,1,1))-MIN(O$10:OFFSET(O$10,$M$5-1,0,1,1))),(O35-MAX(O$10:OFFSET(O$10,$M$5-1,0,1,1)))/(MIN(O$10:OFFSET(O$10,$M$5-1,0,1,1))-MAX(O$10:OFFSET(O$10,$M$5-1,0,1,1)))),"")</f>
        <v>1</v>
      </c>
      <c r="P91" s="221">
        <f ca="1">IF(AND(ISNUMBER($L91),(ISNUMBER(P$5))),IF(P$7=1,(P35-MIN(P$10:OFFSET(P$10,$M$5-1,0,1,1)))/(MAX(P$10:OFFSET(P$10,$M$5-1,0,1,1))-MIN(P$10:OFFSET(P$10,$M$5-1,0,1,1))),(P35-MAX(P$10:OFFSET(P$10,$M$5-1,0,1,1)))/(MIN(P$10:OFFSET(P$10,$M$5-1,0,1,1))-MAX(P$10:OFFSET(P$10,$M$5-1,0,1,1)))),"")</f>
        <v>0.99767981438515063</v>
      </c>
      <c r="Q91" s="221">
        <f ca="1">IF(AND(ISNUMBER($L91),(ISNUMBER(Q$5))),IF(Q$7=1,(Q35-MIN(Q$10:OFFSET(Q$10,$M$5-1,0,1,1)))/(MAX(Q$10:OFFSET(Q$10,$M$5-1,0,1,1))-MIN(Q$10:OFFSET(Q$10,$M$5-1,0,1,1))),(Q35-MAX(Q$10:OFFSET(Q$10,$M$5-1,0,1,1)))/(MIN(Q$10:OFFSET(Q$10,$M$5-1,0,1,1))-MAX(Q$10:OFFSET(Q$10,$M$5-1,0,1,1)))),"")</f>
        <v>1</v>
      </c>
      <c r="R91" s="221">
        <f ca="1">IF(AND(ISNUMBER($L91),(ISNUMBER(R$5))),IF(R$7=1,(R35-MIN(R$10:OFFSET(R$10,$M$5-1,0,1,1)))/(MAX(R$10:OFFSET(R$10,$M$5-1,0,1,1))-MIN(R$10:OFFSET(R$10,$M$5-1,0,1,1))),(R35-MAX(R$10:OFFSET(R$10,$M$5-1,0,1,1)))/(MIN(R$10:OFFSET(R$10,$M$5-1,0,1,1))-MAX(R$10:OFFSET(R$10,$M$5-1,0,1,1)))),"")</f>
        <v>0.86363636363636354</v>
      </c>
      <c r="S91" s="221">
        <f ca="1">IF(AND(ISNUMBER($L91),(ISNUMBER(S$5))),IF(S$7=1,(S35-MIN(S$10:OFFSET(S$10,$M$5-1,0,1,1)))/(MAX(S$10:OFFSET(S$10,$M$5-1,0,1,1))-MIN(S$10:OFFSET(S$10,$M$5-1,0,1,1))),(S35-MAX(S$10:OFFSET(S$10,$M$5-1,0,1,1)))/(MIN(S$10:OFFSET(S$10,$M$5-1,0,1,1))-MAX(S$10:OFFSET(S$10,$M$5-1,0,1,1)))),"")</f>
        <v>0.62174940898345155</v>
      </c>
      <c r="T91" s="187"/>
      <c r="U91" s="199"/>
      <c r="V91" s="206">
        <f t="shared" si="8"/>
        <v>26</v>
      </c>
      <c r="W91" s="220" t="str">
        <f t="shared" si="4"/>
        <v>United Kingdom</v>
      </c>
      <c r="X91" s="221">
        <f ca="1">IF(AND(ISNUMBER($V91),(ISNUMBER(X$5))),IF(X$7=1,(X35-MIN(X$10:OFFSET(X$10,$W$5-1,0,1,1)))/(MAX(X$10:OFFSET(X$10,$W$5-1,0,1,1))-MIN(X$10:OFFSET(X$10,$W$5-1,0,1,1))),(X35-MAX(X$10:OFFSET(X$10,$W$5-1,0,1,1)))/(MIN(X$10:OFFSET(X$10,$W$5-1,0,1,1))-MAX(X$10:OFFSET(X$10,$W$5-1,0,1,1)))),"")</f>
        <v>0.80258435032304365</v>
      </c>
      <c r="Y91" s="221">
        <f ca="1">IF(AND(ISNUMBER($V91),(ISNUMBER(Y$5))),IF(Y$7=1,(Y35-MIN(Y$10:OFFSET(Y$10,$W$5-1,0,1,1)))/(MAX(Y$10:OFFSET(Y$10,$W$5-1,0,1,1))-MIN(Y$10:OFFSET(Y$10,$W$5-1,0,1,1))),(Y35-MAX(Y$10:OFFSET(Y$10,$W$5-1,0,1,1)))/(MIN(Y$10:OFFSET(Y$10,$W$5-1,0,1,1))-MAX(Y$10:OFFSET(Y$10,$W$5-1,0,1,1)))),"")</f>
        <v>0.96844477836213383</v>
      </c>
      <c r="Z91" s="221">
        <f ca="1">IF(AND(ISNUMBER($V91),(ISNUMBER(Z$5))),IF(Z$7=1,(Z35-MIN(Z$10:OFFSET(Z$10,$W$5-1,0,1,1)))/(MAX(Z$10:OFFSET(Z$10,$W$5-1,0,1,1))-MIN(Z$10:OFFSET(Z$10,$W$5-1,0,1,1))),(Z35-MAX(Z$10:OFFSET(Z$10,$W$5-1,0,1,1)))/(MIN(Z$10:OFFSET(Z$10,$W$5-1,0,1,1))-MAX(Z$10:OFFSET(Z$10,$W$5-1,0,1,1)))),"")</f>
        <v>0.95960832313341482</v>
      </c>
      <c r="AA91" s="221">
        <f ca="1">IF(AND(ISNUMBER($V91),(ISNUMBER(AA$5))),IF(AA$7=1,(AA35-MIN(AA$10:OFFSET(AA$10,$W$5-1,0,1,1)))/(MAX(AA$10:OFFSET(AA$10,$W$5-1,0,1,1))-MIN(AA$10:OFFSET(AA$10,$W$5-1,0,1,1))),(AA35-MAX(AA$10:OFFSET(AA$10,$W$5-1,0,1,1)))/(MIN(AA$10:OFFSET(AA$10,$W$5-1,0,1,1))-MAX(AA$10:OFFSET(AA$10,$W$5-1,0,1,1)))),"")</f>
        <v>1</v>
      </c>
      <c r="AB91" s="221">
        <f ca="1">IF(AND(ISNUMBER($V91),(ISNUMBER(AB$5))),IF(AB$7=1,(AB35-MIN(AB$10:OFFSET(AB$10,$W$5-1,0,1,1)))/(MAX(AB$10:OFFSET(AB$10,$W$5-1,0,1,1))-MIN(AB$10:OFFSET(AB$10,$W$5-1,0,1,1))),(AB35-MAX(AB$10:OFFSET(AB$10,$W$5-1,0,1,1)))/(MIN(AB$10:OFFSET(AB$10,$W$5-1,0,1,1))-MAX(AB$10:OFFSET(AB$10,$W$5-1,0,1,1)))),"")</f>
        <v>1</v>
      </c>
      <c r="AC91" s="221">
        <f ca="1">IF(AND(ISNUMBER($V91),(ISNUMBER(AC$5))),IF(AC$7=1,(AC35-MIN(AC$10:OFFSET(AC$10,$W$5-1,0,1,1)))/(MAX(AC$10:OFFSET(AC$10,$W$5-1,0,1,1))-MIN(AC$10:OFFSET(AC$10,$W$5-1,0,1,1))),(AC35-MAX(AC$10:OFFSET(AC$10,$W$5-1,0,1,1)))/(MIN(AC$10:OFFSET(AC$10,$W$5-1,0,1,1))-MAX(AC$10:OFFSET(AC$10,$W$5-1,0,1,1)))),"")</f>
        <v>0.66242774566473994</v>
      </c>
    </row>
    <row r="92" spans="1:29" ht="15" customHeight="1" thickBot="1">
      <c r="A92" s="199"/>
      <c r="B92" s="206">
        <f t="shared" si="5"/>
        <v>27</v>
      </c>
      <c r="C92" s="220" t="str">
        <f t="shared" si="6"/>
        <v>Uzbekistan</v>
      </c>
      <c r="D92" s="221">
        <f ca="1">IF(AND(ISNUMBER($B92),(ISNUMBER(D$5))),IF(D$7=1,(D36-MIN(D$10:OFFSET(D$10,$C$5-1,0,1,1)))/(MAX(D$10:OFFSET(D$10,$C$5-1,0,1,1))-MIN(D$10:OFFSET(D$10,$C$5-1,0,1,1))),(D36-MAX(D$10:OFFSET(D$10,$C$5-1,0,1,1)))/(MIN(D$10:OFFSET(D$10,$C$5-1,0,1,1))-MAX(D$10:OFFSET(D$10,$C$5-1,0,1,1)))),"")</f>
        <v>0.42518518518518522</v>
      </c>
      <c r="E92" s="221">
        <f ca="1">IF(AND(ISNUMBER($B92),(ISNUMBER(E$5))),IF(E$7=1,(E36-MIN(E$10:OFFSET(E$10,$C$5-1,0,1,1)))/(MAX(E$10:OFFSET(E$10,$C$5-1,0,1,1))-MIN(E$10:OFFSET(E$10,$C$5-1,0,1,1))),(E36-MAX(E$10:OFFSET(E$10,$C$5-1,0,1,1)))/(MIN(E$10:OFFSET(E$10,$C$5-1,0,1,1))-MAX(E$10:OFFSET(E$10,$C$5-1,0,1,1)))),"")</f>
        <v>0.27092846270928461</v>
      </c>
      <c r="F92" s="221">
        <f ca="1">IF(AND(ISNUMBER($B92),(ISNUMBER(F$5))),IF(F$7=1,(F36-MIN(F$10:OFFSET(F$10,$C$5-1,0,1,1)))/(MAX(F$10:OFFSET(F$10,$C$5-1,0,1,1))-MIN(F$10:OFFSET(F$10,$C$5-1,0,1,1))),(F36-MAX(F$10:OFFSET(F$10,$C$5-1,0,1,1)))/(MIN(F$10:OFFSET(F$10,$C$5-1,0,1,1))-MAX(F$10:OFFSET(F$10,$C$5-1,0,1,1)))),"")</f>
        <v>0.15753424657534251</v>
      </c>
      <c r="G92" s="221">
        <f ca="1">IF(AND(ISNUMBER($B92),(ISNUMBER(G$5))),IF(G$7=1,(G36-MIN(G$10:OFFSET(G$10,$C$5-1,0,1,1)))/(MAX(G$10:OFFSET(G$10,$C$5-1,0,1,1))-MIN(G$10:OFFSET(G$10,$C$5-1,0,1,1))),(G36-MAX(G$10:OFFSET(G$10,$C$5-1,0,1,1)))/(MIN(G$10:OFFSET(G$10,$C$5-1,0,1,1))-MAX(G$10:OFFSET(G$10,$C$5-1,0,1,1)))),"")</f>
        <v>0.1762376237623762</v>
      </c>
      <c r="H92" s="221">
        <f ca="1">IF(AND(ISNUMBER($B92),(ISNUMBER(H$5))),IF(H$7=1,(H36-MIN(H$10:OFFSET(H$10,$C$5-1,0,1,1)))/(MAX(H$10:OFFSET(H$10,$C$5-1,0,1,1))-MIN(H$10:OFFSET(H$10,$C$5-1,0,1,1))),(H36-MAX(H$10:OFFSET(H$10,$C$5-1,0,1,1)))/(MIN(H$10:OFFSET(H$10,$C$5-1,0,1,1))-MAX(H$10:OFFSET(H$10,$C$5-1,0,1,1)))),"")</f>
        <v>0.63429752066115697</v>
      </c>
      <c r="I92" s="221">
        <f ca="1">IF(AND(ISNUMBER($B92),(ISNUMBER(I$5))),IF(I$7=1,(I36-MIN(I$10:OFFSET(I$10,$C$5-1,0,1,1)))/(MAX(I$10:OFFSET(I$10,$C$5-1,0,1,1))-MIN(I$10:OFFSET(I$10,$C$5-1,0,1,1))),(I36-MAX(I$10:OFFSET(I$10,$C$5-1,0,1,1)))/(MIN(I$10:OFFSET(I$10,$C$5-1,0,1,1))-MAX(I$10:OFFSET(I$10,$C$5-1,0,1,1)))),"")</f>
        <v>0.20581655480984345</v>
      </c>
      <c r="J92" s="187"/>
      <c r="K92" s="199"/>
      <c r="L92" s="206">
        <f t="shared" si="7"/>
        <v>27</v>
      </c>
      <c r="M92" s="220" t="str">
        <f t="shared" si="3"/>
        <v>Uzbekistan</v>
      </c>
      <c r="N92" s="221">
        <f ca="1">IF(AND(ISNUMBER($L92),(ISNUMBER(N$5))),IF(N$7=1,(N36-MIN(N$10:OFFSET(N$10,$M$5-1,0,1,1)))/(MAX(N$10:OFFSET(N$10,$M$5-1,0,1,1))-MIN(N$10:OFFSET(N$10,$M$5-1,0,1,1))),(N36-MAX(N$10:OFFSET(N$10,$M$5-1,0,1,1)))/(MIN(N$10:OFFSET(N$10,$M$5-1,0,1,1))-MAX(N$10:OFFSET(N$10,$M$5-1,0,1,1)))),"")</f>
        <v>0.46100278551532037</v>
      </c>
      <c r="O92" s="221">
        <f ca="1">IF(AND(ISNUMBER($L92),(ISNUMBER(O$5))),IF(O$7=1,(O36-MIN(O$10:OFFSET(O$10,$M$5-1,0,1,1)))/(MAX(O$10:OFFSET(O$10,$M$5-1,0,1,1))-MIN(O$10:OFFSET(O$10,$M$5-1,0,1,1))),(O36-MAX(O$10:OFFSET(O$10,$M$5-1,0,1,1)))/(MIN(O$10:OFFSET(O$10,$M$5-1,0,1,1))-MAX(O$10:OFFSET(O$10,$M$5-1,0,1,1)))),"")</f>
        <v>0.23760932944606417</v>
      </c>
      <c r="P92" s="221">
        <f ca="1">IF(AND(ISNUMBER($L92),(ISNUMBER(P$5))),IF(P$7=1,(P36-MIN(P$10:OFFSET(P$10,$M$5-1,0,1,1)))/(MAX(P$10:OFFSET(P$10,$M$5-1,0,1,1))-MIN(P$10:OFFSET(P$10,$M$5-1,0,1,1))),(P36-MAX(P$10:OFFSET(P$10,$M$5-1,0,1,1)))/(MIN(P$10:OFFSET(P$10,$M$5-1,0,1,1))-MAX(P$10:OFFSET(P$10,$M$5-1,0,1,1)))),"")</f>
        <v>0.15777262180974477</v>
      </c>
      <c r="Q92" s="221">
        <f ca="1">IF(AND(ISNUMBER($L92),(ISNUMBER(Q$5))),IF(Q$7=1,(Q36-MIN(Q$10:OFFSET(Q$10,$M$5-1,0,1,1)))/(MAX(Q$10:OFFSET(Q$10,$M$5-1,0,1,1))-MIN(Q$10:OFFSET(Q$10,$M$5-1,0,1,1))),(Q36-MAX(Q$10:OFFSET(Q$10,$M$5-1,0,1,1)))/(MIN(Q$10:OFFSET(Q$10,$M$5-1,0,1,1))-MAX(Q$10:OFFSET(Q$10,$M$5-1,0,1,1)))),"")</f>
        <v>0.28166351606805295</v>
      </c>
      <c r="R92" s="221">
        <f ca="1">IF(AND(ISNUMBER($L92),(ISNUMBER(R$5))),IF(R$7=1,(R36-MIN(R$10:OFFSET(R$10,$M$5-1,0,1,1)))/(MAX(R$10:OFFSET(R$10,$M$5-1,0,1,1))-MIN(R$10:OFFSET(R$10,$M$5-1,0,1,1))),(R36-MAX(R$10:OFFSET(R$10,$M$5-1,0,1,1)))/(MIN(R$10:OFFSET(R$10,$M$5-1,0,1,1))-MAX(R$10:OFFSET(R$10,$M$5-1,0,1,1)))),"")</f>
        <v>0.86956521739130421</v>
      </c>
      <c r="S92" s="221">
        <f ca="1">IF(AND(ISNUMBER($L92),(ISNUMBER(S$5))),IF(S$7=1,(S36-MIN(S$10:OFFSET(S$10,$M$5-1,0,1,1)))/(MAX(S$10:OFFSET(S$10,$M$5-1,0,1,1))-MIN(S$10:OFFSET(S$10,$M$5-1,0,1,1))),(S36-MAX(S$10:OFFSET(S$10,$M$5-1,0,1,1)))/(MIN(S$10:OFFSET(S$10,$M$5-1,0,1,1))-MAX(S$10:OFFSET(S$10,$M$5-1,0,1,1)))),"")</f>
        <v>0.15602836879432611</v>
      </c>
      <c r="T92" s="187"/>
      <c r="U92" s="199"/>
      <c r="V92" s="206">
        <f t="shared" si="8"/>
        <v>27</v>
      </c>
      <c r="W92" s="220" t="str">
        <f t="shared" si="4"/>
        <v>Uzbekistan</v>
      </c>
      <c r="X92" s="221">
        <f ca="1">IF(AND(ISNUMBER($V92),(ISNUMBER(X$5))),IF(X$7=1,(X36-MIN(X$10:OFFSET(X$10,$W$5-1,0,1,1)))/(MAX(X$10:OFFSET(X$10,$W$5-1,0,1,1))-MIN(X$10:OFFSET(X$10,$W$5-1,0,1,1))),(X36-MAX(X$10:OFFSET(X$10,$W$5-1,0,1,1)))/(MIN(X$10:OFFSET(X$10,$W$5-1,0,1,1))-MAX(X$10:OFFSET(X$10,$W$5-1,0,1,1)))),"")</f>
        <v>0.44364680545585072</v>
      </c>
      <c r="Y92" s="221">
        <f ca="1">IF(AND(ISNUMBER($V92),(ISNUMBER(Y$5))),IF(Y$7=1,(Y36-MIN(Y$10:OFFSET(Y$10,$W$5-1,0,1,1)))/(MAX(Y$10:OFFSET(Y$10,$W$5-1,0,1,1))-MIN(Y$10:OFFSET(Y$10,$W$5-1,0,1,1))),(Y36-MAX(Y$10:OFFSET(Y$10,$W$5-1,0,1,1)))/(MIN(Y$10:OFFSET(Y$10,$W$5-1,0,1,1))-MAX(Y$10:OFFSET(Y$10,$W$5-1,0,1,1)))),"")</f>
        <v>0.25619834710743805</v>
      </c>
      <c r="Z92" s="221">
        <f ca="1">IF(AND(ISNUMBER($V92),(ISNUMBER(Z$5))),IF(Z$7=1,(Z36-MIN(Z$10:OFFSET(Z$10,$W$5-1,0,1,1)))/(MAX(Z$10:OFFSET(Z$10,$W$5-1,0,1,1))-MIN(Z$10:OFFSET(Z$10,$W$5-1,0,1,1))),(Z36-MAX(Z$10:OFFSET(Z$10,$W$5-1,0,1,1)))/(MIN(Z$10:OFFSET(Z$10,$W$5-1,0,1,1))-MAX(Z$10:OFFSET(Z$10,$W$5-1,0,1,1)))),"")</f>
        <v>0.11995104039167702</v>
      </c>
      <c r="AA92" s="221">
        <f ca="1">IF(AND(ISNUMBER($V92),(ISNUMBER(AA$5))),IF(AA$7=1,(AA36-MIN(AA$10:OFFSET(AA$10,$W$5-1,0,1,1)))/(MAX(AA$10:OFFSET(AA$10,$W$5-1,0,1,1))-MIN(AA$10:OFFSET(AA$10,$W$5-1,0,1,1))),(AA36-MAX(AA$10:OFFSET(AA$10,$W$5-1,0,1,1)))/(MIN(AA$10:OFFSET(AA$10,$W$5-1,0,1,1))-MAX(AA$10:OFFSET(AA$10,$W$5-1,0,1,1)))),"")</f>
        <v>0.23017408123791105</v>
      </c>
      <c r="AB92" s="221">
        <f ca="1">IF(AND(ISNUMBER($V92),(ISNUMBER(AB$5))),IF(AB$7=1,(AB36-MIN(AB$10:OFFSET(AB$10,$W$5-1,0,1,1)))/(MAX(AB$10:OFFSET(AB$10,$W$5-1,0,1,1))-MIN(AB$10:OFFSET(AB$10,$W$5-1,0,1,1))),(AB36-MAX(AB$10:OFFSET(AB$10,$W$5-1,0,1,1)))/(MIN(AB$10:OFFSET(AB$10,$W$5-1,0,1,1))-MAX(AB$10:OFFSET(AB$10,$W$5-1,0,1,1)))),"")</f>
        <v>0.81107491856677516</v>
      </c>
      <c r="AC92" s="221">
        <f ca="1">IF(AND(ISNUMBER($V92),(ISNUMBER(AC$5))),IF(AC$7=1,(AC36-MIN(AC$10:OFFSET(AC$10,$W$5-1,0,1,1)))/(MAX(AC$10:OFFSET(AC$10,$W$5-1,0,1,1))-MIN(AC$10:OFFSET(AC$10,$W$5-1,0,1,1))),(AC36-MAX(AC$10:OFFSET(AC$10,$W$5-1,0,1,1)))/(MIN(AC$10:OFFSET(AC$10,$W$5-1,0,1,1))-MAX(AC$10:OFFSET(AC$10,$W$5-1,0,1,1)))),"")</f>
        <v>0.176878612716763</v>
      </c>
    </row>
    <row r="93" spans="1:29" ht="15" customHeight="1" thickBot="1">
      <c r="A93" s="199"/>
      <c r="B93" s="206" t="str">
        <f t="shared" si="5"/>
        <v xml:space="preserve"> </v>
      </c>
      <c r="C93" s="220">
        <f t="shared" si="6"/>
        <v>0</v>
      </c>
      <c r="D93" s="221" t="str">
        <f ca="1">IF(AND(ISNUMBER($B93),(ISNUMBER(D$5))),IF(D$7=1,(D37-MIN(D$10:OFFSET(D$10,$C$5-1,0,1,1)))/(MAX(D$10:OFFSET(D$10,$C$5-1,0,1,1))-MIN(D$10:OFFSET(D$10,$C$5-1,0,1,1))),(D37-MAX(D$10:OFFSET(D$10,$C$5-1,0,1,1)))/(MIN(D$10:OFFSET(D$10,$C$5-1,0,1,1))-MAX(D$10:OFFSET(D$10,$C$5-1,0,1,1)))),"")</f>
        <v/>
      </c>
      <c r="E93" s="221" t="str">
        <f ca="1">IF(AND(ISNUMBER($B93),(ISNUMBER(E$5))),IF(E$7=1,(E37-MIN(E$10:OFFSET(E$10,$C$5-1,0,1,1)))/(MAX(E$10:OFFSET(E$10,$C$5-1,0,1,1))-MIN(E$10:OFFSET(E$10,$C$5-1,0,1,1))),(E37-MAX(E$10:OFFSET(E$10,$C$5-1,0,1,1)))/(MIN(E$10:OFFSET(E$10,$C$5-1,0,1,1))-MAX(E$10:OFFSET(E$10,$C$5-1,0,1,1)))),"")</f>
        <v/>
      </c>
      <c r="F93" s="221" t="str">
        <f ca="1">IF(AND(ISNUMBER($B93),(ISNUMBER(F$5))),IF(F$7=1,(F37-MIN(F$10:OFFSET(F$10,$C$5-1,0,1,1)))/(MAX(F$10:OFFSET(F$10,$C$5-1,0,1,1))-MIN(F$10:OFFSET(F$10,$C$5-1,0,1,1))),(F37-MAX(F$10:OFFSET(F$10,$C$5-1,0,1,1)))/(MIN(F$10:OFFSET(F$10,$C$5-1,0,1,1))-MAX(F$10:OFFSET(F$10,$C$5-1,0,1,1)))),"")</f>
        <v/>
      </c>
      <c r="G93" s="221" t="str">
        <f ca="1">IF(AND(ISNUMBER($B93),(ISNUMBER(G$5))),IF(G$7=1,(G37-MIN(G$10:OFFSET(G$10,$C$5-1,0,1,1)))/(MAX(G$10:OFFSET(G$10,$C$5-1,0,1,1))-MIN(G$10:OFFSET(G$10,$C$5-1,0,1,1))),(G37-MAX(G$10:OFFSET(G$10,$C$5-1,0,1,1)))/(MIN(G$10:OFFSET(G$10,$C$5-1,0,1,1))-MAX(G$10:OFFSET(G$10,$C$5-1,0,1,1)))),"")</f>
        <v/>
      </c>
      <c r="H93" s="221" t="str">
        <f ca="1">IF(AND(ISNUMBER($B93),(ISNUMBER(H$5))),IF(H$7=1,(H37-MIN(H$10:OFFSET(H$10,$C$5-1,0,1,1)))/(MAX(H$10:OFFSET(H$10,$C$5-1,0,1,1))-MIN(H$10:OFFSET(H$10,$C$5-1,0,1,1))),(H37-MAX(H$10:OFFSET(H$10,$C$5-1,0,1,1)))/(MIN(H$10:OFFSET(H$10,$C$5-1,0,1,1))-MAX(H$10:OFFSET(H$10,$C$5-1,0,1,1)))),"")</f>
        <v/>
      </c>
      <c r="I93" s="221" t="str">
        <f ca="1">IF(AND(ISNUMBER($B93),(ISNUMBER(I$5))),IF(I$7=1,(I37-MIN(I$10:OFFSET(I$10,$C$5-1,0,1,1)))/(MAX(I$10:OFFSET(I$10,$C$5-1,0,1,1))-MIN(I$10:OFFSET(I$10,$C$5-1,0,1,1))),(I37-MAX(I$10:OFFSET(I$10,$C$5-1,0,1,1)))/(MIN(I$10:OFFSET(I$10,$C$5-1,0,1,1))-MAX(I$10:OFFSET(I$10,$C$5-1,0,1,1)))),"")</f>
        <v/>
      </c>
      <c r="J93" s="187"/>
      <c r="K93" s="199"/>
      <c r="L93" s="206" t="str">
        <f t="shared" si="7"/>
        <v xml:space="preserve"> </v>
      </c>
      <c r="M93" s="220">
        <f t="shared" si="3"/>
        <v>0</v>
      </c>
      <c r="N93" s="221" t="str">
        <f ca="1">IF(AND(ISNUMBER($L93),(ISNUMBER(N$5))),IF(N$7=1,(N37-MIN(N$10:OFFSET(N$10,$M$5-1,0,1,1)))/(MAX(N$10:OFFSET(N$10,$M$5-1,0,1,1))-MIN(N$10:OFFSET(N$10,$M$5-1,0,1,1))),(N37-MAX(N$10:OFFSET(N$10,$M$5-1,0,1,1)))/(MIN(N$10:OFFSET(N$10,$M$5-1,0,1,1))-MAX(N$10:OFFSET(N$10,$M$5-1,0,1,1)))),"")</f>
        <v/>
      </c>
      <c r="O93" s="221" t="str">
        <f ca="1">IF(AND(ISNUMBER($L93),(ISNUMBER(O$5))),IF(O$7=1,(O37-MIN(O$10:OFFSET(O$10,$M$5-1,0,1,1)))/(MAX(O$10:OFFSET(O$10,$M$5-1,0,1,1))-MIN(O$10:OFFSET(O$10,$M$5-1,0,1,1))),(O37-MAX(O$10:OFFSET(O$10,$M$5-1,0,1,1)))/(MIN(O$10:OFFSET(O$10,$M$5-1,0,1,1))-MAX(O$10:OFFSET(O$10,$M$5-1,0,1,1)))),"")</f>
        <v/>
      </c>
      <c r="P93" s="221" t="str">
        <f ca="1">IF(AND(ISNUMBER($L93),(ISNUMBER(P$5))),IF(P$7=1,(P37-MIN(P$10:OFFSET(P$10,$M$5-1,0,1,1)))/(MAX(P$10:OFFSET(P$10,$M$5-1,0,1,1))-MIN(P$10:OFFSET(P$10,$M$5-1,0,1,1))),(P37-MAX(P$10:OFFSET(P$10,$M$5-1,0,1,1)))/(MIN(P$10:OFFSET(P$10,$M$5-1,0,1,1))-MAX(P$10:OFFSET(P$10,$M$5-1,0,1,1)))),"")</f>
        <v/>
      </c>
      <c r="Q93" s="221" t="str">
        <f ca="1">IF(AND(ISNUMBER($L93),(ISNUMBER(Q$5))),IF(Q$7=1,(Q37-MIN(Q$10:OFFSET(Q$10,$M$5-1,0,1,1)))/(MAX(Q$10:OFFSET(Q$10,$M$5-1,0,1,1))-MIN(Q$10:OFFSET(Q$10,$M$5-1,0,1,1))),(Q37-MAX(Q$10:OFFSET(Q$10,$M$5-1,0,1,1)))/(MIN(Q$10:OFFSET(Q$10,$M$5-1,0,1,1))-MAX(Q$10:OFFSET(Q$10,$M$5-1,0,1,1)))),"")</f>
        <v/>
      </c>
      <c r="R93" s="221" t="str">
        <f ca="1">IF(AND(ISNUMBER($L93),(ISNUMBER(R$5))),IF(R$7=1,(R37-MIN(R$10:OFFSET(R$10,$M$5-1,0,1,1)))/(MAX(R$10:OFFSET(R$10,$M$5-1,0,1,1))-MIN(R$10:OFFSET(R$10,$M$5-1,0,1,1))),(R37-MAX(R$10:OFFSET(R$10,$M$5-1,0,1,1)))/(MIN(R$10:OFFSET(R$10,$M$5-1,0,1,1))-MAX(R$10:OFFSET(R$10,$M$5-1,0,1,1)))),"")</f>
        <v/>
      </c>
      <c r="S93" s="221" t="str">
        <f ca="1">IF(AND(ISNUMBER($L93),(ISNUMBER(S$5))),IF(S$7=1,(S37-MIN(S$10:OFFSET(S$10,$M$5-1,0,1,1)))/(MAX(S$10:OFFSET(S$10,$M$5-1,0,1,1))-MIN(S$10:OFFSET(S$10,$M$5-1,0,1,1))),(S37-MAX(S$10:OFFSET(S$10,$M$5-1,0,1,1)))/(MIN(S$10:OFFSET(S$10,$M$5-1,0,1,1))-MAX(S$10:OFFSET(S$10,$M$5-1,0,1,1)))),"")</f>
        <v/>
      </c>
      <c r="T93" s="187"/>
      <c r="U93" s="199"/>
      <c r="V93" s="206" t="str">
        <f t="shared" si="8"/>
        <v xml:space="preserve"> </v>
      </c>
      <c r="W93" s="220">
        <f t="shared" si="4"/>
        <v>0</v>
      </c>
      <c r="X93" s="221" t="str">
        <f ca="1">IF(AND(ISNUMBER($V93),(ISNUMBER(X$5))),IF(X$7=1,(X37-MIN(X$10:OFFSET(X$10,$W$5-1,0,1,1)))/(MAX(X$10:OFFSET(X$10,$W$5-1,0,1,1))-MIN(X$10:OFFSET(X$10,$W$5-1,0,1,1))),(X37-MAX(X$10:OFFSET(X$10,$W$5-1,0,1,1)))/(MIN(X$10:OFFSET(X$10,$W$5-1,0,1,1))-MAX(X$10:OFFSET(X$10,$W$5-1,0,1,1)))),"")</f>
        <v/>
      </c>
      <c r="Y93" s="221" t="str">
        <f ca="1">IF(AND(ISNUMBER($V93),(ISNUMBER(Y$5))),IF(Y$7=1,(Y37-MIN(Y$10:OFFSET(Y$10,$W$5-1,0,1,1)))/(MAX(Y$10:OFFSET(Y$10,$W$5-1,0,1,1))-MIN(Y$10:OFFSET(Y$10,$W$5-1,0,1,1))),(Y37-MAX(Y$10:OFFSET(Y$10,$W$5-1,0,1,1)))/(MIN(Y$10:OFFSET(Y$10,$W$5-1,0,1,1))-MAX(Y$10:OFFSET(Y$10,$W$5-1,0,1,1)))),"")</f>
        <v/>
      </c>
      <c r="Z93" s="221" t="str">
        <f ca="1">IF(AND(ISNUMBER($V93),(ISNUMBER(Z$5))),IF(Z$7=1,(Z37-MIN(Z$10:OFFSET(Z$10,$W$5-1,0,1,1)))/(MAX(Z$10:OFFSET(Z$10,$W$5-1,0,1,1))-MIN(Z$10:OFFSET(Z$10,$W$5-1,0,1,1))),(Z37-MAX(Z$10:OFFSET(Z$10,$W$5-1,0,1,1)))/(MIN(Z$10:OFFSET(Z$10,$W$5-1,0,1,1))-MAX(Z$10:OFFSET(Z$10,$W$5-1,0,1,1)))),"")</f>
        <v/>
      </c>
      <c r="AA93" s="221" t="str">
        <f ca="1">IF(AND(ISNUMBER($V93),(ISNUMBER(AA$5))),IF(AA$7=1,(AA37-MIN(AA$10:OFFSET(AA$10,$W$5-1,0,1,1)))/(MAX(AA$10:OFFSET(AA$10,$W$5-1,0,1,1))-MIN(AA$10:OFFSET(AA$10,$W$5-1,0,1,1))),(AA37-MAX(AA$10:OFFSET(AA$10,$W$5-1,0,1,1)))/(MIN(AA$10:OFFSET(AA$10,$W$5-1,0,1,1))-MAX(AA$10:OFFSET(AA$10,$W$5-1,0,1,1)))),"")</f>
        <v/>
      </c>
      <c r="AB93" s="221" t="str">
        <f ca="1">IF(AND(ISNUMBER($V93),(ISNUMBER(AB$5))),IF(AB$7=1,(AB37-MIN(AB$10:OFFSET(AB$10,$W$5-1,0,1,1)))/(MAX(AB$10:OFFSET(AB$10,$W$5-1,0,1,1))-MIN(AB$10:OFFSET(AB$10,$W$5-1,0,1,1))),(AB37-MAX(AB$10:OFFSET(AB$10,$W$5-1,0,1,1)))/(MIN(AB$10:OFFSET(AB$10,$W$5-1,0,1,1))-MAX(AB$10:OFFSET(AB$10,$W$5-1,0,1,1)))),"")</f>
        <v/>
      </c>
      <c r="AC93" s="221" t="str">
        <f ca="1">IF(AND(ISNUMBER($V93),(ISNUMBER(AC$5))),IF(AC$7=1,(AC37-MIN(AC$10:OFFSET(AC$10,$W$5-1,0,1,1)))/(MAX(AC$10:OFFSET(AC$10,$W$5-1,0,1,1))-MIN(AC$10:OFFSET(AC$10,$W$5-1,0,1,1))),(AC37-MAX(AC$10:OFFSET(AC$10,$W$5-1,0,1,1)))/(MIN(AC$10:OFFSET(AC$10,$W$5-1,0,1,1))-MAX(AC$10:OFFSET(AC$10,$W$5-1,0,1,1)))),"")</f>
        <v/>
      </c>
    </row>
    <row r="94" spans="1:29" ht="15" customHeight="1" thickBot="1">
      <c r="A94" s="199"/>
      <c r="B94" s="206" t="str">
        <f t="shared" si="5"/>
        <v/>
      </c>
      <c r="C94" s="220">
        <f t="shared" si="6"/>
        <v>0</v>
      </c>
      <c r="D94" s="221" t="str">
        <f ca="1">IF(AND(ISNUMBER($B94),(ISNUMBER(D$5))),IF(D$7=1,(D38-MIN(D$10:OFFSET(D$10,$C$5-1,0,1,1)))/(MAX(D$10:OFFSET(D$10,$C$5-1,0,1,1))-MIN(D$10:OFFSET(D$10,$C$5-1,0,1,1))),(D38-MAX(D$10:OFFSET(D$10,$C$5-1,0,1,1)))/(MIN(D$10:OFFSET(D$10,$C$5-1,0,1,1))-MAX(D$10:OFFSET(D$10,$C$5-1,0,1,1)))),"")</f>
        <v/>
      </c>
      <c r="E94" s="221" t="str">
        <f ca="1">IF(AND(ISNUMBER($B94),(ISNUMBER(E$5))),IF(E$7=1,(E38-MIN(E$10:OFFSET(E$10,$C$5-1,0,1,1)))/(MAX(E$10:OFFSET(E$10,$C$5-1,0,1,1))-MIN(E$10:OFFSET(E$10,$C$5-1,0,1,1))),(E38-MAX(E$10:OFFSET(E$10,$C$5-1,0,1,1)))/(MIN(E$10:OFFSET(E$10,$C$5-1,0,1,1))-MAX(E$10:OFFSET(E$10,$C$5-1,0,1,1)))),"")</f>
        <v/>
      </c>
      <c r="F94" s="221" t="str">
        <f ca="1">IF(AND(ISNUMBER($B94),(ISNUMBER(F$5))),IF(F$7=1,(F38-MIN(F$10:OFFSET(F$10,$C$5-1,0,1,1)))/(MAX(F$10:OFFSET(F$10,$C$5-1,0,1,1))-MIN(F$10:OFFSET(F$10,$C$5-1,0,1,1))),(F38-MAX(F$10:OFFSET(F$10,$C$5-1,0,1,1)))/(MIN(F$10:OFFSET(F$10,$C$5-1,0,1,1))-MAX(F$10:OFFSET(F$10,$C$5-1,0,1,1)))),"")</f>
        <v/>
      </c>
      <c r="G94" s="221" t="str">
        <f ca="1">IF(AND(ISNUMBER($B94),(ISNUMBER(G$5))),IF(G$7=1,(G38-MIN(G$10:OFFSET(G$10,$C$5-1,0,1,1)))/(MAX(G$10:OFFSET(G$10,$C$5-1,0,1,1))-MIN(G$10:OFFSET(G$10,$C$5-1,0,1,1))),(G38-MAX(G$10:OFFSET(G$10,$C$5-1,0,1,1)))/(MIN(G$10:OFFSET(G$10,$C$5-1,0,1,1))-MAX(G$10:OFFSET(G$10,$C$5-1,0,1,1)))),"")</f>
        <v/>
      </c>
      <c r="H94" s="221" t="str">
        <f ca="1">IF(AND(ISNUMBER($B94),(ISNUMBER(H$5))),IF(H$7=1,(H38-MIN(H$10:OFFSET(H$10,$C$5-1,0,1,1)))/(MAX(H$10:OFFSET(H$10,$C$5-1,0,1,1))-MIN(H$10:OFFSET(H$10,$C$5-1,0,1,1))),(H38-MAX(H$10:OFFSET(H$10,$C$5-1,0,1,1)))/(MIN(H$10:OFFSET(H$10,$C$5-1,0,1,1))-MAX(H$10:OFFSET(H$10,$C$5-1,0,1,1)))),"")</f>
        <v/>
      </c>
      <c r="I94" s="221" t="str">
        <f ca="1">IF(AND(ISNUMBER($B94),(ISNUMBER(I$5))),IF(I$7=1,(I38-MIN(I$10:OFFSET(I$10,$C$5-1,0,1,1)))/(MAX(I$10:OFFSET(I$10,$C$5-1,0,1,1))-MIN(I$10:OFFSET(I$10,$C$5-1,0,1,1))),(I38-MAX(I$10:OFFSET(I$10,$C$5-1,0,1,1)))/(MIN(I$10:OFFSET(I$10,$C$5-1,0,1,1))-MAX(I$10:OFFSET(I$10,$C$5-1,0,1,1)))),"")</f>
        <v/>
      </c>
      <c r="J94" s="187"/>
      <c r="K94" s="199"/>
      <c r="L94" s="206" t="str">
        <f t="shared" si="7"/>
        <v/>
      </c>
      <c r="M94" s="220">
        <f t="shared" si="3"/>
        <v>0</v>
      </c>
      <c r="N94" s="221" t="str">
        <f ca="1">IF(AND(ISNUMBER($L94),(ISNUMBER(N$5))),IF(N$7=1,(N38-MIN(N$10:OFFSET(N$10,$M$5-1,0,1,1)))/(MAX(N$10:OFFSET(N$10,$M$5-1,0,1,1))-MIN(N$10:OFFSET(N$10,$M$5-1,0,1,1))),(N38-MAX(N$10:OFFSET(N$10,$M$5-1,0,1,1)))/(MIN(N$10:OFFSET(N$10,$M$5-1,0,1,1))-MAX(N$10:OFFSET(N$10,$M$5-1,0,1,1)))),"")</f>
        <v/>
      </c>
      <c r="O94" s="221" t="str">
        <f ca="1">IF(AND(ISNUMBER($L94),(ISNUMBER(O$5))),IF(O$7=1,(O38-MIN(O$10:OFFSET(O$10,$M$5-1,0,1,1)))/(MAX(O$10:OFFSET(O$10,$M$5-1,0,1,1))-MIN(O$10:OFFSET(O$10,$M$5-1,0,1,1))),(O38-MAX(O$10:OFFSET(O$10,$M$5-1,0,1,1)))/(MIN(O$10:OFFSET(O$10,$M$5-1,0,1,1))-MAX(O$10:OFFSET(O$10,$M$5-1,0,1,1)))),"")</f>
        <v/>
      </c>
      <c r="P94" s="221" t="str">
        <f ca="1">IF(AND(ISNUMBER($L94),(ISNUMBER(P$5))),IF(P$7=1,(P38-MIN(P$10:OFFSET(P$10,$M$5-1,0,1,1)))/(MAX(P$10:OFFSET(P$10,$M$5-1,0,1,1))-MIN(P$10:OFFSET(P$10,$M$5-1,0,1,1))),(P38-MAX(P$10:OFFSET(P$10,$M$5-1,0,1,1)))/(MIN(P$10:OFFSET(P$10,$M$5-1,0,1,1))-MAX(P$10:OFFSET(P$10,$M$5-1,0,1,1)))),"")</f>
        <v/>
      </c>
      <c r="Q94" s="221" t="str">
        <f ca="1">IF(AND(ISNUMBER($L94),(ISNUMBER(Q$5))),IF(Q$7=1,(Q38-MIN(Q$10:OFFSET(Q$10,$M$5-1,0,1,1)))/(MAX(Q$10:OFFSET(Q$10,$M$5-1,0,1,1))-MIN(Q$10:OFFSET(Q$10,$M$5-1,0,1,1))),(Q38-MAX(Q$10:OFFSET(Q$10,$M$5-1,0,1,1)))/(MIN(Q$10:OFFSET(Q$10,$M$5-1,0,1,1))-MAX(Q$10:OFFSET(Q$10,$M$5-1,0,1,1)))),"")</f>
        <v/>
      </c>
      <c r="R94" s="221" t="str">
        <f ca="1">IF(AND(ISNUMBER($L94),(ISNUMBER(R$5))),IF(R$7=1,(R38-MIN(R$10:OFFSET(R$10,$M$5-1,0,1,1)))/(MAX(R$10:OFFSET(R$10,$M$5-1,0,1,1))-MIN(R$10:OFFSET(R$10,$M$5-1,0,1,1))),(R38-MAX(R$10:OFFSET(R$10,$M$5-1,0,1,1)))/(MIN(R$10:OFFSET(R$10,$M$5-1,0,1,1))-MAX(R$10:OFFSET(R$10,$M$5-1,0,1,1)))),"")</f>
        <v/>
      </c>
      <c r="S94" s="221" t="str">
        <f ca="1">IF(AND(ISNUMBER($L94),(ISNUMBER(S$5))),IF(S$7=1,(S38-MIN(S$10:OFFSET(S$10,$M$5-1,0,1,1)))/(MAX(S$10:OFFSET(S$10,$M$5-1,0,1,1))-MIN(S$10:OFFSET(S$10,$M$5-1,0,1,1))),(S38-MAX(S$10:OFFSET(S$10,$M$5-1,0,1,1)))/(MIN(S$10:OFFSET(S$10,$M$5-1,0,1,1))-MAX(S$10:OFFSET(S$10,$M$5-1,0,1,1)))),"")</f>
        <v/>
      </c>
      <c r="T94" s="187"/>
      <c r="U94" s="199"/>
      <c r="V94" s="206" t="str">
        <f t="shared" si="8"/>
        <v/>
      </c>
      <c r="W94" s="220">
        <f t="shared" si="4"/>
        <v>0</v>
      </c>
      <c r="X94" s="221" t="str">
        <f ca="1">IF(AND(ISNUMBER($V94),(ISNUMBER(X$5))),IF(X$7=1,(X38-MIN(X$10:OFFSET(X$10,$W$5-1,0,1,1)))/(MAX(X$10:OFFSET(X$10,$W$5-1,0,1,1))-MIN(X$10:OFFSET(X$10,$W$5-1,0,1,1))),(X38-MAX(X$10:OFFSET(X$10,$W$5-1,0,1,1)))/(MIN(X$10:OFFSET(X$10,$W$5-1,0,1,1))-MAX(X$10:OFFSET(X$10,$W$5-1,0,1,1)))),"")</f>
        <v/>
      </c>
      <c r="Y94" s="221" t="str">
        <f ca="1">IF(AND(ISNUMBER($V94),(ISNUMBER(Y$5))),IF(Y$7=1,(Y38-MIN(Y$10:OFFSET(Y$10,$W$5-1,0,1,1)))/(MAX(Y$10:OFFSET(Y$10,$W$5-1,0,1,1))-MIN(Y$10:OFFSET(Y$10,$W$5-1,0,1,1))),(Y38-MAX(Y$10:OFFSET(Y$10,$W$5-1,0,1,1)))/(MIN(Y$10:OFFSET(Y$10,$W$5-1,0,1,1))-MAX(Y$10:OFFSET(Y$10,$W$5-1,0,1,1)))),"")</f>
        <v/>
      </c>
      <c r="Z94" s="221" t="str">
        <f ca="1">IF(AND(ISNUMBER($V94),(ISNUMBER(Z$5))),IF(Z$7=1,(Z38-MIN(Z$10:OFFSET(Z$10,$W$5-1,0,1,1)))/(MAX(Z$10:OFFSET(Z$10,$W$5-1,0,1,1))-MIN(Z$10:OFFSET(Z$10,$W$5-1,0,1,1))),(Z38-MAX(Z$10:OFFSET(Z$10,$W$5-1,0,1,1)))/(MIN(Z$10:OFFSET(Z$10,$W$5-1,0,1,1))-MAX(Z$10:OFFSET(Z$10,$W$5-1,0,1,1)))),"")</f>
        <v/>
      </c>
      <c r="AA94" s="221" t="str">
        <f ca="1">IF(AND(ISNUMBER($V94),(ISNUMBER(AA$5))),IF(AA$7=1,(AA38-MIN(AA$10:OFFSET(AA$10,$W$5-1,0,1,1)))/(MAX(AA$10:OFFSET(AA$10,$W$5-1,0,1,1))-MIN(AA$10:OFFSET(AA$10,$W$5-1,0,1,1))),(AA38-MAX(AA$10:OFFSET(AA$10,$W$5-1,0,1,1)))/(MIN(AA$10:OFFSET(AA$10,$W$5-1,0,1,1))-MAX(AA$10:OFFSET(AA$10,$W$5-1,0,1,1)))),"")</f>
        <v/>
      </c>
      <c r="AB94" s="221" t="str">
        <f ca="1">IF(AND(ISNUMBER($V94),(ISNUMBER(AB$5))),IF(AB$7=1,(AB38-MIN(AB$10:OFFSET(AB$10,$W$5-1,0,1,1)))/(MAX(AB$10:OFFSET(AB$10,$W$5-1,0,1,1))-MIN(AB$10:OFFSET(AB$10,$W$5-1,0,1,1))),(AB38-MAX(AB$10:OFFSET(AB$10,$W$5-1,0,1,1)))/(MIN(AB$10:OFFSET(AB$10,$W$5-1,0,1,1))-MAX(AB$10:OFFSET(AB$10,$W$5-1,0,1,1)))),"")</f>
        <v/>
      </c>
      <c r="AC94" s="221" t="str">
        <f ca="1">IF(AND(ISNUMBER($V94),(ISNUMBER(AC$5))),IF(AC$7=1,(AC38-MIN(AC$10:OFFSET(AC$10,$W$5-1,0,1,1)))/(MAX(AC$10:OFFSET(AC$10,$W$5-1,0,1,1))-MIN(AC$10:OFFSET(AC$10,$W$5-1,0,1,1))),(AC38-MAX(AC$10:OFFSET(AC$10,$W$5-1,0,1,1)))/(MIN(AC$10:OFFSET(AC$10,$W$5-1,0,1,1))-MAX(AC$10:OFFSET(AC$10,$W$5-1,0,1,1)))),"")</f>
        <v/>
      </c>
    </row>
    <row r="95" spans="1:29" ht="15" customHeight="1" thickBot="1">
      <c r="A95" s="199"/>
      <c r="B95" s="206" t="str">
        <f t="shared" si="5"/>
        <v/>
      </c>
      <c r="C95" s="220">
        <f t="shared" si="6"/>
        <v>0</v>
      </c>
      <c r="D95" s="221" t="str">
        <f ca="1">IF(AND(ISNUMBER($B95),(ISNUMBER(D$5))),IF(D$7=1,(D39-MIN(D$10:OFFSET(D$10,$C$5-1,0,1,1)))/(MAX(D$10:OFFSET(D$10,$C$5-1,0,1,1))-MIN(D$10:OFFSET(D$10,$C$5-1,0,1,1))),(D39-MAX(D$10:OFFSET(D$10,$C$5-1,0,1,1)))/(MIN(D$10:OFFSET(D$10,$C$5-1,0,1,1))-MAX(D$10:OFFSET(D$10,$C$5-1,0,1,1)))),"")</f>
        <v/>
      </c>
      <c r="E95" s="221" t="str">
        <f ca="1">IF(AND(ISNUMBER($B95),(ISNUMBER(E$5))),IF(E$7=1,(E39-MIN(E$10:OFFSET(E$10,$C$5-1,0,1,1)))/(MAX(E$10:OFFSET(E$10,$C$5-1,0,1,1))-MIN(E$10:OFFSET(E$10,$C$5-1,0,1,1))),(E39-MAX(E$10:OFFSET(E$10,$C$5-1,0,1,1)))/(MIN(E$10:OFFSET(E$10,$C$5-1,0,1,1))-MAX(E$10:OFFSET(E$10,$C$5-1,0,1,1)))),"")</f>
        <v/>
      </c>
      <c r="F95" s="221" t="str">
        <f ca="1">IF(AND(ISNUMBER($B95),(ISNUMBER(F$5))),IF(F$7=1,(F39-MIN(F$10:OFFSET(F$10,$C$5-1,0,1,1)))/(MAX(F$10:OFFSET(F$10,$C$5-1,0,1,1))-MIN(F$10:OFFSET(F$10,$C$5-1,0,1,1))),(F39-MAX(F$10:OFFSET(F$10,$C$5-1,0,1,1)))/(MIN(F$10:OFFSET(F$10,$C$5-1,0,1,1))-MAX(F$10:OFFSET(F$10,$C$5-1,0,1,1)))),"")</f>
        <v/>
      </c>
      <c r="G95" s="221" t="str">
        <f ca="1">IF(AND(ISNUMBER($B95),(ISNUMBER(G$5))),IF(G$7=1,(G39-MIN(G$10:OFFSET(G$10,$C$5-1,0,1,1)))/(MAX(G$10:OFFSET(G$10,$C$5-1,0,1,1))-MIN(G$10:OFFSET(G$10,$C$5-1,0,1,1))),(G39-MAX(G$10:OFFSET(G$10,$C$5-1,0,1,1)))/(MIN(G$10:OFFSET(G$10,$C$5-1,0,1,1))-MAX(G$10:OFFSET(G$10,$C$5-1,0,1,1)))),"")</f>
        <v/>
      </c>
      <c r="H95" s="221" t="str">
        <f ca="1">IF(AND(ISNUMBER($B95),(ISNUMBER(H$5))),IF(H$7=1,(H39-MIN(H$10:OFFSET(H$10,$C$5-1,0,1,1)))/(MAX(H$10:OFFSET(H$10,$C$5-1,0,1,1))-MIN(H$10:OFFSET(H$10,$C$5-1,0,1,1))),(H39-MAX(H$10:OFFSET(H$10,$C$5-1,0,1,1)))/(MIN(H$10:OFFSET(H$10,$C$5-1,0,1,1))-MAX(H$10:OFFSET(H$10,$C$5-1,0,1,1)))),"")</f>
        <v/>
      </c>
      <c r="I95" s="221" t="str">
        <f ca="1">IF(AND(ISNUMBER($B95),(ISNUMBER(I$5))),IF(I$7=1,(I39-MIN(I$10:OFFSET(I$10,$C$5-1,0,1,1)))/(MAX(I$10:OFFSET(I$10,$C$5-1,0,1,1))-MIN(I$10:OFFSET(I$10,$C$5-1,0,1,1))),(I39-MAX(I$10:OFFSET(I$10,$C$5-1,0,1,1)))/(MIN(I$10:OFFSET(I$10,$C$5-1,0,1,1))-MAX(I$10:OFFSET(I$10,$C$5-1,0,1,1)))),"")</f>
        <v/>
      </c>
      <c r="J95" s="187"/>
      <c r="K95" s="199"/>
      <c r="L95" s="206" t="str">
        <f t="shared" si="7"/>
        <v/>
      </c>
      <c r="M95" s="220">
        <f t="shared" si="3"/>
        <v>0</v>
      </c>
      <c r="N95" s="221" t="str">
        <f ca="1">IF(AND(ISNUMBER($L95),(ISNUMBER(N$5))),IF(N$7=1,(N39-MIN(N$10:OFFSET(N$10,$M$5-1,0,1,1)))/(MAX(N$10:OFFSET(N$10,$M$5-1,0,1,1))-MIN(N$10:OFFSET(N$10,$M$5-1,0,1,1))),(N39-MAX(N$10:OFFSET(N$10,$M$5-1,0,1,1)))/(MIN(N$10:OFFSET(N$10,$M$5-1,0,1,1))-MAX(N$10:OFFSET(N$10,$M$5-1,0,1,1)))),"")</f>
        <v/>
      </c>
      <c r="O95" s="221" t="str">
        <f ca="1">IF(AND(ISNUMBER($L95),(ISNUMBER(O$5))),IF(O$7=1,(O39-MIN(O$10:OFFSET(O$10,$M$5-1,0,1,1)))/(MAX(O$10:OFFSET(O$10,$M$5-1,0,1,1))-MIN(O$10:OFFSET(O$10,$M$5-1,0,1,1))),(O39-MAX(O$10:OFFSET(O$10,$M$5-1,0,1,1)))/(MIN(O$10:OFFSET(O$10,$M$5-1,0,1,1))-MAX(O$10:OFFSET(O$10,$M$5-1,0,1,1)))),"")</f>
        <v/>
      </c>
      <c r="P95" s="221" t="str">
        <f ca="1">IF(AND(ISNUMBER($L95),(ISNUMBER(P$5))),IF(P$7=1,(P39-MIN(P$10:OFFSET(P$10,$M$5-1,0,1,1)))/(MAX(P$10:OFFSET(P$10,$M$5-1,0,1,1))-MIN(P$10:OFFSET(P$10,$M$5-1,0,1,1))),(P39-MAX(P$10:OFFSET(P$10,$M$5-1,0,1,1)))/(MIN(P$10:OFFSET(P$10,$M$5-1,0,1,1))-MAX(P$10:OFFSET(P$10,$M$5-1,0,1,1)))),"")</f>
        <v/>
      </c>
      <c r="Q95" s="221" t="str">
        <f ca="1">IF(AND(ISNUMBER($L95),(ISNUMBER(Q$5))),IF(Q$7=1,(Q39-MIN(Q$10:OFFSET(Q$10,$M$5-1,0,1,1)))/(MAX(Q$10:OFFSET(Q$10,$M$5-1,0,1,1))-MIN(Q$10:OFFSET(Q$10,$M$5-1,0,1,1))),(Q39-MAX(Q$10:OFFSET(Q$10,$M$5-1,0,1,1)))/(MIN(Q$10:OFFSET(Q$10,$M$5-1,0,1,1))-MAX(Q$10:OFFSET(Q$10,$M$5-1,0,1,1)))),"")</f>
        <v/>
      </c>
      <c r="R95" s="221" t="str">
        <f ca="1">IF(AND(ISNUMBER($L95),(ISNUMBER(R$5))),IF(R$7=1,(R39-MIN(R$10:OFFSET(R$10,$M$5-1,0,1,1)))/(MAX(R$10:OFFSET(R$10,$M$5-1,0,1,1))-MIN(R$10:OFFSET(R$10,$M$5-1,0,1,1))),(R39-MAX(R$10:OFFSET(R$10,$M$5-1,0,1,1)))/(MIN(R$10:OFFSET(R$10,$M$5-1,0,1,1))-MAX(R$10:OFFSET(R$10,$M$5-1,0,1,1)))),"")</f>
        <v/>
      </c>
      <c r="S95" s="221" t="str">
        <f ca="1">IF(AND(ISNUMBER($L95),(ISNUMBER(S$5))),IF(S$7=1,(S39-MIN(S$10:OFFSET(S$10,$M$5-1,0,1,1)))/(MAX(S$10:OFFSET(S$10,$M$5-1,0,1,1))-MIN(S$10:OFFSET(S$10,$M$5-1,0,1,1))),(S39-MAX(S$10:OFFSET(S$10,$M$5-1,0,1,1)))/(MIN(S$10:OFFSET(S$10,$M$5-1,0,1,1))-MAX(S$10:OFFSET(S$10,$M$5-1,0,1,1)))),"")</f>
        <v/>
      </c>
      <c r="T95" s="187"/>
      <c r="U95" s="199"/>
      <c r="V95" s="206" t="str">
        <f t="shared" si="8"/>
        <v/>
      </c>
      <c r="W95" s="220">
        <f t="shared" si="4"/>
        <v>0</v>
      </c>
      <c r="X95" s="221" t="str">
        <f ca="1">IF(AND(ISNUMBER($V95),(ISNUMBER(X$5))),IF(X$7=1,(X39-MIN(X$10:OFFSET(X$10,$W$5-1,0,1,1)))/(MAX(X$10:OFFSET(X$10,$W$5-1,0,1,1))-MIN(X$10:OFFSET(X$10,$W$5-1,0,1,1))),(X39-MAX(X$10:OFFSET(X$10,$W$5-1,0,1,1)))/(MIN(X$10:OFFSET(X$10,$W$5-1,0,1,1))-MAX(X$10:OFFSET(X$10,$W$5-1,0,1,1)))),"")</f>
        <v/>
      </c>
      <c r="Y95" s="221" t="str">
        <f ca="1">IF(AND(ISNUMBER($V95),(ISNUMBER(Y$5))),IF(Y$7=1,(Y39-MIN(Y$10:OFFSET(Y$10,$W$5-1,0,1,1)))/(MAX(Y$10:OFFSET(Y$10,$W$5-1,0,1,1))-MIN(Y$10:OFFSET(Y$10,$W$5-1,0,1,1))),(Y39-MAX(Y$10:OFFSET(Y$10,$W$5-1,0,1,1)))/(MIN(Y$10:OFFSET(Y$10,$W$5-1,0,1,1))-MAX(Y$10:OFFSET(Y$10,$W$5-1,0,1,1)))),"")</f>
        <v/>
      </c>
      <c r="Z95" s="221" t="str">
        <f ca="1">IF(AND(ISNUMBER($V95),(ISNUMBER(Z$5))),IF(Z$7=1,(Z39-MIN(Z$10:OFFSET(Z$10,$W$5-1,0,1,1)))/(MAX(Z$10:OFFSET(Z$10,$W$5-1,0,1,1))-MIN(Z$10:OFFSET(Z$10,$W$5-1,0,1,1))),(Z39-MAX(Z$10:OFFSET(Z$10,$W$5-1,0,1,1)))/(MIN(Z$10:OFFSET(Z$10,$W$5-1,0,1,1))-MAX(Z$10:OFFSET(Z$10,$W$5-1,0,1,1)))),"")</f>
        <v/>
      </c>
      <c r="AA95" s="221" t="str">
        <f ca="1">IF(AND(ISNUMBER($V95),(ISNUMBER(AA$5))),IF(AA$7=1,(AA39-MIN(AA$10:OFFSET(AA$10,$W$5-1,0,1,1)))/(MAX(AA$10:OFFSET(AA$10,$W$5-1,0,1,1))-MIN(AA$10:OFFSET(AA$10,$W$5-1,0,1,1))),(AA39-MAX(AA$10:OFFSET(AA$10,$W$5-1,0,1,1)))/(MIN(AA$10:OFFSET(AA$10,$W$5-1,0,1,1))-MAX(AA$10:OFFSET(AA$10,$W$5-1,0,1,1)))),"")</f>
        <v/>
      </c>
      <c r="AB95" s="221" t="str">
        <f ca="1">IF(AND(ISNUMBER($V95),(ISNUMBER(AB$5))),IF(AB$7=1,(AB39-MIN(AB$10:OFFSET(AB$10,$W$5-1,0,1,1)))/(MAX(AB$10:OFFSET(AB$10,$W$5-1,0,1,1))-MIN(AB$10:OFFSET(AB$10,$W$5-1,0,1,1))),(AB39-MAX(AB$10:OFFSET(AB$10,$W$5-1,0,1,1)))/(MIN(AB$10:OFFSET(AB$10,$W$5-1,0,1,1))-MAX(AB$10:OFFSET(AB$10,$W$5-1,0,1,1)))),"")</f>
        <v/>
      </c>
      <c r="AC95" s="221" t="str">
        <f ca="1">IF(AND(ISNUMBER($V95),(ISNUMBER(AC$5))),IF(AC$7=1,(AC39-MIN(AC$10:OFFSET(AC$10,$W$5-1,0,1,1)))/(MAX(AC$10:OFFSET(AC$10,$W$5-1,0,1,1))-MIN(AC$10:OFFSET(AC$10,$W$5-1,0,1,1))),(AC39-MAX(AC$10:OFFSET(AC$10,$W$5-1,0,1,1)))/(MIN(AC$10:OFFSET(AC$10,$W$5-1,0,1,1))-MAX(AC$10:OFFSET(AC$10,$W$5-1,0,1,1)))),"")</f>
        <v/>
      </c>
    </row>
    <row r="96" spans="1:29" ht="15" customHeight="1" thickBot="1">
      <c r="A96" s="199"/>
      <c r="B96" s="206" t="str">
        <f t="shared" si="5"/>
        <v/>
      </c>
      <c r="C96" s="220">
        <f t="shared" si="6"/>
        <v>0</v>
      </c>
      <c r="D96" s="221" t="str">
        <f ca="1">IF(AND(ISNUMBER($B96),(ISNUMBER(D$5))),IF(D$7=1,(D40-MIN(D$10:OFFSET(D$10,$C$5-1,0,1,1)))/(MAX(D$10:OFFSET(D$10,$C$5-1,0,1,1))-MIN(D$10:OFFSET(D$10,$C$5-1,0,1,1))),(D40-MAX(D$10:OFFSET(D$10,$C$5-1,0,1,1)))/(MIN(D$10:OFFSET(D$10,$C$5-1,0,1,1))-MAX(D$10:OFFSET(D$10,$C$5-1,0,1,1)))),"")</f>
        <v/>
      </c>
      <c r="E96" s="221" t="str">
        <f ca="1">IF(AND(ISNUMBER($B96),(ISNUMBER(E$5))),IF(E$7=1,(E40-MIN(E$10:OFFSET(E$10,$C$5-1,0,1,1)))/(MAX(E$10:OFFSET(E$10,$C$5-1,0,1,1))-MIN(E$10:OFFSET(E$10,$C$5-1,0,1,1))),(E40-MAX(E$10:OFFSET(E$10,$C$5-1,0,1,1)))/(MIN(E$10:OFFSET(E$10,$C$5-1,0,1,1))-MAX(E$10:OFFSET(E$10,$C$5-1,0,1,1)))),"")</f>
        <v/>
      </c>
      <c r="F96" s="221" t="str">
        <f ca="1">IF(AND(ISNUMBER($B96),(ISNUMBER(F$5))),IF(F$7=1,(F40-MIN(F$10:OFFSET(F$10,$C$5-1,0,1,1)))/(MAX(F$10:OFFSET(F$10,$C$5-1,0,1,1))-MIN(F$10:OFFSET(F$10,$C$5-1,0,1,1))),(F40-MAX(F$10:OFFSET(F$10,$C$5-1,0,1,1)))/(MIN(F$10:OFFSET(F$10,$C$5-1,0,1,1))-MAX(F$10:OFFSET(F$10,$C$5-1,0,1,1)))),"")</f>
        <v/>
      </c>
      <c r="G96" s="221" t="str">
        <f ca="1">IF(AND(ISNUMBER($B96),(ISNUMBER(G$5))),IF(G$7=1,(G40-MIN(G$10:OFFSET(G$10,$C$5-1,0,1,1)))/(MAX(G$10:OFFSET(G$10,$C$5-1,0,1,1))-MIN(G$10:OFFSET(G$10,$C$5-1,0,1,1))),(G40-MAX(G$10:OFFSET(G$10,$C$5-1,0,1,1)))/(MIN(G$10:OFFSET(G$10,$C$5-1,0,1,1))-MAX(G$10:OFFSET(G$10,$C$5-1,0,1,1)))),"")</f>
        <v/>
      </c>
      <c r="H96" s="221" t="str">
        <f ca="1">IF(AND(ISNUMBER($B96),(ISNUMBER(H$5))),IF(H$7=1,(H40-MIN(H$10:OFFSET(H$10,$C$5-1,0,1,1)))/(MAX(H$10:OFFSET(H$10,$C$5-1,0,1,1))-MIN(H$10:OFFSET(H$10,$C$5-1,0,1,1))),(H40-MAX(H$10:OFFSET(H$10,$C$5-1,0,1,1)))/(MIN(H$10:OFFSET(H$10,$C$5-1,0,1,1))-MAX(H$10:OFFSET(H$10,$C$5-1,0,1,1)))),"")</f>
        <v/>
      </c>
      <c r="I96" s="221" t="str">
        <f ca="1">IF(AND(ISNUMBER($B96),(ISNUMBER(I$5))),IF(I$7=1,(I40-MIN(I$10:OFFSET(I$10,$C$5-1,0,1,1)))/(MAX(I$10:OFFSET(I$10,$C$5-1,0,1,1))-MIN(I$10:OFFSET(I$10,$C$5-1,0,1,1))),(I40-MAX(I$10:OFFSET(I$10,$C$5-1,0,1,1)))/(MIN(I$10:OFFSET(I$10,$C$5-1,0,1,1))-MAX(I$10:OFFSET(I$10,$C$5-1,0,1,1)))),"")</f>
        <v/>
      </c>
      <c r="J96" s="187"/>
      <c r="K96" s="199"/>
      <c r="L96" s="206" t="str">
        <f t="shared" si="7"/>
        <v/>
      </c>
      <c r="M96" s="220">
        <f t="shared" si="3"/>
        <v>0</v>
      </c>
      <c r="N96" s="221" t="str">
        <f ca="1">IF(AND(ISNUMBER($L96),(ISNUMBER(N$5))),IF(N$7=1,(N40-MIN(N$10:OFFSET(N$10,$M$5-1,0,1,1)))/(MAX(N$10:OFFSET(N$10,$M$5-1,0,1,1))-MIN(N$10:OFFSET(N$10,$M$5-1,0,1,1))),(N40-MAX(N$10:OFFSET(N$10,$M$5-1,0,1,1)))/(MIN(N$10:OFFSET(N$10,$M$5-1,0,1,1))-MAX(N$10:OFFSET(N$10,$M$5-1,0,1,1)))),"")</f>
        <v/>
      </c>
      <c r="O96" s="221" t="str">
        <f ca="1">IF(AND(ISNUMBER($L96),(ISNUMBER(O$5))),IF(O$7=1,(O40-MIN(O$10:OFFSET(O$10,$M$5-1,0,1,1)))/(MAX(O$10:OFFSET(O$10,$M$5-1,0,1,1))-MIN(O$10:OFFSET(O$10,$M$5-1,0,1,1))),(O40-MAX(O$10:OFFSET(O$10,$M$5-1,0,1,1)))/(MIN(O$10:OFFSET(O$10,$M$5-1,0,1,1))-MAX(O$10:OFFSET(O$10,$M$5-1,0,1,1)))),"")</f>
        <v/>
      </c>
      <c r="P96" s="221" t="str">
        <f ca="1">IF(AND(ISNUMBER($L96),(ISNUMBER(P$5))),IF(P$7=1,(P40-MIN(P$10:OFFSET(P$10,$M$5-1,0,1,1)))/(MAX(P$10:OFFSET(P$10,$M$5-1,0,1,1))-MIN(P$10:OFFSET(P$10,$M$5-1,0,1,1))),(P40-MAX(P$10:OFFSET(P$10,$M$5-1,0,1,1)))/(MIN(P$10:OFFSET(P$10,$M$5-1,0,1,1))-MAX(P$10:OFFSET(P$10,$M$5-1,0,1,1)))),"")</f>
        <v/>
      </c>
      <c r="Q96" s="221" t="str">
        <f ca="1">IF(AND(ISNUMBER($L96),(ISNUMBER(Q$5))),IF(Q$7=1,(Q40-MIN(Q$10:OFFSET(Q$10,$M$5-1,0,1,1)))/(MAX(Q$10:OFFSET(Q$10,$M$5-1,0,1,1))-MIN(Q$10:OFFSET(Q$10,$M$5-1,0,1,1))),(Q40-MAX(Q$10:OFFSET(Q$10,$M$5-1,0,1,1)))/(MIN(Q$10:OFFSET(Q$10,$M$5-1,0,1,1))-MAX(Q$10:OFFSET(Q$10,$M$5-1,0,1,1)))),"")</f>
        <v/>
      </c>
      <c r="R96" s="221" t="str">
        <f ca="1">IF(AND(ISNUMBER($L96),(ISNUMBER(R$5))),IF(R$7=1,(R40-MIN(R$10:OFFSET(R$10,$M$5-1,0,1,1)))/(MAX(R$10:OFFSET(R$10,$M$5-1,0,1,1))-MIN(R$10:OFFSET(R$10,$M$5-1,0,1,1))),(R40-MAX(R$10:OFFSET(R$10,$M$5-1,0,1,1)))/(MIN(R$10:OFFSET(R$10,$M$5-1,0,1,1))-MAX(R$10:OFFSET(R$10,$M$5-1,0,1,1)))),"")</f>
        <v/>
      </c>
      <c r="S96" s="221" t="str">
        <f ca="1">IF(AND(ISNUMBER($L96),(ISNUMBER(S$5))),IF(S$7=1,(S40-MIN(S$10:OFFSET(S$10,$M$5-1,0,1,1)))/(MAX(S$10:OFFSET(S$10,$M$5-1,0,1,1))-MIN(S$10:OFFSET(S$10,$M$5-1,0,1,1))),(S40-MAX(S$10:OFFSET(S$10,$M$5-1,0,1,1)))/(MIN(S$10:OFFSET(S$10,$M$5-1,0,1,1))-MAX(S$10:OFFSET(S$10,$M$5-1,0,1,1)))),"")</f>
        <v/>
      </c>
      <c r="T96" s="187"/>
      <c r="U96" s="199"/>
      <c r="V96" s="206" t="str">
        <f t="shared" si="8"/>
        <v/>
      </c>
      <c r="W96" s="220">
        <f t="shared" si="4"/>
        <v>0</v>
      </c>
      <c r="X96" s="221" t="str">
        <f ca="1">IF(AND(ISNUMBER($V96),(ISNUMBER(X$5))),IF(X$7=1,(X40-MIN(X$10:OFFSET(X$10,$W$5-1,0,1,1)))/(MAX(X$10:OFFSET(X$10,$W$5-1,0,1,1))-MIN(X$10:OFFSET(X$10,$W$5-1,0,1,1))),(X40-MAX(X$10:OFFSET(X$10,$W$5-1,0,1,1)))/(MIN(X$10:OFFSET(X$10,$W$5-1,0,1,1))-MAX(X$10:OFFSET(X$10,$W$5-1,0,1,1)))),"")</f>
        <v/>
      </c>
      <c r="Y96" s="221" t="str">
        <f ca="1">IF(AND(ISNUMBER($V96),(ISNUMBER(Y$5))),IF(Y$7=1,(Y40-MIN(Y$10:OFFSET(Y$10,$W$5-1,0,1,1)))/(MAX(Y$10:OFFSET(Y$10,$W$5-1,0,1,1))-MIN(Y$10:OFFSET(Y$10,$W$5-1,0,1,1))),(Y40-MAX(Y$10:OFFSET(Y$10,$W$5-1,0,1,1)))/(MIN(Y$10:OFFSET(Y$10,$W$5-1,0,1,1))-MAX(Y$10:OFFSET(Y$10,$W$5-1,0,1,1)))),"")</f>
        <v/>
      </c>
      <c r="Z96" s="221" t="str">
        <f ca="1">IF(AND(ISNUMBER($V96),(ISNUMBER(Z$5))),IF(Z$7=1,(Z40-MIN(Z$10:OFFSET(Z$10,$W$5-1,0,1,1)))/(MAX(Z$10:OFFSET(Z$10,$W$5-1,0,1,1))-MIN(Z$10:OFFSET(Z$10,$W$5-1,0,1,1))),(Z40-MAX(Z$10:OFFSET(Z$10,$W$5-1,0,1,1)))/(MIN(Z$10:OFFSET(Z$10,$W$5-1,0,1,1))-MAX(Z$10:OFFSET(Z$10,$W$5-1,0,1,1)))),"")</f>
        <v/>
      </c>
      <c r="AA96" s="221" t="str">
        <f ca="1">IF(AND(ISNUMBER($V96),(ISNUMBER(AA$5))),IF(AA$7=1,(AA40-MIN(AA$10:OFFSET(AA$10,$W$5-1,0,1,1)))/(MAX(AA$10:OFFSET(AA$10,$W$5-1,0,1,1))-MIN(AA$10:OFFSET(AA$10,$W$5-1,0,1,1))),(AA40-MAX(AA$10:OFFSET(AA$10,$W$5-1,0,1,1)))/(MIN(AA$10:OFFSET(AA$10,$W$5-1,0,1,1))-MAX(AA$10:OFFSET(AA$10,$W$5-1,0,1,1)))),"")</f>
        <v/>
      </c>
      <c r="AB96" s="221" t="str">
        <f ca="1">IF(AND(ISNUMBER($V96),(ISNUMBER(AB$5))),IF(AB$7=1,(AB40-MIN(AB$10:OFFSET(AB$10,$W$5-1,0,1,1)))/(MAX(AB$10:OFFSET(AB$10,$W$5-1,0,1,1))-MIN(AB$10:OFFSET(AB$10,$W$5-1,0,1,1))),(AB40-MAX(AB$10:OFFSET(AB$10,$W$5-1,0,1,1)))/(MIN(AB$10:OFFSET(AB$10,$W$5-1,0,1,1))-MAX(AB$10:OFFSET(AB$10,$W$5-1,0,1,1)))),"")</f>
        <v/>
      </c>
      <c r="AC96" s="221" t="str">
        <f ca="1">IF(AND(ISNUMBER($V96),(ISNUMBER(AC$5))),IF(AC$7=1,(AC40-MIN(AC$10:OFFSET(AC$10,$W$5-1,0,1,1)))/(MAX(AC$10:OFFSET(AC$10,$W$5-1,0,1,1))-MIN(AC$10:OFFSET(AC$10,$W$5-1,0,1,1))),(AC40-MAX(AC$10:OFFSET(AC$10,$W$5-1,0,1,1)))/(MIN(AC$10:OFFSET(AC$10,$W$5-1,0,1,1))-MAX(AC$10:OFFSET(AC$10,$W$5-1,0,1,1)))),"")</f>
        <v/>
      </c>
    </row>
    <row r="97" spans="1:29" ht="15" customHeight="1" thickBot="1">
      <c r="A97" s="199"/>
      <c r="B97" s="206" t="str">
        <f t="shared" si="5"/>
        <v/>
      </c>
      <c r="C97" s="220">
        <f t="shared" si="6"/>
        <v>0</v>
      </c>
      <c r="D97" s="221" t="str">
        <f ca="1">IF(AND(ISNUMBER($B97),(ISNUMBER(D$5))),IF(D$7=1,(D41-MIN(D$10:OFFSET(D$10,$C$5-1,0,1,1)))/(MAX(D$10:OFFSET(D$10,$C$5-1,0,1,1))-MIN(D$10:OFFSET(D$10,$C$5-1,0,1,1))),(D41-MAX(D$10:OFFSET(D$10,$C$5-1,0,1,1)))/(MIN(D$10:OFFSET(D$10,$C$5-1,0,1,1))-MAX(D$10:OFFSET(D$10,$C$5-1,0,1,1)))),"")</f>
        <v/>
      </c>
      <c r="E97" s="221" t="str">
        <f ca="1">IF(AND(ISNUMBER($B97),(ISNUMBER(E$5))),IF(E$7=1,(E41-MIN(E$10:OFFSET(E$10,$C$5-1,0,1,1)))/(MAX(E$10:OFFSET(E$10,$C$5-1,0,1,1))-MIN(E$10:OFFSET(E$10,$C$5-1,0,1,1))),(E41-MAX(E$10:OFFSET(E$10,$C$5-1,0,1,1)))/(MIN(E$10:OFFSET(E$10,$C$5-1,0,1,1))-MAX(E$10:OFFSET(E$10,$C$5-1,0,1,1)))),"")</f>
        <v/>
      </c>
      <c r="F97" s="221" t="str">
        <f ca="1">IF(AND(ISNUMBER($B97),(ISNUMBER(F$5))),IF(F$7=1,(F41-MIN(F$10:OFFSET(F$10,$C$5-1,0,1,1)))/(MAX(F$10:OFFSET(F$10,$C$5-1,0,1,1))-MIN(F$10:OFFSET(F$10,$C$5-1,0,1,1))),(F41-MAX(F$10:OFFSET(F$10,$C$5-1,0,1,1)))/(MIN(F$10:OFFSET(F$10,$C$5-1,0,1,1))-MAX(F$10:OFFSET(F$10,$C$5-1,0,1,1)))),"")</f>
        <v/>
      </c>
      <c r="G97" s="221" t="str">
        <f ca="1">IF(AND(ISNUMBER($B97),(ISNUMBER(G$5))),IF(G$7=1,(G41-MIN(G$10:OFFSET(G$10,$C$5-1,0,1,1)))/(MAX(G$10:OFFSET(G$10,$C$5-1,0,1,1))-MIN(G$10:OFFSET(G$10,$C$5-1,0,1,1))),(G41-MAX(G$10:OFFSET(G$10,$C$5-1,0,1,1)))/(MIN(G$10:OFFSET(G$10,$C$5-1,0,1,1))-MAX(G$10:OFFSET(G$10,$C$5-1,0,1,1)))),"")</f>
        <v/>
      </c>
      <c r="H97" s="221" t="str">
        <f ca="1">IF(AND(ISNUMBER($B97),(ISNUMBER(H$5))),IF(H$7=1,(H41-MIN(H$10:OFFSET(H$10,$C$5-1,0,1,1)))/(MAX(H$10:OFFSET(H$10,$C$5-1,0,1,1))-MIN(H$10:OFFSET(H$10,$C$5-1,0,1,1))),(H41-MAX(H$10:OFFSET(H$10,$C$5-1,0,1,1)))/(MIN(H$10:OFFSET(H$10,$C$5-1,0,1,1))-MAX(H$10:OFFSET(H$10,$C$5-1,0,1,1)))),"")</f>
        <v/>
      </c>
      <c r="I97" s="221" t="str">
        <f ca="1">IF(AND(ISNUMBER($B97),(ISNUMBER(I$5))),IF(I$7=1,(I41-MIN(I$10:OFFSET(I$10,$C$5-1,0,1,1)))/(MAX(I$10:OFFSET(I$10,$C$5-1,0,1,1))-MIN(I$10:OFFSET(I$10,$C$5-1,0,1,1))),(I41-MAX(I$10:OFFSET(I$10,$C$5-1,0,1,1)))/(MIN(I$10:OFFSET(I$10,$C$5-1,0,1,1))-MAX(I$10:OFFSET(I$10,$C$5-1,0,1,1)))),"")</f>
        <v/>
      </c>
      <c r="J97" s="187"/>
      <c r="K97" s="199"/>
      <c r="L97" s="206" t="str">
        <f t="shared" si="7"/>
        <v/>
      </c>
      <c r="M97" s="220">
        <f t="shared" si="3"/>
        <v>0</v>
      </c>
      <c r="N97" s="221" t="str">
        <f ca="1">IF(AND(ISNUMBER($L97),(ISNUMBER(N$5))),IF(N$7=1,(N41-MIN(N$10:OFFSET(N$10,$M$5-1,0,1,1)))/(MAX(N$10:OFFSET(N$10,$M$5-1,0,1,1))-MIN(N$10:OFFSET(N$10,$M$5-1,0,1,1))),(N41-MAX(N$10:OFFSET(N$10,$M$5-1,0,1,1)))/(MIN(N$10:OFFSET(N$10,$M$5-1,0,1,1))-MAX(N$10:OFFSET(N$10,$M$5-1,0,1,1)))),"")</f>
        <v/>
      </c>
      <c r="O97" s="221" t="str">
        <f ca="1">IF(AND(ISNUMBER($L97),(ISNUMBER(O$5))),IF(O$7=1,(O41-MIN(O$10:OFFSET(O$10,$M$5-1,0,1,1)))/(MAX(O$10:OFFSET(O$10,$M$5-1,0,1,1))-MIN(O$10:OFFSET(O$10,$M$5-1,0,1,1))),(O41-MAX(O$10:OFFSET(O$10,$M$5-1,0,1,1)))/(MIN(O$10:OFFSET(O$10,$M$5-1,0,1,1))-MAX(O$10:OFFSET(O$10,$M$5-1,0,1,1)))),"")</f>
        <v/>
      </c>
      <c r="P97" s="221" t="str">
        <f ca="1">IF(AND(ISNUMBER($L97),(ISNUMBER(P$5))),IF(P$7=1,(P41-MIN(P$10:OFFSET(P$10,$M$5-1,0,1,1)))/(MAX(P$10:OFFSET(P$10,$M$5-1,0,1,1))-MIN(P$10:OFFSET(P$10,$M$5-1,0,1,1))),(P41-MAX(P$10:OFFSET(P$10,$M$5-1,0,1,1)))/(MIN(P$10:OFFSET(P$10,$M$5-1,0,1,1))-MAX(P$10:OFFSET(P$10,$M$5-1,0,1,1)))),"")</f>
        <v/>
      </c>
      <c r="Q97" s="221" t="str">
        <f ca="1">IF(AND(ISNUMBER($L97),(ISNUMBER(Q$5))),IF(Q$7=1,(Q41-MIN(Q$10:OFFSET(Q$10,$M$5-1,0,1,1)))/(MAX(Q$10:OFFSET(Q$10,$M$5-1,0,1,1))-MIN(Q$10:OFFSET(Q$10,$M$5-1,0,1,1))),(Q41-MAX(Q$10:OFFSET(Q$10,$M$5-1,0,1,1)))/(MIN(Q$10:OFFSET(Q$10,$M$5-1,0,1,1))-MAX(Q$10:OFFSET(Q$10,$M$5-1,0,1,1)))),"")</f>
        <v/>
      </c>
      <c r="R97" s="221" t="str">
        <f ca="1">IF(AND(ISNUMBER($L97),(ISNUMBER(R$5))),IF(R$7=1,(R41-MIN(R$10:OFFSET(R$10,$M$5-1,0,1,1)))/(MAX(R$10:OFFSET(R$10,$M$5-1,0,1,1))-MIN(R$10:OFFSET(R$10,$M$5-1,0,1,1))),(R41-MAX(R$10:OFFSET(R$10,$M$5-1,0,1,1)))/(MIN(R$10:OFFSET(R$10,$M$5-1,0,1,1))-MAX(R$10:OFFSET(R$10,$M$5-1,0,1,1)))),"")</f>
        <v/>
      </c>
      <c r="S97" s="221" t="str">
        <f ca="1">IF(AND(ISNUMBER($L97),(ISNUMBER(S$5))),IF(S$7=1,(S41-MIN(S$10:OFFSET(S$10,$M$5-1,0,1,1)))/(MAX(S$10:OFFSET(S$10,$M$5-1,0,1,1))-MIN(S$10:OFFSET(S$10,$M$5-1,0,1,1))),(S41-MAX(S$10:OFFSET(S$10,$M$5-1,0,1,1)))/(MIN(S$10:OFFSET(S$10,$M$5-1,0,1,1))-MAX(S$10:OFFSET(S$10,$M$5-1,0,1,1)))),"")</f>
        <v/>
      </c>
      <c r="T97" s="187"/>
      <c r="U97" s="199"/>
      <c r="V97" s="206" t="str">
        <f t="shared" si="8"/>
        <v/>
      </c>
      <c r="W97" s="220">
        <f t="shared" si="4"/>
        <v>0</v>
      </c>
      <c r="X97" s="221" t="str">
        <f ca="1">IF(AND(ISNUMBER($V97),(ISNUMBER(X$5))),IF(X$7=1,(X41-MIN(X$10:OFFSET(X$10,$W$5-1,0,1,1)))/(MAX(X$10:OFFSET(X$10,$W$5-1,0,1,1))-MIN(X$10:OFFSET(X$10,$W$5-1,0,1,1))),(X41-MAX(X$10:OFFSET(X$10,$W$5-1,0,1,1)))/(MIN(X$10:OFFSET(X$10,$W$5-1,0,1,1))-MAX(X$10:OFFSET(X$10,$W$5-1,0,1,1)))),"")</f>
        <v/>
      </c>
      <c r="Y97" s="221" t="str">
        <f ca="1">IF(AND(ISNUMBER($V97),(ISNUMBER(Y$5))),IF(Y$7=1,(Y41-MIN(Y$10:OFFSET(Y$10,$W$5-1,0,1,1)))/(MAX(Y$10:OFFSET(Y$10,$W$5-1,0,1,1))-MIN(Y$10:OFFSET(Y$10,$W$5-1,0,1,1))),(Y41-MAX(Y$10:OFFSET(Y$10,$W$5-1,0,1,1)))/(MIN(Y$10:OFFSET(Y$10,$W$5-1,0,1,1))-MAX(Y$10:OFFSET(Y$10,$W$5-1,0,1,1)))),"")</f>
        <v/>
      </c>
      <c r="Z97" s="221" t="str">
        <f ca="1">IF(AND(ISNUMBER($V97),(ISNUMBER(Z$5))),IF(Z$7=1,(Z41-MIN(Z$10:OFFSET(Z$10,$W$5-1,0,1,1)))/(MAX(Z$10:OFFSET(Z$10,$W$5-1,0,1,1))-MIN(Z$10:OFFSET(Z$10,$W$5-1,0,1,1))),(Z41-MAX(Z$10:OFFSET(Z$10,$W$5-1,0,1,1)))/(MIN(Z$10:OFFSET(Z$10,$W$5-1,0,1,1))-MAX(Z$10:OFFSET(Z$10,$W$5-1,0,1,1)))),"")</f>
        <v/>
      </c>
      <c r="AA97" s="221" t="str">
        <f ca="1">IF(AND(ISNUMBER($V97),(ISNUMBER(AA$5))),IF(AA$7=1,(AA41-MIN(AA$10:OFFSET(AA$10,$W$5-1,0,1,1)))/(MAX(AA$10:OFFSET(AA$10,$W$5-1,0,1,1))-MIN(AA$10:OFFSET(AA$10,$W$5-1,0,1,1))),(AA41-MAX(AA$10:OFFSET(AA$10,$W$5-1,0,1,1)))/(MIN(AA$10:OFFSET(AA$10,$W$5-1,0,1,1))-MAX(AA$10:OFFSET(AA$10,$W$5-1,0,1,1)))),"")</f>
        <v/>
      </c>
      <c r="AB97" s="221" t="str">
        <f ca="1">IF(AND(ISNUMBER($V97),(ISNUMBER(AB$5))),IF(AB$7=1,(AB41-MIN(AB$10:OFFSET(AB$10,$W$5-1,0,1,1)))/(MAX(AB$10:OFFSET(AB$10,$W$5-1,0,1,1))-MIN(AB$10:OFFSET(AB$10,$W$5-1,0,1,1))),(AB41-MAX(AB$10:OFFSET(AB$10,$W$5-1,0,1,1)))/(MIN(AB$10:OFFSET(AB$10,$W$5-1,0,1,1))-MAX(AB$10:OFFSET(AB$10,$W$5-1,0,1,1)))),"")</f>
        <v/>
      </c>
      <c r="AC97" s="221" t="str">
        <f ca="1">IF(AND(ISNUMBER($V97),(ISNUMBER(AC$5))),IF(AC$7=1,(AC41-MIN(AC$10:OFFSET(AC$10,$W$5-1,0,1,1)))/(MAX(AC$10:OFFSET(AC$10,$W$5-1,0,1,1))-MIN(AC$10:OFFSET(AC$10,$W$5-1,0,1,1))),(AC41-MAX(AC$10:OFFSET(AC$10,$W$5-1,0,1,1)))/(MIN(AC$10:OFFSET(AC$10,$W$5-1,0,1,1))-MAX(AC$10:OFFSET(AC$10,$W$5-1,0,1,1)))),"")</f>
        <v/>
      </c>
    </row>
    <row r="98" spans="1:29" ht="15" customHeight="1" thickBot="1">
      <c r="A98" s="199"/>
      <c r="B98" s="206" t="str">
        <f t="shared" si="5"/>
        <v/>
      </c>
      <c r="C98" s="220">
        <f t="shared" si="6"/>
        <v>0</v>
      </c>
      <c r="D98" s="221" t="str">
        <f ca="1">IF(AND(ISNUMBER($B98),(ISNUMBER(D$5))),IF(D$7=1,(D42-MIN(D$10:OFFSET(D$10,$C$5-1,0,1,1)))/(MAX(D$10:OFFSET(D$10,$C$5-1,0,1,1))-MIN(D$10:OFFSET(D$10,$C$5-1,0,1,1))),(D42-MAX(D$10:OFFSET(D$10,$C$5-1,0,1,1)))/(MIN(D$10:OFFSET(D$10,$C$5-1,0,1,1))-MAX(D$10:OFFSET(D$10,$C$5-1,0,1,1)))),"")</f>
        <v/>
      </c>
      <c r="E98" s="221" t="str">
        <f ca="1">IF(AND(ISNUMBER($B98),(ISNUMBER(E$5))),IF(E$7=1,(E42-MIN(E$10:OFFSET(E$10,$C$5-1,0,1,1)))/(MAX(E$10:OFFSET(E$10,$C$5-1,0,1,1))-MIN(E$10:OFFSET(E$10,$C$5-1,0,1,1))),(E42-MAX(E$10:OFFSET(E$10,$C$5-1,0,1,1)))/(MIN(E$10:OFFSET(E$10,$C$5-1,0,1,1))-MAX(E$10:OFFSET(E$10,$C$5-1,0,1,1)))),"")</f>
        <v/>
      </c>
      <c r="F98" s="221" t="str">
        <f ca="1">IF(AND(ISNUMBER($B98),(ISNUMBER(F$5))),IF(F$7=1,(F42-MIN(F$10:OFFSET(F$10,$C$5-1,0,1,1)))/(MAX(F$10:OFFSET(F$10,$C$5-1,0,1,1))-MIN(F$10:OFFSET(F$10,$C$5-1,0,1,1))),(F42-MAX(F$10:OFFSET(F$10,$C$5-1,0,1,1)))/(MIN(F$10:OFFSET(F$10,$C$5-1,0,1,1))-MAX(F$10:OFFSET(F$10,$C$5-1,0,1,1)))),"")</f>
        <v/>
      </c>
      <c r="G98" s="221" t="str">
        <f ca="1">IF(AND(ISNUMBER($B98),(ISNUMBER(G$5))),IF(G$7=1,(G42-MIN(G$10:OFFSET(G$10,$C$5-1,0,1,1)))/(MAX(G$10:OFFSET(G$10,$C$5-1,0,1,1))-MIN(G$10:OFFSET(G$10,$C$5-1,0,1,1))),(G42-MAX(G$10:OFFSET(G$10,$C$5-1,0,1,1)))/(MIN(G$10:OFFSET(G$10,$C$5-1,0,1,1))-MAX(G$10:OFFSET(G$10,$C$5-1,0,1,1)))),"")</f>
        <v/>
      </c>
      <c r="H98" s="221" t="str">
        <f ca="1">IF(AND(ISNUMBER($B98),(ISNUMBER(H$5))),IF(H$7=1,(H42-MIN(H$10:OFFSET(H$10,$C$5-1,0,1,1)))/(MAX(H$10:OFFSET(H$10,$C$5-1,0,1,1))-MIN(H$10:OFFSET(H$10,$C$5-1,0,1,1))),(H42-MAX(H$10:OFFSET(H$10,$C$5-1,0,1,1)))/(MIN(H$10:OFFSET(H$10,$C$5-1,0,1,1))-MAX(H$10:OFFSET(H$10,$C$5-1,0,1,1)))),"")</f>
        <v/>
      </c>
      <c r="I98" s="221" t="str">
        <f ca="1">IF(AND(ISNUMBER($B98),(ISNUMBER(I$5))),IF(I$7=1,(I42-MIN(I$10:OFFSET(I$10,$C$5-1,0,1,1)))/(MAX(I$10:OFFSET(I$10,$C$5-1,0,1,1))-MIN(I$10:OFFSET(I$10,$C$5-1,0,1,1))),(I42-MAX(I$10:OFFSET(I$10,$C$5-1,0,1,1)))/(MIN(I$10:OFFSET(I$10,$C$5-1,0,1,1))-MAX(I$10:OFFSET(I$10,$C$5-1,0,1,1)))),"")</f>
        <v/>
      </c>
      <c r="J98" s="187"/>
      <c r="K98" s="199"/>
      <c r="L98" s="206" t="str">
        <f t="shared" si="7"/>
        <v/>
      </c>
      <c r="M98" s="220">
        <f t="shared" ref="M98:M119" si="9">M42</f>
        <v>0</v>
      </c>
      <c r="N98" s="221" t="str">
        <f ca="1">IF(AND(ISNUMBER($L98),(ISNUMBER(N$5))),IF(N$7=1,(N42-MIN(N$10:OFFSET(N$10,$M$5-1,0,1,1)))/(MAX(N$10:OFFSET(N$10,$M$5-1,0,1,1))-MIN(N$10:OFFSET(N$10,$M$5-1,0,1,1))),(N42-MAX(N$10:OFFSET(N$10,$M$5-1,0,1,1)))/(MIN(N$10:OFFSET(N$10,$M$5-1,0,1,1))-MAX(N$10:OFFSET(N$10,$M$5-1,0,1,1)))),"")</f>
        <v/>
      </c>
      <c r="O98" s="221" t="str">
        <f ca="1">IF(AND(ISNUMBER($L98),(ISNUMBER(O$5))),IF(O$7=1,(O42-MIN(O$10:OFFSET(O$10,$M$5-1,0,1,1)))/(MAX(O$10:OFFSET(O$10,$M$5-1,0,1,1))-MIN(O$10:OFFSET(O$10,$M$5-1,0,1,1))),(O42-MAX(O$10:OFFSET(O$10,$M$5-1,0,1,1)))/(MIN(O$10:OFFSET(O$10,$M$5-1,0,1,1))-MAX(O$10:OFFSET(O$10,$M$5-1,0,1,1)))),"")</f>
        <v/>
      </c>
      <c r="P98" s="221" t="str">
        <f ca="1">IF(AND(ISNUMBER($L98),(ISNUMBER(P$5))),IF(P$7=1,(P42-MIN(P$10:OFFSET(P$10,$M$5-1,0,1,1)))/(MAX(P$10:OFFSET(P$10,$M$5-1,0,1,1))-MIN(P$10:OFFSET(P$10,$M$5-1,0,1,1))),(P42-MAX(P$10:OFFSET(P$10,$M$5-1,0,1,1)))/(MIN(P$10:OFFSET(P$10,$M$5-1,0,1,1))-MAX(P$10:OFFSET(P$10,$M$5-1,0,1,1)))),"")</f>
        <v/>
      </c>
      <c r="Q98" s="221" t="str">
        <f ca="1">IF(AND(ISNUMBER($L98),(ISNUMBER(Q$5))),IF(Q$7=1,(Q42-MIN(Q$10:OFFSET(Q$10,$M$5-1,0,1,1)))/(MAX(Q$10:OFFSET(Q$10,$M$5-1,0,1,1))-MIN(Q$10:OFFSET(Q$10,$M$5-1,0,1,1))),(Q42-MAX(Q$10:OFFSET(Q$10,$M$5-1,0,1,1)))/(MIN(Q$10:OFFSET(Q$10,$M$5-1,0,1,1))-MAX(Q$10:OFFSET(Q$10,$M$5-1,0,1,1)))),"")</f>
        <v/>
      </c>
      <c r="R98" s="221" t="str">
        <f ca="1">IF(AND(ISNUMBER($L98),(ISNUMBER(R$5))),IF(R$7=1,(R42-MIN(R$10:OFFSET(R$10,$M$5-1,0,1,1)))/(MAX(R$10:OFFSET(R$10,$M$5-1,0,1,1))-MIN(R$10:OFFSET(R$10,$M$5-1,0,1,1))),(R42-MAX(R$10:OFFSET(R$10,$M$5-1,0,1,1)))/(MIN(R$10:OFFSET(R$10,$M$5-1,0,1,1))-MAX(R$10:OFFSET(R$10,$M$5-1,0,1,1)))),"")</f>
        <v/>
      </c>
      <c r="S98" s="221" t="str">
        <f ca="1">IF(AND(ISNUMBER($L98),(ISNUMBER(S$5))),IF(S$7=1,(S42-MIN(S$10:OFFSET(S$10,$M$5-1,0,1,1)))/(MAX(S$10:OFFSET(S$10,$M$5-1,0,1,1))-MIN(S$10:OFFSET(S$10,$M$5-1,0,1,1))),(S42-MAX(S$10:OFFSET(S$10,$M$5-1,0,1,1)))/(MIN(S$10:OFFSET(S$10,$M$5-1,0,1,1))-MAX(S$10:OFFSET(S$10,$M$5-1,0,1,1)))),"")</f>
        <v/>
      </c>
      <c r="T98" s="187"/>
      <c r="U98" s="199"/>
      <c r="V98" s="206" t="str">
        <f t="shared" si="8"/>
        <v/>
      </c>
      <c r="W98" s="220">
        <f t="shared" ref="W98:W119" si="10">W42</f>
        <v>0</v>
      </c>
      <c r="X98" s="221" t="str">
        <f ca="1">IF(AND(ISNUMBER($V98),(ISNUMBER(X$5))),IF(X$7=1,(X42-MIN(X$10:OFFSET(X$10,$W$5-1,0,1,1)))/(MAX(X$10:OFFSET(X$10,$W$5-1,0,1,1))-MIN(X$10:OFFSET(X$10,$W$5-1,0,1,1))),(X42-MAX(X$10:OFFSET(X$10,$W$5-1,0,1,1)))/(MIN(X$10:OFFSET(X$10,$W$5-1,0,1,1))-MAX(X$10:OFFSET(X$10,$W$5-1,0,1,1)))),"")</f>
        <v/>
      </c>
      <c r="Y98" s="221" t="str">
        <f ca="1">IF(AND(ISNUMBER($V98),(ISNUMBER(Y$5))),IF(Y$7=1,(Y42-MIN(Y$10:OFFSET(Y$10,$W$5-1,0,1,1)))/(MAX(Y$10:OFFSET(Y$10,$W$5-1,0,1,1))-MIN(Y$10:OFFSET(Y$10,$W$5-1,0,1,1))),(Y42-MAX(Y$10:OFFSET(Y$10,$W$5-1,0,1,1)))/(MIN(Y$10:OFFSET(Y$10,$W$5-1,0,1,1))-MAX(Y$10:OFFSET(Y$10,$W$5-1,0,1,1)))),"")</f>
        <v/>
      </c>
      <c r="Z98" s="221" t="str">
        <f ca="1">IF(AND(ISNUMBER($V98),(ISNUMBER(Z$5))),IF(Z$7=1,(Z42-MIN(Z$10:OFFSET(Z$10,$W$5-1,0,1,1)))/(MAX(Z$10:OFFSET(Z$10,$W$5-1,0,1,1))-MIN(Z$10:OFFSET(Z$10,$W$5-1,0,1,1))),(Z42-MAX(Z$10:OFFSET(Z$10,$W$5-1,0,1,1)))/(MIN(Z$10:OFFSET(Z$10,$W$5-1,0,1,1))-MAX(Z$10:OFFSET(Z$10,$W$5-1,0,1,1)))),"")</f>
        <v/>
      </c>
      <c r="AA98" s="221" t="str">
        <f ca="1">IF(AND(ISNUMBER($V98),(ISNUMBER(AA$5))),IF(AA$7=1,(AA42-MIN(AA$10:OFFSET(AA$10,$W$5-1,0,1,1)))/(MAX(AA$10:OFFSET(AA$10,$W$5-1,0,1,1))-MIN(AA$10:OFFSET(AA$10,$W$5-1,0,1,1))),(AA42-MAX(AA$10:OFFSET(AA$10,$W$5-1,0,1,1)))/(MIN(AA$10:OFFSET(AA$10,$W$5-1,0,1,1))-MAX(AA$10:OFFSET(AA$10,$W$5-1,0,1,1)))),"")</f>
        <v/>
      </c>
      <c r="AB98" s="221" t="str">
        <f ca="1">IF(AND(ISNUMBER($V98),(ISNUMBER(AB$5))),IF(AB$7=1,(AB42-MIN(AB$10:OFFSET(AB$10,$W$5-1,0,1,1)))/(MAX(AB$10:OFFSET(AB$10,$W$5-1,0,1,1))-MIN(AB$10:OFFSET(AB$10,$W$5-1,0,1,1))),(AB42-MAX(AB$10:OFFSET(AB$10,$W$5-1,0,1,1)))/(MIN(AB$10:OFFSET(AB$10,$W$5-1,0,1,1))-MAX(AB$10:OFFSET(AB$10,$W$5-1,0,1,1)))),"")</f>
        <v/>
      </c>
      <c r="AC98" s="221" t="str">
        <f ca="1">IF(AND(ISNUMBER($V98),(ISNUMBER(AC$5))),IF(AC$7=1,(AC42-MIN(AC$10:OFFSET(AC$10,$W$5-1,0,1,1)))/(MAX(AC$10:OFFSET(AC$10,$W$5-1,0,1,1))-MIN(AC$10:OFFSET(AC$10,$W$5-1,0,1,1))),(AC42-MAX(AC$10:OFFSET(AC$10,$W$5-1,0,1,1)))/(MIN(AC$10:OFFSET(AC$10,$W$5-1,0,1,1))-MAX(AC$10:OFFSET(AC$10,$W$5-1,0,1,1)))),"")</f>
        <v/>
      </c>
    </row>
    <row r="99" spans="1:29" ht="15" customHeight="1" thickBot="1">
      <c r="A99" s="199"/>
      <c r="B99" s="206" t="str">
        <f t="shared" si="5"/>
        <v/>
      </c>
      <c r="C99" s="220">
        <f t="shared" si="6"/>
        <v>0</v>
      </c>
      <c r="D99" s="221" t="str">
        <f ca="1">IF(AND(ISNUMBER($B99),(ISNUMBER(D$5))),IF(D$7=1,(D43-MIN(D$10:OFFSET(D$10,$C$5-1,0,1,1)))/(MAX(D$10:OFFSET(D$10,$C$5-1,0,1,1))-MIN(D$10:OFFSET(D$10,$C$5-1,0,1,1))),(D43-MAX(D$10:OFFSET(D$10,$C$5-1,0,1,1)))/(MIN(D$10:OFFSET(D$10,$C$5-1,0,1,1))-MAX(D$10:OFFSET(D$10,$C$5-1,0,1,1)))),"")</f>
        <v/>
      </c>
      <c r="E99" s="221" t="str">
        <f ca="1">IF(AND(ISNUMBER($B99),(ISNUMBER(E$5))),IF(E$7=1,(E43-MIN(E$10:OFFSET(E$10,$C$5-1,0,1,1)))/(MAX(E$10:OFFSET(E$10,$C$5-1,0,1,1))-MIN(E$10:OFFSET(E$10,$C$5-1,0,1,1))),(E43-MAX(E$10:OFFSET(E$10,$C$5-1,0,1,1)))/(MIN(E$10:OFFSET(E$10,$C$5-1,0,1,1))-MAX(E$10:OFFSET(E$10,$C$5-1,0,1,1)))),"")</f>
        <v/>
      </c>
      <c r="F99" s="221" t="str">
        <f ca="1">IF(AND(ISNUMBER($B99),(ISNUMBER(F$5))),IF(F$7=1,(F43-MIN(F$10:OFFSET(F$10,$C$5-1,0,1,1)))/(MAX(F$10:OFFSET(F$10,$C$5-1,0,1,1))-MIN(F$10:OFFSET(F$10,$C$5-1,0,1,1))),(F43-MAX(F$10:OFFSET(F$10,$C$5-1,0,1,1)))/(MIN(F$10:OFFSET(F$10,$C$5-1,0,1,1))-MAX(F$10:OFFSET(F$10,$C$5-1,0,1,1)))),"")</f>
        <v/>
      </c>
      <c r="G99" s="221" t="str">
        <f ca="1">IF(AND(ISNUMBER($B99),(ISNUMBER(G$5))),IF(G$7=1,(G43-MIN(G$10:OFFSET(G$10,$C$5-1,0,1,1)))/(MAX(G$10:OFFSET(G$10,$C$5-1,0,1,1))-MIN(G$10:OFFSET(G$10,$C$5-1,0,1,1))),(G43-MAX(G$10:OFFSET(G$10,$C$5-1,0,1,1)))/(MIN(G$10:OFFSET(G$10,$C$5-1,0,1,1))-MAX(G$10:OFFSET(G$10,$C$5-1,0,1,1)))),"")</f>
        <v/>
      </c>
      <c r="H99" s="221" t="str">
        <f ca="1">IF(AND(ISNUMBER($B99),(ISNUMBER(H$5))),IF(H$7=1,(H43-MIN(H$10:OFFSET(H$10,$C$5-1,0,1,1)))/(MAX(H$10:OFFSET(H$10,$C$5-1,0,1,1))-MIN(H$10:OFFSET(H$10,$C$5-1,0,1,1))),(H43-MAX(H$10:OFFSET(H$10,$C$5-1,0,1,1)))/(MIN(H$10:OFFSET(H$10,$C$5-1,0,1,1))-MAX(H$10:OFFSET(H$10,$C$5-1,0,1,1)))),"")</f>
        <v/>
      </c>
      <c r="I99" s="221" t="str">
        <f ca="1">IF(AND(ISNUMBER($B99),(ISNUMBER(I$5))),IF(I$7=1,(I43-MIN(I$10:OFFSET(I$10,$C$5-1,0,1,1)))/(MAX(I$10:OFFSET(I$10,$C$5-1,0,1,1))-MIN(I$10:OFFSET(I$10,$C$5-1,0,1,1))),(I43-MAX(I$10:OFFSET(I$10,$C$5-1,0,1,1)))/(MIN(I$10:OFFSET(I$10,$C$5-1,0,1,1))-MAX(I$10:OFFSET(I$10,$C$5-1,0,1,1)))),"")</f>
        <v/>
      </c>
      <c r="J99" s="187"/>
      <c r="K99" s="199"/>
      <c r="L99" s="206" t="str">
        <f t="shared" ref="L99:L119" si="11">IFERROR(IF(OR($L98+1&gt;$M$5,$L98=" ")," ",$L98+1),"")</f>
        <v/>
      </c>
      <c r="M99" s="220">
        <f t="shared" si="9"/>
        <v>0</v>
      </c>
      <c r="N99" s="221" t="str">
        <f ca="1">IF(AND(ISNUMBER($L99),(ISNUMBER(N$5))),IF(N$7=1,(N43-MIN(N$10:OFFSET(N$10,$M$5-1,0,1,1)))/(MAX(N$10:OFFSET(N$10,$M$5-1,0,1,1))-MIN(N$10:OFFSET(N$10,$M$5-1,0,1,1))),(N43-MAX(N$10:OFFSET(N$10,$M$5-1,0,1,1)))/(MIN(N$10:OFFSET(N$10,$M$5-1,0,1,1))-MAX(N$10:OFFSET(N$10,$M$5-1,0,1,1)))),"")</f>
        <v/>
      </c>
      <c r="O99" s="221" t="str">
        <f ca="1">IF(AND(ISNUMBER($L99),(ISNUMBER(O$5))),IF(O$7=1,(O43-MIN(O$10:OFFSET(O$10,$M$5-1,0,1,1)))/(MAX(O$10:OFFSET(O$10,$M$5-1,0,1,1))-MIN(O$10:OFFSET(O$10,$M$5-1,0,1,1))),(O43-MAX(O$10:OFFSET(O$10,$M$5-1,0,1,1)))/(MIN(O$10:OFFSET(O$10,$M$5-1,0,1,1))-MAX(O$10:OFFSET(O$10,$M$5-1,0,1,1)))),"")</f>
        <v/>
      </c>
      <c r="P99" s="221" t="str">
        <f ca="1">IF(AND(ISNUMBER($L99),(ISNUMBER(P$5))),IF(P$7=1,(P43-MIN(P$10:OFFSET(P$10,$M$5-1,0,1,1)))/(MAX(P$10:OFFSET(P$10,$M$5-1,0,1,1))-MIN(P$10:OFFSET(P$10,$M$5-1,0,1,1))),(P43-MAX(P$10:OFFSET(P$10,$M$5-1,0,1,1)))/(MIN(P$10:OFFSET(P$10,$M$5-1,0,1,1))-MAX(P$10:OFFSET(P$10,$M$5-1,0,1,1)))),"")</f>
        <v/>
      </c>
      <c r="Q99" s="221" t="str">
        <f ca="1">IF(AND(ISNUMBER($L99),(ISNUMBER(Q$5))),IF(Q$7=1,(Q43-MIN(Q$10:OFFSET(Q$10,$M$5-1,0,1,1)))/(MAX(Q$10:OFFSET(Q$10,$M$5-1,0,1,1))-MIN(Q$10:OFFSET(Q$10,$M$5-1,0,1,1))),(Q43-MAX(Q$10:OFFSET(Q$10,$M$5-1,0,1,1)))/(MIN(Q$10:OFFSET(Q$10,$M$5-1,0,1,1))-MAX(Q$10:OFFSET(Q$10,$M$5-1,0,1,1)))),"")</f>
        <v/>
      </c>
      <c r="R99" s="221" t="str">
        <f ca="1">IF(AND(ISNUMBER($L99),(ISNUMBER(R$5))),IF(R$7=1,(R43-MIN(R$10:OFFSET(R$10,$M$5-1,0,1,1)))/(MAX(R$10:OFFSET(R$10,$M$5-1,0,1,1))-MIN(R$10:OFFSET(R$10,$M$5-1,0,1,1))),(R43-MAX(R$10:OFFSET(R$10,$M$5-1,0,1,1)))/(MIN(R$10:OFFSET(R$10,$M$5-1,0,1,1))-MAX(R$10:OFFSET(R$10,$M$5-1,0,1,1)))),"")</f>
        <v/>
      </c>
      <c r="S99" s="221" t="str">
        <f ca="1">IF(AND(ISNUMBER($L99),(ISNUMBER(S$5))),IF(S$7=1,(S43-MIN(S$10:OFFSET(S$10,$M$5-1,0,1,1)))/(MAX(S$10:OFFSET(S$10,$M$5-1,0,1,1))-MIN(S$10:OFFSET(S$10,$M$5-1,0,1,1))),(S43-MAX(S$10:OFFSET(S$10,$M$5-1,0,1,1)))/(MIN(S$10:OFFSET(S$10,$M$5-1,0,1,1))-MAX(S$10:OFFSET(S$10,$M$5-1,0,1,1)))),"")</f>
        <v/>
      </c>
      <c r="T99" s="187"/>
      <c r="U99" s="199"/>
      <c r="V99" s="206" t="str">
        <f t="shared" ref="V99:V119" si="12">IFERROR(IF(OR($V98+1&gt;$W$5,$V98=" ")," ",$V98+1),"")</f>
        <v/>
      </c>
      <c r="W99" s="220">
        <f t="shared" si="10"/>
        <v>0</v>
      </c>
      <c r="X99" s="221" t="str">
        <f ca="1">IF(AND(ISNUMBER($V99),(ISNUMBER(X$5))),IF(X$7=1,(X43-MIN(X$10:OFFSET(X$10,$W$5-1,0,1,1)))/(MAX(X$10:OFFSET(X$10,$W$5-1,0,1,1))-MIN(X$10:OFFSET(X$10,$W$5-1,0,1,1))),(X43-MAX(X$10:OFFSET(X$10,$W$5-1,0,1,1)))/(MIN(X$10:OFFSET(X$10,$W$5-1,0,1,1))-MAX(X$10:OFFSET(X$10,$W$5-1,0,1,1)))),"")</f>
        <v/>
      </c>
      <c r="Y99" s="221" t="str">
        <f ca="1">IF(AND(ISNUMBER($V99),(ISNUMBER(Y$5))),IF(Y$7=1,(Y43-MIN(Y$10:OFFSET(Y$10,$W$5-1,0,1,1)))/(MAX(Y$10:OFFSET(Y$10,$W$5-1,0,1,1))-MIN(Y$10:OFFSET(Y$10,$W$5-1,0,1,1))),(Y43-MAX(Y$10:OFFSET(Y$10,$W$5-1,0,1,1)))/(MIN(Y$10:OFFSET(Y$10,$W$5-1,0,1,1))-MAX(Y$10:OFFSET(Y$10,$W$5-1,0,1,1)))),"")</f>
        <v/>
      </c>
      <c r="Z99" s="221" t="str">
        <f ca="1">IF(AND(ISNUMBER($V99),(ISNUMBER(Z$5))),IF(Z$7=1,(Z43-MIN(Z$10:OFFSET(Z$10,$W$5-1,0,1,1)))/(MAX(Z$10:OFFSET(Z$10,$W$5-1,0,1,1))-MIN(Z$10:OFFSET(Z$10,$W$5-1,0,1,1))),(Z43-MAX(Z$10:OFFSET(Z$10,$W$5-1,0,1,1)))/(MIN(Z$10:OFFSET(Z$10,$W$5-1,0,1,1))-MAX(Z$10:OFFSET(Z$10,$W$5-1,0,1,1)))),"")</f>
        <v/>
      </c>
      <c r="AA99" s="221" t="str">
        <f ca="1">IF(AND(ISNUMBER($V99),(ISNUMBER(AA$5))),IF(AA$7=1,(AA43-MIN(AA$10:OFFSET(AA$10,$W$5-1,0,1,1)))/(MAX(AA$10:OFFSET(AA$10,$W$5-1,0,1,1))-MIN(AA$10:OFFSET(AA$10,$W$5-1,0,1,1))),(AA43-MAX(AA$10:OFFSET(AA$10,$W$5-1,0,1,1)))/(MIN(AA$10:OFFSET(AA$10,$W$5-1,0,1,1))-MAX(AA$10:OFFSET(AA$10,$W$5-1,0,1,1)))),"")</f>
        <v/>
      </c>
      <c r="AB99" s="221" t="str">
        <f ca="1">IF(AND(ISNUMBER($V99),(ISNUMBER(AB$5))),IF(AB$7=1,(AB43-MIN(AB$10:OFFSET(AB$10,$W$5-1,0,1,1)))/(MAX(AB$10:OFFSET(AB$10,$W$5-1,0,1,1))-MIN(AB$10:OFFSET(AB$10,$W$5-1,0,1,1))),(AB43-MAX(AB$10:OFFSET(AB$10,$W$5-1,0,1,1)))/(MIN(AB$10:OFFSET(AB$10,$W$5-1,0,1,1))-MAX(AB$10:OFFSET(AB$10,$W$5-1,0,1,1)))),"")</f>
        <v/>
      </c>
      <c r="AC99" s="221" t="str">
        <f ca="1">IF(AND(ISNUMBER($V99),(ISNUMBER(AC$5))),IF(AC$7=1,(AC43-MIN(AC$10:OFFSET(AC$10,$W$5-1,0,1,1)))/(MAX(AC$10:OFFSET(AC$10,$W$5-1,0,1,1))-MIN(AC$10:OFFSET(AC$10,$W$5-1,0,1,1))),(AC43-MAX(AC$10:OFFSET(AC$10,$W$5-1,0,1,1)))/(MIN(AC$10:OFFSET(AC$10,$W$5-1,0,1,1))-MAX(AC$10:OFFSET(AC$10,$W$5-1,0,1,1)))),"")</f>
        <v/>
      </c>
    </row>
    <row r="100" spans="1:29" ht="15" customHeight="1" thickBot="1">
      <c r="A100" s="199"/>
      <c r="B100" s="206" t="str">
        <f t="shared" si="5"/>
        <v/>
      </c>
      <c r="C100" s="220">
        <f t="shared" si="6"/>
        <v>0</v>
      </c>
      <c r="D100" s="221" t="str">
        <f ca="1">IF(AND(ISNUMBER($B100),(ISNUMBER(D$5))),IF(D$7=1,(D44-MIN(D$10:OFFSET(D$10,$C$5-1,0,1,1)))/(MAX(D$10:OFFSET(D$10,$C$5-1,0,1,1))-MIN(D$10:OFFSET(D$10,$C$5-1,0,1,1))),(D44-MAX(D$10:OFFSET(D$10,$C$5-1,0,1,1)))/(MIN(D$10:OFFSET(D$10,$C$5-1,0,1,1))-MAX(D$10:OFFSET(D$10,$C$5-1,0,1,1)))),"")</f>
        <v/>
      </c>
      <c r="E100" s="221" t="str">
        <f ca="1">IF(AND(ISNUMBER($B100),(ISNUMBER(E$5))),IF(E$7=1,(E44-MIN(E$10:OFFSET(E$10,$C$5-1,0,1,1)))/(MAX(E$10:OFFSET(E$10,$C$5-1,0,1,1))-MIN(E$10:OFFSET(E$10,$C$5-1,0,1,1))),(E44-MAX(E$10:OFFSET(E$10,$C$5-1,0,1,1)))/(MIN(E$10:OFFSET(E$10,$C$5-1,0,1,1))-MAX(E$10:OFFSET(E$10,$C$5-1,0,1,1)))),"")</f>
        <v/>
      </c>
      <c r="F100" s="221" t="str">
        <f ca="1">IF(AND(ISNUMBER($B100),(ISNUMBER(F$5))),IF(F$7=1,(F44-MIN(F$10:OFFSET(F$10,$C$5-1,0,1,1)))/(MAX(F$10:OFFSET(F$10,$C$5-1,0,1,1))-MIN(F$10:OFFSET(F$10,$C$5-1,0,1,1))),(F44-MAX(F$10:OFFSET(F$10,$C$5-1,0,1,1)))/(MIN(F$10:OFFSET(F$10,$C$5-1,0,1,1))-MAX(F$10:OFFSET(F$10,$C$5-1,0,1,1)))),"")</f>
        <v/>
      </c>
      <c r="G100" s="221" t="str">
        <f ca="1">IF(AND(ISNUMBER($B100),(ISNUMBER(G$5))),IF(G$7=1,(G44-MIN(G$10:OFFSET(G$10,$C$5-1,0,1,1)))/(MAX(G$10:OFFSET(G$10,$C$5-1,0,1,1))-MIN(G$10:OFFSET(G$10,$C$5-1,0,1,1))),(G44-MAX(G$10:OFFSET(G$10,$C$5-1,0,1,1)))/(MIN(G$10:OFFSET(G$10,$C$5-1,0,1,1))-MAX(G$10:OFFSET(G$10,$C$5-1,0,1,1)))),"")</f>
        <v/>
      </c>
      <c r="H100" s="221" t="str">
        <f ca="1">IF(AND(ISNUMBER($B100),(ISNUMBER(H$5))),IF(H$7=1,(H44-MIN(H$10:OFFSET(H$10,$C$5-1,0,1,1)))/(MAX(H$10:OFFSET(H$10,$C$5-1,0,1,1))-MIN(H$10:OFFSET(H$10,$C$5-1,0,1,1))),(H44-MAX(H$10:OFFSET(H$10,$C$5-1,0,1,1)))/(MIN(H$10:OFFSET(H$10,$C$5-1,0,1,1))-MAX(H$10:OFFSET(H$10,$C$5-1,0,1,1)))),"")</f>
        <v/>
      </c>
      <c r="I100" s="221" t="str">
        <f ca="1">IF(AND(ISNUMBER($B100),(ISNUMBER(I$5))),IF(I$7=1,(I44-MIN(I$10:OFFSET(I$10,$C$5-1,0,1,1)))/(MAX(I$10:OFFSET(I$10,$C$5-1,0,1,1))-MIN(I$10:OFFSET(I$10,$C$5-1,0,1,1))),(I44-MAX(I$10:OFFSET(I$10,$C$5-1,0,1,1)))/(MIN(I$10:OFFSET(I$10,$C$5-1,0,1,1))-MAX(I$10:OFFSET(I$10,$C$5-1,0,1,1)))),"")</f>
        <v/>
      </c>
      <c r="J100" s="187"/>
      <c r="K100" s="199"/>
      <c r="L100" s="206" t="str">
        <f t="shared" si="11"/>
        <v/>
      </c>
      <c r="M100" s="220">
        <f t="shared" si="9"/>
        <v>0</v>
      </c>
      <c r="N100" s="221" t="str">
        <f ca="1">IF(AND(ISNUMBER($L100),(ISNUMBER(N$5))),IF(N$7=1,(N44-MIN(N$10:OFFSET(N$10,$M$5-1,0,1,1)))/(MAX(N$10:OFFSET(N$10,$M$5-1,0,1,1))-MIN(N$10:OFFSET(N$10,$M$5-1,0,1,1))),(N44-MAX(N$10:OFFSET(N$10,$M$5-1,0,1,1)))/(MIN(N$10:OFFSET(N$10,$M$5-1,0,1,1))-MAX(N$10:OFFSET(N$10,$M$5-1,0,1,1)))),"")</f>
        <v/>
      </c>
      <c r="O100" s="221" t="str">
        <f ca="1">IF(AND(ISNUMBER($L100),(ISNUMBER(O$5))),IF(O$7=1,(O44-MIN(O$10:OFFSET(O$10,$M$5-1,0,1,1)))/(MAX(O$10:OFFSET(O$10,$M$5-1,0,1,1))-MIN(O$10:OFFSET(O$10,$M$5-1,0,1,1))),(O44-MAX(O$10:OFFSET(O$10,$M$5-1,0,1,1)))/(MIN(O$10:OFFSET(O$10,$M$5-1,0,1,1))-MAX(O$10:OFFSET(O$10,$M$5-1,0,1,1)))),"")</f>
        <v/>
      </c>
      <c r="P100" s="221" t="str">
        <f ca="1">IF(AND(ISNUMBER($L100),(ISNUMBER(P$5))),IF(P$7=1,(P44-MIN(P$10:OFFSET(P$10,$M$5-1,0,1,1)))/(MAX(P$10:OFFSET(P$10,$M$5-1,0,1,1))-MIN(P$10:OFFSET(P$10,$M$5-1,0,1,1))),(P44-MAX(P$10:OFFSET(P$10,$M$5-1,0,1,1)))/(MIN(P$10:OFFSET(P$10,$M$5-1,0,1,1))-MAX(P$10:OFFSET(P$10,$M$5-1,0,1,1)))),"")</f>
        <v/>
      </c>
      <c r="Q100" s="221" t="str">
        <f ca="1">IF(AND(ISNUMBER($L100),(ISNUMBER(Q$5))),IF(Q$7=1,(Q44-MIN(Q$10:OFFSET(Q$10,$M$5-1,0,1,1)))/(MAX(Q$10:OFFSET(Q$10,$M$5-1,0,1,1))-MIN(Q$10:OFFSET(Q$10,$M$5-1,0,1,1))),(Q44-MAX(Q$10:OFFSET(Q$10,$M$5-1,0,1,1)))/(MIN(Q$10:OFFSET(Q$10,$M$5-1,0,1,1))-MAX(Q$10:OFFSET(Q$10,$M$5-1,0,1,1)))),"")</f>
        <v/>
      </c>
      <c r="R100" s="221" t="str">
        <f ca="1">IF(AND(ISNUMBER($L100),(ISNUMBER(R$5))),IF(R$7=1,(R44-MIN(R$10:OFFSET(R$10,$M$5-1,0,1,1)))/(MAX(R$10:OFFSET(R$10,$M$5-1,0,1,1))-MIN(R$10:OFFSET(R$10,$M$5-1,0,1,1))),(R44-MAX(R$10:OFFSET(R$10,$M$5-1,0,1,1)))/(MIN(R$10:OFFSET(R$10,$M$5-1,0,1,1))-MAX(R$10:OFFSET(R$10,$M$5-1,0,1,1)))),"")</f>
        <v/>
      </c>
      <c r="S100" s="221" t="str">
        <f ca="1">IF(AND(ISNUMBER($L100),(ISNUMBER(S$5))),IF(S$7=1,(S44-MIN(S$10:OFFSET(S$10,$M$5-1,0,1,1)))/(MAX(S$10:OFFSET(S$10,$M$5-1,0,1,1))-MIN(S$10:OFFSET(S$10,$M$5-1,0,1,1))),(S44-MAX(S$10:OFFSET(S$10,$M$5-1,0,1,1)))/(MIN(S$10:OFFSET(S$10,$M$5-1,0,1,1))-MAX(S$10:OFFSET(S$10,$M$5-1,0,1,1)))),"")</f>
        <v/>
      </c>
      <c r="T100" s="187"/>
      <c r="U100" s="199"/>
      <c r="V100" s="206" t="str">
        <f t="shared" si="12"/>
        <v/>
      </c>
      <c r="W100" s="220">
        <f t="shared" si="10"/>
        <v>0</v>
      </c>
      <c r="X100" s="221" t="str">
        <f ca="1">IF(AND(ISNUMBER($V100),(ISNUMBER(X$5))),IF(X$7=1,(X44-MIN(X$10:OFFSET(X$10,$W$5-1,0,1,1)))/(MAX(X$10:OFFSET(X$10,$W$5-1,0,1,1))-MIN(X$10:OFFSET(X$10,$W$5-1,0,1,1))),(X44-MAX(X$10:OFFSET(X$10,$W$5-1,0,1,1)))/(MIN(X$10:OFFSET(X$10,$W$5-1,0,1,1))-MAX(X$10:OFFSET(X$10,$W$5-1,0,1,1)))),"")</f>
        <v/>
      </c>
      <c r="Y100" s="221" t="str">
        <f ca="1">IF(AND(ISNUMBER($V100),(ISNUMBER(Y$5))),IF(Y$7=1,(Y44-MIN(Y$10:OFFSET(Y$10,$W$5-1,0,1,1)))/(MAX(Y$10:OFFSET(Y$10,$W$5-1,0,1,1))-MIN(Y$10:OFFSET(Y$10,$W$5-1,0,1,1))),(Y44-MAX(Y$10:OFFSET(Y$10,$W$5-1,0,1,1)))/(MIN(Y$10:OFFSET(Y$10,$W$5-1,0,1,1))-MAX(Y$10:OFFSET(Y$10,$W$5-1,0,1,1)))),"")</f>
        <v/>
      </c>
      <c r="Z100" s="221" t="str">
        <f ca="1">IF(AND(ISNUMBER($V100),(ISNUMBER(Z$5))),IF(Z$7=1,(Z44-MIN(Z$10:OFFSET(Z$10,$W$5-1,0,1,1)))/(MAX(Z$10:OFFSET(Z$10,$W$5-1,0,1,1))-MIN(Z$10:OFFSET(Z$10,$W$5-1,0,1,1))),(Z44-MAX(Z$10:OFFSET(Z$10,$W$5-1,0,1,1)))/(MIN(Z$10:OFFSET(Z$10,$W$5-1,0,1,1))-MAX(Z$10:OFFSET(Z$10,$W$5-1,0,1,1)))),"")</f>
        <v/>
      </c>
      <c r="AA100" s="221" t="str">
        <f ca="1">IF(AND(ISNUMBER($V100),(ISNUMBER(AA$5))),IF(AA$7=1,(AA44-MIN(AA$10:OFFSET(AA$10,$W$5-1,0,1,1)))/(MAX(AA$10:OFFSET(AA$10,$W$5-1,0,1,1))-MIN(AA$10:OFFSET(AA$10,$W$5-1,0,1,1))),(AA44-MAX(AA$10:OFFSET(AA$10,$W$5-1,0,1,1)))/(MIN(AA$10:OFFSET(AA$10,$W$5-1,0,1,1))-MAX(AA$10:OFFSET(AA$10,$W$5-1,0,1,1)))),"")</f>
        <v/>
      </c>
      <c r="AB100" s="221" t="str">
        <f ca="1">IF(AND(ISNUMBER($V100),(ISNUMBER(AB$5))),IF(AB$7=1,(AB44-MIN(AB$10:OFFSET(AB$10,$W$5-1,0,1,1)))/(MAX(AB$10:OFFSET(AB$10,$W$5-1,0,1,1))-MIN(AB$10:OFFSET(AB$10,$W$5-1,0,1,1))),(AB44-MAX(AB$10:OFFSET(AB$10,$W$5-1,0,1,1)))/(MIN(AB$10:OFFSET(AB$10,$W$5-1,0,1,1))-MAX(AB$10:OFFSET(AB$10,$W$5-1,0,1,1)))),"")</f>
        <v/>
      </c>
      <c r="AC100" s="221" t="str">
        <f ca="1">IF(AND(ISNUMBER($V100),(ISNUMBER(AC$5))),IF(AC$7=1,(AC44-MIN(AC$10:OFFSET(AC$10,$W$5-1,0,1,1)))/(MAX(AC$10:OFFSET(AC$10,$W$5-1,0,1,1))-MIN(AC$10:OFFSET(AC$10,$W$5-1,0,1,1))),(AC44-MAX(AC$10:OFFSET(AC$10,$W$5-1,0,1,1)))/(MIN(AC$10:OFFSET(AC$10,$W$5-1,0,1,1))-MAX(AC$10:OFFSET(AC$10,$W$5-1,0,1,1)))),"")</f>
        <v/>
      </c>
    </row>
    <row r="101" spans="1:29" ht="15" customHeight="1" thickBot="1">
      <c r="A101" s="199"/>
      <c r="B101" s="206" t="str">
        <f t="shared" si="5"/>
        <v/>
      </c>
      <c r="C101" s="220">
        <f t="shared" si="6"/>
        <v>0</v>
      </c>
      <c r="D101" s="221" t="str">
        <f ca="1">IF(AND(ISNUMBER($B101),(ISNUMBER(D$5))),IF(D$7=1,(D45-MIN(D$10:OFFSET(D$10,$C$5-1,0,1,1)))/(MAX(D$10:OFFSET(D$10,$C$5-1,0,1,1))-MIN(D$10:OFFSET(D$10,$C$5-1,0,1,1))),(D45-MAX(D$10:OFFSET(D$10,$C$5-1,0,1,1)))/(MIN(D$10:OFFSET(D$10,$C$5-1,0,1,1))-MAX(D$10:OFFSET(D$10,$C$5-1,0,1,1)))),"")</f>
        <v/>
      </c>
      <c r="E101" s="221" t="str">
        <f ca="1">IF(AND(ISNUMBER($B101),(ISNUMBER(E$5))),IF(E$7=1,(E45-MIN(E$10:OFFSET(E$10,$C$5-1,0,1,1)))/(MAX(E$10:OFFSET(E$10,$C$5-1,0,1,1))-MIN(E$10:OFFSET(E$10,$C$5-1,0,1,1))),(E45-MAX(E$10:OFFSET(E$10,$C$5-1,0,1,1)))/(MIN(E$10:OFFSET(E$10,$C$5-1,0,1,1))-MAX(E$10:OFFSET(E$10,$C$5-1,0,1,1)))),"")</f>
        <v/>
      </c>
      <c r="F101" s="221" t="str">
        <f ca="1">IF(AND(ISNUMBER($B101),(ISNUMBER(F$5))),IF(F$7=1,(F45-MIN(F$10:OFFSET(F$10,$C$5-1,0,1,1)))/(MAX(F$10:OFFSET(F$10,$C$5-1,0,1,1))-MIN(F$10:OFFSET(F$10,$C$5-1,0,1,1))),(F45-MAX(F$10:OFFSET(F$10,$C$5-1,0,1,1)))/(MIN(F$10:OFFSET(F$10,$C$5-1,0,1,1))-MAX(F$10:OFFSET(F$10,$C$5-1,0,1,1)))),"")</f>
        <v/>
      </c>
      <c r="G101" s="221" t="str">
        <f ca="1">IF(AND(ISNUMBER($B101),(ISNUMBER(G$5))),IF(G$7=1,(G45-MIN(G$10:OFFSET(G$10,$C$5-1,0,1,1)))/(MAX(G$10:OFFSET(G$10,$C$5-1,0,1,1))-MIN(G$10:OFFSET(G$10,$C$5-1,0,1,1))),(G45-MAX(G$10:OFFSET(G$10,$C$5-1,0,1,1)))/(MIN(G$10:OFFSET(G$10,$C$5-1,0,1,1))-MAX(G$10:OFFSET(G$10,$C$5-1,0,1,1)))),"")</f>
        <v/>
      </c>
      <c r="H101" s="221" t="str">
        <f ca="1">IF(AND(ISNUMBER($B101),(ISNUMBER(H$5))),IF(H$7=1,(H45-MIN(H$10:OFFSET(H$10,$C$5-1,0,1,1)))/(MAX(H$10:OFFSET(H$10,$C$5-1,0,1,1))-MIN(H$10:OFFSET(H$10,$C$5-1,0,1,1))),(H45-MAX(H$10:OFFSET(H$10,$C$5-1,0,1,1)))/(MIN(H$10:OFFSET(H$10,$C$5-1,0,1,1))-MAX(H$10:OFFSET(H$10,$C$5-1,0,1,1)))),"")</f>
        <v/>
      </c>
      <c r="I101" s="221" t="str">
        <f ca="1">IF(AND(ISNUMBER($B101),(ISNUMBER(I$5))),IF(I$7=1,(I45-MIN(I$10:OFFSET(I$10,$C$5-1,0,1,1)))/(MAX(I$10:OFFSET(I$10,$C$5-1,0,1,1))-MIN(I$10:OFFSET(I$10,$C$5-1,0,1,1))),(I45-MAX(I$10:OFFSET(I$10,$C$5-1,0,1,1)))/(MIN(I$10:OFFSET(I$10,$C$5-1,0,1,1))-MAX(I$10:OFFSET(I$10,$C$5-1,0,1,1)))),"")</f>
        <v/>
      </c>
      <c r="J101" s="187"/>
      <c r="K101" s="199"/>
      <c r="L101" s="206" t="str">
        <f t="shared" si="11"/>
        <v/>
      </c>
      <c r="M101" s="220">
        <f t="shared" si="9"/>
        <v>0</v>
      </c>
      <c r="N101" s="221" t="str">
        <f ca="1">IF(AND(ISNUMBER($L101),(ISNUMBER(N$5))),IF(N$7=1,(N45-MIN(N$10:OFFSET(N$10,$M$5-1,0,1,1)))/(MAX(N$10:OFFSET(N$10,$M$5-1,0,1,1))-MIN(N$10:OFFSET(N$10,$M$5-1,0,1,1))),(N45-MAX(N$10:OFFSET(N$10,$M$5-1,0,1,1)))/(MIN(N$10:OFFSET(N$10,$M$5-1,0,1,1))-MAX(N$10:OFFSET(N$10,$M$5-1,0,1,1)))),"")</f>
        <v/>
      </c>
      <c r="O101" s="221" t="str">
        <f ca="1">IF(AND(ISNUMBER($L101),(ISNUMBER(O$5))),IF(O$7=1,(O45-MIN(O$10:OFFSET(O$10,$M$5-1,0,1,1)))/(MAX(O$10:OFFSET(O$10,$M$5-1,0,1,1))-MIN(O$10:OFFSET(O$10,$M$5-1,0,1,1))),(O45-MAX(O$10:OFFSET(O$10,$M$5-1,0,1,1)))/(MIN(O$10:OFFSET(O$10,$M$5-1,0,1,1))-MAX(O$10:OFFSET(O$10,$M$5-1,0,1,1)))),"")</f>
        <v/>
      </c>
      <c r="P101" s="221" t="str">
        <f ca="1">IF(AND(ISNUMBER($L101),(ISNUMBER(P$5))),IF(P$7=1,(P45-MIN(P$10:OFFSET(P$10,$M$5-1,0,1,1)))/(MAX(P$10:OFFSET(P$10,$M$5-1,0,1,1))-MIN(P$10:OFFSET(P$10,$M$5-1,0,1,1))),(P45-MAX(P$10:OFFSET(P$10,$M$5-1,0,1,1)))/(MIN(P$10:OFFSET(P$10,$M$5-1,0,1,1))-MAX(P$10:OFFSET(P$10,$M$5-1,0,1,1)))),"")</f>
        <v/>
      </c>
      <c r="Q101" s="221" t="str">
        <f ca="1">IF(AND(ISNUMBER($L101),(ISNUMBER(Q$5))),IF(Q$7=1,(Q45-MIN(Q$10:OFFSET(Q$10,$M$5-1,0,1,1)))/(MAX(Q$10:OFFSET(Q$10,$M$5-1,0,1,1))-MIN(Q$10:OFFSET(Q$10,$M$5-1,0,1,1))),(Q45-MAX(Q$10:OFFSET(Q$10,$M$5-1,0,1,1)))/(MIN(Q$10:OFFSET(Q$10,$M$5-1,0,1,1))-MAX(Q$10:OFFSET(Q$10,$M$5-1,0,1,1)))),"")</f>
        <v/>
      </c>
      <c r="R101" s="221" t="str">
        <f ca="1">IF(AND(ISNUMBER($L101),(ISNUMBER(R$5))),IF(R$7=1,(R45-MIN(R$10:OFFSET(R$10,$M$5-1,0,1,1)))/(MAX(R$10:OFFSET(R$10,$M$5-1,0,1,1))-MIN(R$10:OFFSET(R$10,$M$5-1,0,1,1))),(R45-MAX(R$10:OFFSET(R$10,$M$5-1,0,1,1)))/(MIN(R$10:OFFSET(R$10,$M$5-1,0,1,1))-MAX(R$10:OFFSET(R$10,$M$5-1,0,1,1)))),"")</f>
        <v/>
      </c>
      <c r="S101" s="221" t="str">
        <f ca="1">IF(AND(ISNUMBER($L101),(ISNUMBER(S$5))),IF(S$7=1,(S45-MIN(S$10:OFFSET(S$10,$M$5-1,0,1,1)))/(MAX(S$10:OFFSET(S$10,$M$5-1,0,1,1))-MIN(S$10:OFFSET(S$10,$M$5-1,0,1,1))),(S45-MAX(S$10:OFFSET(S$10,$M$5-1,0,1,1)))/(MIN(S$10:OFFSET(S$10,$M$5-1,0,1,1))-MAX(S$10:OFFSET(S$10,$M$5-1,0,1,1)))),"")</f>
        <v/>
      </c>
      <c r="T101" s="187"/>
      <c r="U101" s="199"/>
      <c r="V101" s="206" t="str">
        <f t="shared" si="12"/>
        <v/>
      </c>
      <c r="W101" s="220">
        <f t="shared" si="10"/>
        <v>0</v>
      </c>
      <c r="X101" s="221" t="str">
        <f ca="1">IF(AND(ISNUMBER($V101),(ISNUMBER(X$5))),IF(X$7=1,(X45-MIN(X$10:OFFSET(X$10,$W$5-1,0,1,1)))/(MAX(X$10:OFFSET(X$10,$W$5-1,0,1,1))-MIN(X$10:OFFSET(X$10,$W$5-1,0,1,1))),(X45-MAX(X$10:OFFSET(X$10,$W$5-1,0,1,1)))/(MIN(X$10:OFFSET(X$10,$W$5-1,0,1,1))-MAX(X$10:OFFSET(X$10,$W$5-1,0,1,1)))),"")</f>
        <v/>
      </c>
      <c r="Y101" s="221" t="str">
        <f ca="1">IF(AND(ISNUMBER($V101),(ISNUMBER(Y$5))),IF(Y$7=1,(Y45-MIN(Y$10:OFFSET(Y$10,$W$5-1,0,1,1)))/(MAX(Y$10:OFFSET(Y$10,$W$5-1,0,1,1))-MIN(Y$10:OFFSET(Y$10,$W$5-1,0,1,1))),(Y45-MAX(Y$10:OFFSET(Y$10,$W$5-1,0,1,1)))/(MIN(Y$10:OFFSET(Y$10,$W$5-1,0,1,1))-MAX(Y$10:OFFSET(Y$10,$W$5-1,0,1,1)))),"")</f>
        <v/>
      </c>
      <c r="Z101" s="221" t="str">
        <f ca="1">IF(AND(ISNUMBER($V101),(ISNUMBER(Z$5))),IF(Z$7=1,(Z45-MIN(Z$10:OFFSET(Z$10,$W$5-1,0,1,1)))/(MAX(Z$10:OFFSET(Z$10,$W$5-1,0,1,1))-MIN(Z$10:OFFSET(Z$10,$W$5-1,0,1,1))),(Z45-MAX(Z$10:OFFSET(Z$10,$W$5-1,0,1,1)))/(MIN(Z$10:OFFSET(Z$10,$W$5-1,0,1,1))-MAX(Z$10:OFFSET(Z$10,$W$5-1,0,1,1)))),"")</f>
        <v/>
      </c>
      <c r="AA101" s="221" t="str">
        <f ca="1">IF(AND(ISNUMBER($V101),(ISNUMBER(AA$5))),IF(AA$7=1,(AA45-MIN(AA$10:OFFSET(AA$10,$W$5-1,0,1,1)))/(MAX(AA$10:OFFSET(AA$10,$W$5-1,0,1,1))-MIN(AA$10:OFFSET(AA$10,$W$5-1,0,1,1))),(AA45-MAX(AA$10:OFFSET(AA$10,$W$5-1,0,1,1)))/(MIN(AA$10:OFFSET(AA$10,$W$5-1,0,1,1))-MAX(AA$10:OFFSET(AA$10,$W$5-1,0,1,1)))),"")</f>
        <v/>
      </c>
      <c r="AB101" s="221" t="str">
        <f ca="1">IF(AND(ISNUMBER($V101),(ISNUMBER(AB$5))),IF(AB$7=1,(AB45-MIN(AB$10:OFFSET(AB$10,$W$5-1,0,1,1)))/(MAX(AB$10:OFFSET(AB$10,$W$5-1,0,1,1))-MIN(AB$10:OFFSET(AB$10,$W$5-1,0,1,1))),(AB45-MAX(AB$10:OFFSET(AB$10,$W$5-1,0,1,1)))/(MIN(AB$10:OFFSET(AB$10,$W$5-1,0,1,1))-MAX(AB$10:OFFSET(AB$10,$W$5-1,0,1,1)))),"")</f>
        <v/>
      </c>
      <c r="AC101" s="221" t="str">
        <f ca="1">IF(AND(ISNUMBER($V101),(ISNUMBER(AC$5))),IF(AC$7=1,(AC45-MIN(AC$10:OFFSET(AC$10,$W$5-1,0,1,1)))/(MAX(AC$10:OFFSET(AC$10,$W$5-1,0,1,1))-MIN(AC$10:OFFSET(AC$10,$W$5-1,0,1,1))),(AC45-MAX(AC$10:OFFSET(AC$10,$W$5-1,0,1,1)))/(MIN(AC$10:OFFSET(AC$10,$W$5-1,0,1,1))-MAX(AC$10:OFFSET(AC$10,$W$5-1,0,1,1)))),"")</f>
        <v/>
      </c>
    </row>
    <row r="102" spans="1:29" ht="15" customHeight="1" thickBot="1">
      <c r="A102" s="199"/>
      <c r="B102" s="206" t="str">
        <f t="shared" si="5"/>
        <v/>
      </c>
      <c r="C102" s="220">
        <f t="shared" si="6"/>
        <v>0</v>
      </c>
      <c r="D102" s="221" t="str">
        <f ca="1">IF(AND(ISNUMBER($B102),(ISNUMBER(D$5))),IF(D$7=1,(D46-MIN(D$10:OFFSET(D$10,$C$5-1,0,1,1)))/(MAX(D$10:OFFSET(D$10,$C$5-1,0,1,1))-MIN(D$10:OFFSET(D$10,$C$5-1,0,1,1))),(D46-MAX(D$10:OFFSET(D$10,$C$5-1,0,1,1)))/(MIN(D$10:OFFSET(D$10,$C$5-1,0,1,1))-MAX(D$10:OFFSET(D$10,$C$5-1,0,1,1)))),"")</f>
        <v/>
      </c>
      <c r="E102" s="221" t="str">
        <f ca="1">IF(AND(ISNUMBER($B102),(ISNUMBER(E$5))),IF(E$7=1,(E46-MIN(E$10:OFFSET(E$10,$C$5-1,0,1,1)))/(MAX(E$10:OFFSET(E$10,$C$5-1,0,1,1))-MIN(E$10:OFFSET(E$10,$C$5-1,0,1,1))),(E46-MAX(E$10:OFFSET(E$10,$C$5-1,0,1,1)))/(MIN(E$10:OFFSET(E$10,$C$5-1,0,1,1))-MAX(E$10:OFFSET(E$10,$C$5-1,0,1,1)))),"")</f>
        <v/>
      </c>
      <c r="F102" s="221" t="str">
        <f ca="1">IF(AND(ISNUMBER($B102),(ISNUMBER(F$5))),IF(F$7=1,(F46-MIN(F$10:OFFSET(F$10,$C$5-1,0,1,1)))/(MAX(F$10:OFFSET(F$10,$C$5-1,0,1,1))-MIN(F$10:OFFSET(F$10,$C$5-1,0,1,1))),(F46-MAX(F$10:OFFSET(F$10,$C$5-1,0,1,1)))/(MIN(F$10:OFFSET(F$10,$C$5-1,0,1,1))-MAX(F$10:OFFSET(F$10,$C$5-1,0,1,1)))),"")</f>
        <v/>
      </c>
      <c r="G102" s="221" t="str">
        <f ca="1">IF(AND(ISNUMBER($B102),(ISNUMBER(G$5))),IF(G$7=1,(G46-MIN(G$10:OFFSET(G$10,$C$5-1,0,1,1)))/(MAX(G$10:OFFSET(G$10,$C$5-1,0,1,1))-MIN(G$10:OFFSET(G$10,$C$5-1,0,1,1))),(G46-MAX(G$10:OFFSET(G$10,$C$5-1,0,1,1)))/(MIN(G$10:OFFSET(G$10,$C$5-1,0,1,1))-MAX(G$10:OFFSET(G$10,$C$5-1,0,1,1)))),"")</f>
        <v/>
      </c>
      <c r="H102" s="221" t="str">
        <f ca="1">IF(AND(ISNUMBER($B102),(ISNUMBER(H$5))),IF(H$7=1,(H46-MIN(H$10:OFFSET(H$10,$C$5-1,0,1,1)))/(MAX(H$10:OFFSET(H$10,$C$5-1,0,1,1))-MIN(H$10:OFFSET(H$10,$C$5-1,0,1,1))),(H46-MAX(H$10:OFFSET(H$10,$C$5-1,0,1,1)))/(MIN(H$10:OFFSET(H$10,$C$5-1,0,1,1))-MAX(H$10:OFFSET(H$10,$C$5-1,0,1,1)))),"")</f>
        <v/>
      </c>
      <c r="I102" s="221" t="str">
        <f ca="1">IF(AND(ISNUMBER($B102),(ISNUMBER(I$5))),IF(I$7=1,(I46-MIN(I$10:OFFSET(I$10,$C$5-1,0,1,1)))/(MAX(I$10:OFFSET(I$10,$C$5-1,0,1,1))-MIN(I$10:OFFSET(I$10,$C$5-1,0,1,1))),(I46-MAX(I$10:OFFSET(I$10,$C$5-1,0,1,1)))/(MIN(I$10:OFFSET(I$10,$C$5-1,0,1,1))-MAX(I$10:OFFSET(I$10,$C$5-1,0,1,1)))),"")</f>
        <v/>
      </c>
      <c r="J102" s="187"/>
      <c r="K102" s="199"/>
      <c r="L102" s="206" t="str">
        <f t="shared" si="11"/>
        <v/>
      </c>
      <c r="M102" s="220">
        <f t="shared" si="9"/>
        <v>0</v>
      </c>
      <c r="N102" s="221" t="str">
        <f ca="1">IF(AND(ISNUMBER($L102),(ISNUMBER(N$5))),IF(N$7=1,(N46-MIN(N$10:OFFSET(N$10,$M$5-1,0,1,1)))/(MAX(N$10:OFFSET(N$10,$M$5-1,0,1,1))-MIN(N$10:OFFSET(N$10,$M$5-1,0,1,1))),(N46-MAX(N$10:OFFSET(N$10,$M$5-1,0,1,1)))/(MIN(N$10:OFFSET(N$10,$M$5-1,0,1,1))-MAX(N$10:OFFSET(N$10,$M$5-1,0,1,1)))),"")</f>
        <v/>
      </c>
      <c r="O102" s="221" t="str">
        <f ca="1">IF(AND(ISNUMBER($L102),(ISNUMBER(O$5))),IF(O$7=1,(O46-MIN(O$10:OFFSET(O$10,$M$5-1,0,1,1)))/(MAX(O$10:OFFSET(O$10,$M$5-1,0,1,1))-MIN(O$10:OFFSET(O$10,$M$5-1,0,1,1))),(O46-MAX(O$10:OFFSET(O$10,$M$5-1,0,1,1)))/(MIN(O$10:OFFSET(O$10,$M$5-1,0,1,1))-MAX(O$10:OFFSET(O$10,$M$5-1,0,1,1)))),"")</f>
        <v/>
      </c>
      <c r="P102" s="221" t="str">
        <f ca="1">IF(AND(ISNUMBER($L102),(ISNUMBER(P$5))),IF(P$7=1,(P46-MIN(P$10:OFFSET(P$10,$M$5-1,0,1,1)))/(MAX(P$10:OFFSET(P$10,$M$5-1,0,1,1))-MIN(P$10:OFFSET(P$10,$M$5-1,0,1,1))),(P46-MAX(P$10:OFFSET(P$10,$M$5-1,0,1,1)))/(MIN(P$10:OFFSET(P$10,$M$5-1,0,1,1))-MAX(P$10:OFFSET(P$10,$M$5-1,0,1,1)))),"")</f>
        <v/>
      </c>
      <c r="Q102" s="221" t="str">
        <f ca="1">IF(AND(ISNUMBER($L102),(ISNUMBER(Q$5))),IF(Q$7=1,(Q46-MIN(Q$10:OFFSET(Q$10,$M$5-1,0,1,1)))/(MAX(Q$10:OFFSET(Q$10,$M$5-1,0,1,1))-MIN(Q$10:OFFSET(Q$10,$M$5-1,0,1,1))),(Q46-MAX(Q$10:OFFSET(Q$10,$M$5-1,0,1,1)))/(MIN(Q$10:OFFSET(Q$10,$M$5-1,0,1,1))-MAX(Q$10:OFFSET(Q$10,$M$5-1,0,1,1)))),"")</f>
        <v/>
      </c>
      <c r="R102" s="221" t="str">
        <f ca="1">IF(AND(ISNUMBER($L102),(ISNUMBER(R$5))),IF(R$7=1,(R46-MIN(R$10:OFFSET(R$10,$M$5-1,0,1,1)))/(MAX(R$10:OFFSET(R$10,$M$5-1,0,1,1))-MIN(R$10:OFFSET(R$10,$M$5-1,0,1,1))),(R46-MAX(R$10:OFFSET(R$10,$M$5-1,0,1,1)))/(MIN(R$10:OFFSET(R$10,$M$5-1,0,1,1))-MAX(R$10:OFFSET(R$10,$M$5-1,0,1,1)))),"")</f>
        <v/>
      </c>
      <c r="S102" s="221" t="str">
        <f ca="1">IF(AND(ISNUMBER($L102),(ISNUMBER(S$5))),IF(S$7=1,(S46-MIN(S$10:OFFSET(S$10,$M$5-1,0,1,1)))/(MAX(S$10:OFFSET(S$10,$M$5-1,0,1,1))-MIN(S$10:OFFSET(S$10,$M$5-1,0,1,1))),(S46-MAX(S$10:OFFSET(S$10,$M$5-1,0,1,1)))/(MIN(S$10:OFFSET(S$10,$M$5-1,0,1,1))-MAX(S$10:OFFSET(S$10,$M$5-1,0,1,1)))),"")</f>
        <v/>
      </c>
      <c r="T102" s="187"/>
      <c r="U102" s="199"/>
      <c r="V102" s="206" t="str">
        <f t="shared" si="12"/>
        <v/>
      </c>
      <c r="W102" s="220">
        <f t="shared" si="10"/>
        <v>0</v>
      </c>
      <c r="X102" s="221" t="str">
        <f ca="1">IF(AND(ISNUMBER($V102),(ISNUMBER(X$5))),IF(X$7=1,(X46-MIN(X$10:OFFSET(X$10,$W$5-1,0,1,1)))/(MAX(X$10:OFFSET(X$10,$W$5-1,0,1,1))-MIN(X$10:OFFSET(X$10,$W$5-1,0,1,1))),(X46-MAX(X$10:OFFSET(X$10,$W$5-1,0,1,1)))/(MIN(X$10:OFFSET(X$10,$W$5-1,0,1,1))-MAX(X$10:OFFSET(X$10,$W$5-1,0,1,1)))),"")</f>
        <v/>
      </c>
      <c r="Y102" s="221" t="str">
        <f ca="1">IF(AND(ISNUMBER($V102),(ISNUMBER(Y$5))),IF(Y$7=1,(Y46-MIN(Y$10:OFFSET(Y$10,$W$5-1,0,1,1)))/(MAX(Y$10:OFFSET(Y$10,$W$5-1,0,1,1))-MIN(Y$10:OFFSET(Y$10,$W$5-1,0,1,1))),(Y46-MAX(Y$10:OFFSET(Y$10,$W$5-1,0,1,1)))/(MIN(Y$10:OFFSET(Y$10,$W$5-1,0,1,1))-MAX(Y$10:OFFSET(Y$10,$W$5-1,0,1,1)))),"")</f>
        <v/>
      </c>
      <c r="Z102" s="221" t="str">
        <f ca="1">IF(AND(ISNUMBER($V102),(ISNUMBER(Z$5))),IF(Z$7=1,(Z46-MIN(Z$10:OFFSET(Z$10,$W$5-1,0,1,1)))/(MAX(Z$10:OFFSET(Z$10,$W$5-1,0,1,1))-MIN(Z$10:OFFSET(Z$10,$W$5-1,0,1,1))),(Z46-MAX(Z$10:OFFSET(Z$10,$W$5-1,0,1,1)))/(MIN(Z$10:OFFSET(Z$10,$W$5-1,0,1,1))-MAX(Z$10:OFFSET(Z$10,$W$5-1,0,1,1)))),"")</f>
        <v/>
      </c>
      <c r="AA102" s="221" t="str">
        <f ca="1">IF(AND(ISNUMBER($V102),(ISNUMBER(AA$5))),IF(AA$7=1,(AA46-MIN(AA$10:OFFSET(AA$10,$W$5-1,0,1,1)))/(MAX(AA$10:OFFSET(AA$10,$W$5-1,0,1,1))-MIN(AA$10:OFFSET(AA$10,$W$5-1,0,1,1))),(AA46-MAX(AA$10:OFFSET(AA$10,$W$5-1,0,1,1)))/(MIN(AA$10:OFFSET(AA$10,$W$5-1,0,1,1))-MAX(AA$10:OFFSET(AA$10,$W$5-1,0,1,1)))),"")</f>
        <v/>
      </c>
      <c r="AB102" s="221" t="str">
        <f ca="1">IF(AND(ISNUMBER($V102),(ISNUMBER(AB$5))),IF(AB$7=1,(AB46-MIN(AB$10:OFFSET(AB$10,$W$5-1,0,1,1)))/(MAX(AB$10:OFFSET(AB$10,$W$5-1,0,1,1))-MIN(AB$10:OFFSET(AB$10,$W$5-1,0,1,1))),(AB46-MAX(AB$10:OFFSET(AB$10,$W$5-1,0,1,1)))/(MIN(AB$10:OFFSET(AB$10,$W$5-1,0,1,1))-MAX(AB$10:OFFSET(AB$10,$W$5-1,0,1,1)))),"")</f>
        <v/>
      </c>
      <c r="AC102" s="221" t="str">
        <f ca="1">IF(AND(ISNUMBER($V102),(ISNUMBER(AC$5))),IF(AC$7=1,(AC46-MIN(AC$10:OFFSET(AC$10,$W$5-1,0,1,1)))/(MAX(AC$10:OFFSET(AC$10,$W$5-1,0,1,1))-MIN(AC$10:OFFSET(AC$10,$W$5-1,0,1,1))),(AC46-MAX(AC$10:OFFSET(AC$10,$W$5-1,0,1,1)))/(MIN(AC$10:OFFSET(AC$10,$W$5-1,0,1,1))-MAX(AC$10:OFFSET(AC$10,$W$5-1,0,1,1)))),"")</f>
        <v/>
      </c>
    </row>
    <row r="103" spans="1:29" ht="15" customHeight="1" thickBot="1">
      <c r="A103" s="199"/>
      <c r="B103" s="206" t="str">
        <f t="shared" si="5"/>
        <v/>
      </c>
      <c r="C103" s="220">
        <f t="shared" si="6"/>
        <v>0</v>
      </c>
      <c r="D103" s="221" t="str">
        <f ca="1">IF(AND(ISNUMBER($B103),(ISNUMBER(D$5))),IF(D$7=1,(D47-MIN(D$10:OFFSET(D$10,$C$5-1,0,1,1)))/(MAX(D$10:OFFSET(D$10,$C$5-1,0,1,1))-MIN(D$10:OFFSET(D$10,$C$5-1,0,1,1))),(D47-MAX(D$10:OFFSET(D$10,$C$5-1,0,1,1)))/(MIN(D$10:OFFSET(D$10,$C$5-1,0,1,1))-MAX(D$10:OFFSET(D$10,$C$5-1,0,1,1)))),"")</f>
        <v/>
      </c>
      <c r="E103" s="221" t="str">
        <f ca="1">IF(AND(ISNUMBER($B103),(ISNUMBER(E$5))),IF(E$7=1,(E47-MIN(E$10:OFFSET(E$10,$C$5-1,0,1,1)))/(MAX(E$10:OFFSET(E$10,$C$5-1,0,1,1))-MIN(E$10:OFFSET(E$10,$C$5-1,0,1,1))),(E47-MAX(E$10:OFFSET(E$10,$C$5-1,0,1,1)))/(MIN(E$10:OFFSET(E$10,$C$5-1,0,1,1))-MAX(E$10:OFFSET(E$10,$C$5-1,0,1,1)))),"")</f>
        <v/>
      </c>
      <c r="F103" s="221" t="str">
        <f ca="1">IF(AND(ISNUMBER($B103),(ISNUMBER(F$5))),IF(F$7=1,(F47-MIN(F$10:OFFSET(F$10,$C$5-1,0,1,1)))/(MAX(F$10:OFFSET(F$10,$C$5-1,0,1,1))-MIN(F$10:OFFSET(F$10,$C$5-1,0,1,1))),(F47-MAX(F$10:OFFSET(F$10,$C$5-1,0,1,1)))/(MIN(F$10:OFFSET(F$10,$C$5-1,0,1,1))-MAX(F$10:OFFSET(F$10,$C$5-1,0,1,1)))),"")</f>
        <v/>
      </c>
      <c r="G103" s="221" t="str">
        <f ca="1">IF(AND(ISNUMBER($B103),(ISNUMBER(G$5))),IF(G$7=1,(G47-MIN(G$10:OFFSET(G$10,$C$5-1,0,1,1)))/(MAX(G$10:OFFSET(G$10,$C$5-1,0,1,1))-MIN(G$10:OFFSET(G$10,$C$5-1,0,1,1))),(G47-MAX(G$10:OFFSET(G$10,$C$5-1,0,1,1)))/(MIN(G$10:OFFSET(G$10,$C$5-1,0,1,1))-MAX(G$10:OFFSET(G$10,$C$5-1,0,1,1)))),"")</f>
        <v/>
      </c>
      <c r="H103" s="221" t="str">
        <f ca="1">IF(AND(ISNUMBER($B103),(ISNUMBER(H$5))),IF(H$7=1,(H47-MIN(H$10:OFFSET(H$10,$C$5-1,0,1,1)))/(MAX(H$10:OFFSET(H$10,$C$5-1,0,1,1))-MIN(H$10:OFFSET(H$10,$C$5-1,0,1,1))),(H47-MAX(H$10:OFFSET(H$10,$C$5-1,0,1,1)))/(MIN(H$10:OFFSET(H$10,$C$5-1,0,1,1))-MAX(H$10:OFFSET(H$10,$C$5-1,0,1,1)))),"")</f>
        <v/>
      </c>
      <c r="I103" s="221" t="str">
        <f ca="1">IF(AND(ISNUMBER($B103),(ISNUMBER(I$5))),IF(I$7=1,(I47-MIN(I$10:OFFSET(I$10,$C$5-1,0,1,1)))/(MAX(I$10:OFFSET(I$10,$C$5-1,0,1,1))-MIN(I$10:OFFSET(I$10,$C$5-1,0,1,1))),(I47-MAX(I$10:OFFSET(I$10,$C$5-1,0,1,1)))/(MIN(I$10:OFFSET(I$10,$C$5-1,0,1,1))-MAX(I$10:OFFSET(I$10,$C$5-1,0,1,1)))),"")</f>
        <v/>
      </c>
      <c r="J103" s="187"/>
      <c r="K103" s="199"/>
      <c r="L103" s="206" t="str">
        <f t="shared" si="11"/>
        <v/>
      </c>
      <c r="M103" s="220">
        <f t="shared" si="9"/>
        <v>0</v>
      </c>
      <c r="N103" s="221" t="str">
        <f ca="1">IF(AND(ISNUMBER($L103),(ISNUMBER(N$5))),IF(N$7=1,(N47-MIN(N$10:OFFSET(N$10,$M$5-1,0,1,1)))/(MAX(N$10:OFFSET(N$10,$M$5-1,0,1,1))-MIN(N$10:OFFSET(N$10,$M$5-1,0,1,1))),(N47-MAX(N$10:OFFSET(N$10,$M$5-1,0,1,1)))/(MIN(N$10:OFFSET(N$10,$M$5-1,0,1,1))-MAX(N$10:OFFSET(N$10,$M$5-1,0,1,1)))),"")</f>
        <v/>
      </c>
      <c r="O103" s="221" t="str">
        <f ca="1">IF(AND(ISNUMBER($L103),(ISNUMBER(O$5))),IF(O$7=1,(O47-MIN(O$10:OFFSET(O$10,$M$5-1,0,1,1)))/(MAX(O$10:OFFSET(O$10,$M$5-1,0,1,1))-MIN(O$10:OFFSET(O$10,$M$5-1,0,1,1))),(O47-MAX(O$10:OFFSET(O$10,$M$5-1,0,1,1)))/(MIN(O$10:OFFSET(O$10,$M$5-1,0,1,1))-MAX(O$10:OFFSET(O$10,$M$5-1,0,1,1)))),"")</f>
        <v/>
      </c>
      <c r="P103" s="221" t="str">
        <f ca="1">IF(AND(ISNUMBER($L103),(ISNUMBER(P$5))),IF(P$7=1,(P47-MIN(P$10:OFFSET(P$10,$M$5-1,0,1,1)))/(MAX(P$10:OFFSET(P$10,$M$5-1,0,1,1))-MIN(P$10:OFFSET(P$10,$M$5-1,0,1,1))),(P47-MAX(P$10:OFFSET(P$10,$M$5-1,0,1,1)))/(MIN(P$10:OFFSET(P$10,$M$5-1,0,1,1))-MAX(P$10:OFFSET(P$10,$M$5-1,0,1,1)))),"")</f>
        <v/>
      </c>
      <c r="Q103" s="221" t="str">
        <f ca="1">IF(AND(ISNUMBER($L103),(ISNUMBER(Q$5))),IF(Q$7=1,(Q47-MIN(Q$10:OFFSET(Q$10,$M$5-1,0,1,1)))/(MAX(Q$10:OFFSET(Q$10,$M$5-1,0,1,1))-MIN(Q$10:OFFSET(Q$10,$M$5-1,0,1,1))),(Q47-MAX(Q$10:OFFSET(Q$10,$M$5-1,0,1,1)))/(MIN(Q$10:OFFSET(Q$10,$M$5-1,0,1,1))-MAX(Q$10:OFFSET(Q$10,$M$5-1,0,1,1)))),"")</f>
        <v/>
      </c>
      <c r="R103" s="221" t="str">
        <f ca="1">IF(AND(ISNUMBER($L103),(ISNUMBER(R$5))),IF(R$7=1,(R47-MIN(R$10:OFFSET(R$10,$M$5-1,0,1,1)))/(MAX(R$10:OFFSET(R$10,$M$5-1,0,1,1))-MIN(R$10:OFFSET(R$10,$M$5-1,0,1,1))),(R47-MAX(R$10:OFFSET(R$10,$M$5-1,0,1,1)))/(MIN(R$10:OFFSET(R$10,$M$5-1,0,1,1))-MAX(R$10:OFFSET(R$10,$M$5-1,0,1,1)))),"")</f>
        <v/>
      </c>
      <c r="S103" s="221" t="str">
        <f ca="1">IF(AND(ISNUMBER($L103),(ISNUMBER(S$5))),IF(S$7=1,(S47-MIN(S$10:OFFSET(S$10,$M$5-1,0,1,1)))/(MAX(S$10:OFFSET(S$10,$M$5-1,0,1,1))-MIN(S$10:OFFSET(S$10,$M$5-1,0,1,1))),(S47-MAX(S$10:OFFSET(S$10,$M$5-1,0,1,1)))/(MIN(S$10:OFFSET(S$10,$M$5-1,0,1,1))-MAX(S$10:OFFSET(S$10,$M$5-1,0,1,1)))),"")</f>
        <v/>
      </c>
      <c r="T103" s="187"/>
      <c r="U103" s="199"/>
      <c r="V103" s="206" t="str">
        <f t="shared" si="12"/>
        <v/>
      </c>
      <c r="W103" s="220">
        <f t="shared" si="10"/>
        <v>0</v>
      </c>
      <c r="X103" s="221" t="str">
        <f ca="1">IF(AND(ISNUMBER($V103),(ISNUMBER(X$5))),IF(X$7=1,(X47-MIN(X$10:OFFSET(X$10,$W$5-1,0,1,1)))/(MAX(X$10:OFFSET(X$10,$W$5-1,0,1,1))-MIN(X$10:OFFSET(X$10,$W$5-1,0,1,1))),(X47-MAX(X$10:OFFSET(X$10,$W$5-1,0,1,1)))/(MIN(X$10:OFFSET(X$10,$W$5-1,0,1,1))-MAX(X$10:OFFSET(X$10,$W$5-1,0,1,1)))),"")</f>
        <v/>
      </c>
      <c r="Y103" s="221" t="str">
        <f ca="1">IF(AND(ISNUMBER($V103),(ISNUMBER(Y$5))),IF(Y$7=1,(Y47-MIN(Y$10:OFFSET(Y$10,$W$5-1,0,1,1)))/(MAX(Y$10:OFFSET(Y$10,$W$5-1,0,1,1))-MIN(Y$10:OFFSET(Y$10,$W$5-1,0,1,1))),(Y47-MAX(Y$10:OFFSET(Y$10,$W$5-1,0,1,1)))/(MIN(Y$10:OFFSET(Y$10,$W$5-1,0,1,1))-MAX(Y$10:OFFSET(Y$10,$W$5-1,0,1,1)))),"")</f>
        <v/>
      </c>
      <c r="Z103" s="221" t="str">
        <f ca="1">IF(AND(ISNUMBER($V103),(ISNUMBER(Z$5))),IF(Z$7=1,(Z47-MIN(Z$10:OFFSET(Z$10,$W$5-1,0,1,1)))/(MAX(Z$10:OFFSET(Z$10,$W$5-1,0,1,1))-MIN(Z$10:OFFSET(Z$10,$W$5-1,0,1,1))),(Z47-MAX(Z$10:OFFSET(Z$10,$W$5-1,0,1,1)))/(MIN(Z$10:OFFSET(Z$10,$W$5-1,0,1,1))-MAX(Z$10:OFFSET(Z$10,$W$5-1,0,1,1)))),"")</f>
        <v/>
      </c>
      <c r="AA103" s="221" t="str">
        <f ca="1">IF(AND(ISNUMBER($V103),(ISNUMBER(AA$5))),IF(AA$7=1,(AA47-MIN(AA$10:OFFSET(AA$10,$W$5-1,0,1,1)))/(MAX(AA$10:OFFSET(AA$10,$W$5-1,0,1,1))-MIN(AA$10:OFFSET(AA$10,$W$5-1,0,1,1))),(AA47-MAX(AA$10:OFFSET(AA$10,$W$5-1,0,1,1)))/(MIN(AA$10:OFFSET(AA$10,$W$5-1,0,1,1))-MAX(AA$10:OFFSET(AA$10,$W$5-1,0,1,1)))),"")</f>
        <v/>
      </c>
      <c r="AB103" s="221" t="str">
        <f ca="1">IF(AND(ISNUMBER($V103),(ISNUMBER(AB$5))),IF(AB$7=1,(AB47-MIN(AB$10:OFFSET(AB$10,$W$5-1,0,1,1)))/(MAX(AB$10:OFFSET(AB$10,$W$5-1,0,1,1))-MIN(AB$10:OFFSET(AB$10,$W$5-1,0,1,1))),(AB47-MAX(AB$10:OFFSET(AB$10,$W$5-1,0,1,1)))/(MIN(AB$10:OFFSET(AB$10,$W$5-1,0,1,1))-MAX(AB$10:OFFSET(AB$10,$W$5-1,0,1,1)))),"")</f>
        <v/>
      </c>
      <c r="AC103" s="221" t="str">
        <f ca="1">IF(AND(ISNUMBER($V103),(ISNUMBER(AC$5))),IF(AC$7=1,(AC47-MIN(AC$10:OFFSET(AC$10,$W$5-1,0,1,1)))/(MAX(AC$10:OFFSET(AC$10,$W$5-1,0,1,1))-MIN(AC$10:OFFSET(AC$10,$W$5-1,0,1,1))),(AC47-MAX(AC$10:OFFSET(AC$10,$W$5-1,0,1,1)))/(MIN(AC$10:OFFSET(AC$10,$W$5-1,0,1,1))-MAX(AC$10:OFFSET(AC$10,$W$5-1,0,1,1)))),"")</f>
        <v/>
      </c>
    </row>
    <row r="104" spans="1:29" ht="15" customHeight="1" thickBot="1">
      <c r="A104" s="199"/>
      <c r="B104" s="206" t="str">
        <f t="shared" si="5"/>
        <v/>
      </c>
      <c r="C104" s="220">
        <f t="shared" si="6"/>
        <v>0</v>
      </c>
      <c r="D104" s="221" t="str">
        <f ca="1">IF(AND(ISNUMBER($B104),(ISNUMBER(D$5))),IF(D$7=1,(D48-MIN(D$10:OFFSET(D$10,$C$5-1,0,1,1)))/(MAX(D$10:OFFSET(D$10,$C$5-1,0,1,1))-MIN(D$10:OFFSET(D$10,$C$5-1,0,1,1))),(D48-MAX(D$10:OFFSET(D$10,$C$5-1,0,1,1)))/(MIN(D$10:OFFSET(D$10,$C$5-1,0,1,1))-MAX(D$10:OFFSET(D$10,$C$5-1,0,1,1)))),"")</f>
        <v/>
      </c>
      <c r="E104" s="221" t="str">
        <f ca="1">IF(AND(ISNUMBER($B104),(ISNUMBER(E$5))),IF(E$7=1,(E48-MIN(E$10:OFFSET(E$10,$C$5-1,0,1,1)))/(MAX(E$10:OFFSET(E$10,$C$5-1,0,1,1))-MIN(E$10:OFFSET(E$10,$C$5-1,0,1,1))),(E48-MAX(E$10:OFFSET(E$10,$C$5-1,0,1,1)))/(MIN(E$10:OFFSET(E$10,$C$5-1,0,1,1))-MAX(E$10:OFFSET(E$10,$C$5-1,0,1,1)))),"")</f>
        <v/>
      </c>
      <c r="F104" s="221" t="str">
        <f ca="1">IF(AND(ISNUMBER($B104),(ISNUMBER(F$5))),IF(F$7=1,(F48-MIN(F$10:OFFSET(F$10,$C$5-1,0,1,1)))/(MAX(F$10:OFFSET(F$10,$C$5-1,0,1,1))-MIN(F$10:OFFSET(F$10,$C$5-1,0,1,1))),(F48-MAX(F$10:OFFSET(F$10,$C$5-1,0,1,1)))/(MIN(F$10:OFFSET(F$10,$C$5-1,0,1,1))-MAX(F$10:OFFSET(F$10,$C$5-1,0,1,1)))),"")</f>
        <v/>
      </c>
      <c r="G104" s="221" t="str">
        <f ca="1">IF(AND(ISNUMBER($B104),(ISNUMBER(G$5))),IF(G$7=1,(G48-MIN(G$10:OFFSET(G$10,$C$5-1,0,1,1)))/(MAX(G$10:OFFSET(G$10,$C$5-1,0,1,1))-MIN(G$10:OFFSET(G$10,$C$5-1,0,1,1))),(G48-MAX(G$10:OFFSET(G$10,$C$5-1,0,1,1)))/(MIN(G$10:OFFSET(G$10,$C$5-1,0,1,1))-MAX(G$10:OFFSET(G$10,$C$5-1,0,1,1)))),"")</f>
        <v/>
      </c>
      <c r="H104" s="221" t="str">
        <f ca="1">IF(AND(ISNUMBER($B104),(ISNUMBER(H$5))),IF(H$7=1,(H48-MIN(H$10:OFFSET(H$10,$C$5-1,0,1,1)))/(MAX(H$10:OFFSET(H$10,$C$5-1,0,1,1))-MIN(H$10:OFFSET(H$10,$C$5-1,0,1,1))),(H48-MAX(H$10:OFFSET(H$10,$C$5-1,0,1,1)))/(MIN(H$10:OFFSET(H$10,$C$5-1,0,1,1))-MAX(H$10:OFFSET(H$10,$C$5-1,0,1,1)))),"")</f>
        <v/>
      </c>
      <c r="I104" s="221" t="str">
        <f ca="1">IF(AND(ISNUMBER($B104),(ISNUMBER(I$5))),IF(I$7=1,(I48-MIN(I$10:OFFSET(I$10,$C$5-1,0,1,1)))/(MAX(I$10:OFFSET(I$10,$C$5-1,0,1,1))-MIN(I$10:OFFSET(I$10,$C$5-1,0,1,1))),(I48-MAX(I$10:OFFSET(I$10,$C$5-1,0,1,1)))/(MIN(I$10:OFFSET(I$10,$C$5-1,0,1,1))-MAX(I$10:OFFSET(I$10,$C$5-1,0,1,1)))),"")</f>
        <v/>
      </c>
      <c r="J104" s="187"/>
      <c r="K104" s="199"/>
      <c r="L104" s="206" t="str">
        <f t="shared" si="11"/>
        <v/>
      </c>
      <c r="M104" s="220">
        <f t="shared" si="9"/>
        <v>0</v>
      </c>
      <c r="N104" s="221" t="str">
        <f ca="1">IF(AND(ISNUMBER($L104),(ISNUMBER(N$5))),IF(N$7=1,(N48-MIN(N$10:OFFSET(N$10,$M$5-1,0,1,1)))/(MAX(N$10:OFFSET(N$10,$M$5-1,0,1,1))-MIN(N$10:OFFSET(N$10,$M$5-1,0,1,1))),(N48-MAX(N$10:OFFSET(N$10,$M$5-1,0,1,1)))/(MIN(N$10:OFFSET(N$10,$M$5-1,0,1,1))-MAX(N$10:OFFSET(N$10,$M$5-1,0,1,1)))),"")</f>
        <v/>
      </c>
      <c r="O104" s="221" t="str">
        <f ca="1">IF(AND(ISNUMBER($L104),(ISNUMBER(O$5))),IF(O$7=1,(O48-MIN(O$10:OFFSET(O$10,$M$5-1,0,1,1)))/(MAX(O$10:OFFSET(O$10,$M$5-1,0,1,1))-MIN(O$10:OFFSET(O$10,$M$5-1,0,1,1))),(O48-MAX(O$10:OFFSET(O$10,$M$5-1,0,1,1)))/(MIN(O$10:OFFSET(O$10,$M$5-1,0,1,1))-MAX(O$10:OFFSET(O$10,$M$5-1,0,1,1)))),"")</f>
        <v/>
      </c>
      <c r="P104" s="221" t="str">
        <f ca="1">IF(AND(ISNUMBER($L104),(ISNUMBER(P$5))),IF(P$7=1,(P48-MIN(P$10:OFFSET(P$10,$M$5-1,0,1,1)))/(MAX(P$10:OFFSET(P$10,$M$5-1,0,1,1))-MIN(P$10:OFFSET(P$10,$M$5-1,0,1,1))),(P48-MAX(P$10:OFFSET(P$10,$M$5-1,0,1,1)))/(MIN(P$10:OFFSET(P$10,$M$5-1,0,1,1))-MAX(P$10:OFFSET(P$10,$M$5-1,0,1,1)))),"")</f>
        <v/>
      </c>
      <c r="Q104" s="221" t="str">
        <f ca="1">IF(AND(ISNUMBER($L104),(ISNUMBER(Q$5))),IF(Q$7=1,(Q48-MIN(Q$10:OFFSET(Q$10,$M$5-1,0,1,1)))/(MAX(Q$10:OFFSET(Q$10,$M$5-1,0,1,1))-MIN(Q$10:OFFSET(Q$10,$M$5-1,0,1,1))),(Q48-MAX(Q$10:OFFSET(Q$10,$M$5-1,0,1,1)))/(MIN(Q$10:OFFSET(Q$10,$M$5-1,0,1,1))-MAX(Q$10:OFFSET(Q$10,$M$5-1,0,1,1)))),"")</f>
        <v/>
      </c>
      <c r="R104" s="221" t="str">
        <f ca="1">IF(AND(ISNUMBER($L104),(ISNUMBER(R$5))),IF(R$7=1,(R48-MIN(R$10:OFFSET(R$10,$M$5-1,0,1,1)))/(MAX(R$10:OFFSET(R$10,$M$5-1,0,1,1))-MIN(R$10:OFFSET(R$10,$M$5-1,0,1,1))),(R48-MAX(R$10:OFFSET(R$10,$M$5-1,0,1,1)))/(MIN(R$10:OFFSET(R$10,$M$5-1,0,1,1))-MAX(R$10:OFFSET(R$10,$M$5-1,0,1,1)))),"")</f>
        <v/>
      </c>
      <c r="S104" s="221" t="str">
        <f ca="1">IF(AND(ISNUMBER($L104),(ISNUMBER(S$5))),IF(S$7=1,(S48-MIN(S$10:OFFSET(S$10,$M$5-1,0,1,1)))/(MAX(S$10:OFFSET(S$10,$M$5-1,0,1,1))-MIN(S$10:OFFSET(S$10,$M$5-1,0,1,1))),(S48-MAX(S$10:OFFSET(S$10,$M$5-1,0,1,1)))/(MIN(S$10:OFFSET(S$10,$M$5-1,0,1,1))-MAX(S$10:OFFSET(S$10,$M$5-1,0,1,1)))),"")</f>
        <v/>
      </c>
      <c r="T104" s="187"/>
      <c r="U104" s="199"/>
      <c r="V104" s="206" t="str">
        <f t="shared" si="12"/>
        <v/>
      </c>
      <c r="W104" s="220">
        <f t="shared" si="10"/>
        <v>0</v>
      </c>
      <c r="X104" s="221" t="str">
        <f ca="1">IF(AND(ISNUMBER($V104),(ISNUMBER(X$5))),IF(X$7=1,(X48-MIN(X$10:OFFSET(X$10,$W$5-1,0,1,1)))/(MAX(X$10:OFFSET(X$10,$W$5-1,0,1,1))-MIN(X$10:OFFSET(X$10,$W$5-1,0,1,1))),(X48-MAX(X$10:OFFSET(X$10,$W$5-1,0,1,1)))/(MIN(X$10:OFFSET(X$10,$W$5-1,0,1,1))-MAX(X$10:OFFSET(X$10,$W$5-1,0,1,1)))),"")</f>
        <v/>
      </c>
      <c r="Y104" s="221" t="str">
        <f ca="1">IF(AND(ISNUMBER($V104),(ISNUMBER(Y$5))),IF(Y$7=1,(Y48-MIN(Y$10:OFFSET(Y$10,$W$5-1,0,1,1)))/(MAX(Y$10:OFFSET(Y$10,$W$5-1,0,1,1))-MIN(Y$10:OFFSET(Y$10,$W$5-1,0,1,1))),(Y48-MAX(Y$10:OFFSET(Y$10,$W$5-1,0,1,1)))/(MIN(Y$10:OFFSET(Y$10,$W$5-1,0,1,1))-MAX(Y$10:OFFSET(Y$10,$W$5-1,0,1,1)))),"")</f>
        <v/>
      </c>
      <c r="Z104" s="221" t="str">
        <f ca="1">IF(AND(ISNUMBER($V104),(ISNUMBER(Z$5))),IF(Z$7=1,(Z48-MIN(Z$10:OFFSET(Z$10,$W$5-1,0,1,1)))/(MAX(Z$10:OFFSET(Z$10,$W$5-1,0,1,1))-MIN(Z$10:OFFSET(Z$10,$W$5-1,0,1,1))),(Z48-MAX(Z$10:OFFSET(Z$10,$W$5-1,0,1,1)))/(MIN(Z$10:OFFSET(Z$10,$W$5-1,0,1,1))-MAX(Z$10:OFFSET(Z$10,$W$5-1,0,1,1)))),"")</f>
        <v/>
      </c>
      <c r="AA104" s="221" t="str">
        <f ca="1">IF(AND(ISNUMBER($V104),(ISNUMBER(AA$5))),IF(AA$7=1,(AA48-MIN(AA$10:OFFSET(AA$10,$W$5-1,0,1,1)))/(MAX(AA$10:OFFSET(AA$10,$W$5-1,0,1,1))-MIN(AA$10:OFFSET(AA$10,$W$5-1,0,1,1))),(AA48-MAX(AA$10:OFFSET(AA$10,$W$5-1,0,1,1)))/(MIN(AA$10:OFFSET(AA$10,$W$5-1,0,1,1))-MAX(AA$10:OFFSET(AA$10,$W$5-1,0,1,1)))),"")</f>
        <v/>
      </c>
      <c r="AB104" s="221" t="str">
        <f ca="1">IF(AND(ISNUMBER($V104),(ISNUMBER(AB$5))),IF(AB$7=1,(AB48-MIN(AB$10:OFFSET(AB$10,$W$5-1,0,1,1)))/(MAX(AB$10:OFFSET(AB$10,$W$5-1,0,1,1))-MIN(AB$10:OFFSET(AB$10,$W$5-1,0,1,1))),(AB48-MAX(AB$10:OFFSET(AB$10,$W$5-1,0,1,1)))/(MIN(AB$10:OFFSET(AB$10,$W$5-1,0,1,1))-MAX(AB$10:OFFSET(AB$10,$W$5-1,0,1,1)))),"")</f>
        <v/>
      </c>
      <c r="AC104" s="221" t="str">
        <f ca="1">IF(AND(ISNUMBER($V104),(ISNUMBER(AC$5))),IF(AC$7=1,(AC48-MIN(AC$10:OFFSET(AC$10,$W$5-1,0,1,1)))/(MAX(AC$10:OFFSET(AC$10,$W$5-1,0,1,1))-MIN(AC$10:OFFSET(AC$10,$W$5-1,0,1,1))),(AC48-MAX(AC$10:OFFSET(AC$10,$W$5-1,0,1,1)))/(MIN(AC$10:OFFSET(AC$10,$W$5-1,0,1,1))-MAX(AC$10:OFFSET(AC$10,$W$5-1,0,1,1)))),"")</f>
        <v/>
      </c>
    </row>
    <row r="105" spans="1:29" ht="15" customHeight="1" thickBot="1">
      <c r="A105" s="199"/>
      <c r="B105" s="206" t="str">
        <f t="shared" si="5"/>
        <v/>
      </c>
      <c r="C105" s="220">
        <f t="shared" si="6"/>
        <v>0</v>
      </c>
      <c r="D105" s="221" t="str">
        <f ca="1">IF(AND(ISNUMBER($B105),(ISNUMBER(D$5))),IF(D$7=1,(D49-MIN(D$10:OFFSET(D$10,$C$5-1,0,1,1)))/(MAX(D$10:OFFSET(D$10,$C$5-1,0,1,1))-MIN(D$10:OFFSET(D$10,$C$5-1,0,1,1))),(D49-MAX(D$10:OFFSET(D$10,$C$5-1,0,1,1)))/(MIN(D$10:OFFSET(D$10,$C$5-1,0,1,1))-MAX(D$10:OFFSET(D$10,$C$5-1,0,1,1)))),"")</f>
        <v/>
      </c>
      <c r="E105" s="221" t="str">
        <f ca="1">IF(AND(ISNUMBER($B105),(ISNUMBER(E$5))),IF(E$7=1,(E49-MIN(E$10:OFFSET(E$10,$C$5-1,0,1,1)))/(MAX(E$10:OFFSET(E$10,$C$5-1,0,1,1))-MIN(E$10:OFFSET(E$10,$C$5-1,0,1,1))),(E49-MAX(E$10:OFFSET(E$10,$C$5-1,0,1,1)))/(MIN(E$10:OFFSET(E$10,$C$5-1,0,1,1))-MAX(E$10:OFFSET(E$10,$C$5-1,0,1,1)))),"")</f>
        <v/>
      </c>
      <c r="F105" s="221" t="str">
        <f ca="1">IF(AND(ISNUMBER($B105),(ISNUMBER(F$5))),IF(F$7=1,(F49-MIN(F$10:OFFSET(F$10,$C$5-1,0,1,1)))/(MAX(F$10:OFFSET(F$10,$C$5-1,0,1,1))-MIN(F$10:OFFSET(F$10,$C$5-1,0,1,1))),(F49-MAX(F$10:OFFSET(F$10,$C$5-1,0,1,1)))/(MIN(F$10:OFFSET(F$10,$C$5-1,0,1,1))-MAX(F$10:OFFSET(F$10,$C$5-1,0,1,1)))),"")</f>
        <v/>
      </c>
      <c r="G105" s="221" t="str">
        <f ca="1">IF(AND(ISNUMBER($B105),(ISNUMBER(G$5))),IF(G$7=1,(G49-MIN(G$10:OFFSET(G$10,$C$5-1,0,1,1)))/(MAX(G$10:OFFSET(G$10,$C$5-1,0,1,1))-MIN(G$10:OFFSET(G$10,$C$5-1,0,1,1))),(G49-MAX(G$10:OFFSET(G$10,$C$5-1,0,1,1)))/(MIN(G$10:OFFSET(G$10,$C$5-1,0,1,1))-MAX(G$10:OFFSET(G$10,$C$5-1,0,1,1)))),"")</f>
        <v/>
      </c>
      <c r="H105" s="221" t="str">
        <f ca="1">IF(AND(ISNUMBER($B105),(ISNUMBER(H$5))),IF(H$7=1,(H49-MIN(H$10:OFFSET(H$10,$C$5-1,0,1,1)))/(MAX(H$10:OFFSET(H$10,$C$5-1,0,1,1))-MIN(H$10:OFFSET(H$10,$C$5-1,0,1,1))),(H49-MAX(H$10:OFFSET(H$10,$C$5-1,0,1,1)))/(MIN(H$10:OFFSET(H$10,$C$5-1,0,1,1))-MAX(H$10:OFFSET(H$10,$C$5-1,0,1,1)))),"")</f>
        <v/>
      </c>
      <c r="I105" s="221" t="str">
        <f ca="1">IF(AND(ISNUMBER($B105),(ISNUMBER(I$5))),IF(I$7=1,(I49-MIN(I$10:OFFSET(I$10,$C$5-1,0,1,1)))/(MAX(I$10:OFFSET(I$10,$C$5-1,0,1,1))-MIN(I$10:OFFSET(I$10,$C$5-1,0,1,1))),(I49-MAX(I$10:OFFSET(I$10,$C$5-1,0,1,1)))/(MIN(I$10:OFFSET(I$10,$C$5-1,0,1,1))-MAX(I$10:OFFSET(I$10,$C$5-1,0,1,1)))),"")</f>
        <v/>
      </c>
      <c r="J105" s="187"/>
      <c r="K105" s="199"/>
      <c r="L105" s="206" t="str">
        <f t="shared" si="11"/>
        <v/>
      </c>
      <c r="M105" s="220">
        <f t="shared" si="9"/>
        <v>0</v>
      </c>
      <c r="N105" s="221" t="str">
        <f ca="1">IF(AND(ISNUMBER($L105),(ISNUMBER(N$5))),IF(N$7=1,(N49-MIN(N$10:OFFSET(N$10,$M$5-1,0,1,1)))/(MAX(N$10:OFFSET(N$10,$M$5-1,0,1,1))-MIN(N$10:OFFSET(N$10,$M$5-1,0,1,1))),(N49-MAX(N$10:OFFSET(N$10,$M$5-1,0,1,1)))/(MIN(N$10:OFFSET(N$10,$M$5-1,0,1,1))-MAX(N$10:OFFSET(N$10,$M$5-1,0,1,1)))),"")</f>
        <v/>
      </c>
      <c r="O105" s="221" t="str">
        <f ca="1">IF(AND(ISNUMBER($L105),(ISNUMBER(O$5))),IF(O$7=1,(O49-MIN(O$10:OFFSET(O$10,$M$5-1,0,1,1)))/(MAX(O$10:OFFSET(O$10,$M$5-1,0,1,1))-MIN(O$10:OFFSET(O$10,$M$5-1,0,1,1))),(O49-MAX(O$10:OFFSET(O$10,$M$5-1,0,1,1)))/(MIN(O$10:OFFSET(O$10,$M$5-1,0,1,1))-MAX(O$10:OFFSET(O$10,$M$5-1,0,1,1)))),"")</f>
        <v/>
      </c>
      <c r="P105" s="221" t="str">
        <f ca="1">IF(AND(ISNUMBER($L105),(ISNUMBER(P$5))),IF(P$7=1,(P49-MIN(P$10:OFFSET(P$10,$M$5-1,0,1,1)))/(MAX(P$10:OFFSET(P$10,$M$5-1,0,1,1))-MIN(P$10:OFFSET(P$10,$M$5-1,0,1,1))),(P49-MAX(P$10:OFFSET(P$10,$M$5-1,0,1,1)))/(MIN(P$10:OFFSET(P$10,$M$5-1,0,1,1))-MAX(P$10:OFFSET(P$10,$M$5-1,0,1,1)))),"")</f>
        <v/>
      </c>
      <c r="Q105" s="221" t="str">
        <f ca="1">IF(AND(ISNUMBER($L105),(ISNUMBER(Q$5))),IF(Q$7=1,(Q49-MIN(Q$10:OFFSET(Q$10,$M$5-1,0,1,1)))/(MAX(Q$10:OFFSET(Q$10,$M$5-1,0,1,1))-MIN(Q$10:OFFSET(Q$10,$M$5-1,0,1,1))),(Q49-MAX(Q$10:OFFSET(Q$10,$M$5-1,0,1,1)))/(MIN(Q$10:OFFSET(Q$10,$M$5-1,0,1,1))-MAX(Q$10:OFFSET(Q$10,$M$5-1,0,1,1)))),"")</f>
        <v/>
      </c>
      <c r="R105" s="221" t="str">
        <f ca="1">IF(AND(ISNUMBER($L105),(ISNUMBER(R$5))),IF(R$7=1,(R49-MIN(R$10:OFFSET(R$10,$M$5-1,0,1,1)))/(MAX(R$10:OFFSET(R$10,$M$5-1,0,1,1))-MIN(R$10:OFFSET(R$10,$M$5-1,0,1,1))),(R49-MAX(R$10:OFFSET(R$10,$M$5-1,0,1,1)))/(MIN(R$10:OFFSET(R$10,$M$5-1,0,1,1))-MAX(R$10:OFFSET(R$10,$M$5-1,0,1,1)))),"")</f>
        <v/>
      </c>
      <c r="S105" s="221" t="str">
        <f ca="1">IF(AND(ISNUMBER($L105),(ISNUMBER(S$5))),IF(S$7=1,(S49-MIN(S$10:OFFSET(S$10,$M$5-1,0,1,1)))/(MAX(S$10:OFFSET(S$10,$M$5-1,0,1,1))-MIN(S$10:OFFSET(S$10,$M$5-1,0,1,1))),(S49-MAX(S$10:OFFSET(S$10,$M$5-1,0,1,1)))/(MIN(S$10:OFFSET(S$10,$M$5-1,0,1,1))-MAX(S$10:OFFSET(S$10,$M$5-1,0,1,1)))),"")</f>
        <v/>
      </c>
      <c r="T105" s="187"/>
      <c r="U105" s="199"/>
      <c r="V105" s="206" t="str">
        <f t="shared" si="12"/>
        <v/>
      </c>
      <c r="W105" s="220">
        <f t="shared" si="10"/>
        <v>0</v>
      </c>
      <c r="X105" s="221" t="str">
        <f ca="1">IF(AND(ISNUMBER($V105),(ISNUMBER(X$5))),IF(X$7=1,(X49-MIN(X$10:OFFSET(X$10,$W$5-1,0,1,1)))/(MAX(X$10:OFFSET(X$10,$W$5-1,0,1,1))-MIN(X$10:OFFSET(X$10,$W$5-1,0,1,1))),(X49-MAX(X$10:OFFSET(X$10,$W$5-1,0,1,1)))/(MIN(X$10:OFFSET(X$10,$W$5-1,0,1,1))-MAX(X$10:OFFSET(X$10,$W$5-1,0,1,1)))),"")</f>
        <v/>
      </c>
      <c r="Y105" s="221" t="str">
        <f ca="1">IF(AND(ISNUMBER($V105),(ISNUMBER(Y$5))),IF(Y$7=1,(Y49-MIN(Y$10:OFFSET(Y$10,$W$5-1,0,1,1)))/(MAX(Y$10:OFFSET(Y$10,$W$5-1,0,1,1))-MIN(Y$10:OFFSET(Y$10,$W$5-1,0,1,1))),(Y49-MAX(Y$10:OFFSET(Y$10,$W$5-1,0,1,1)))/(MIN(Y$10:OFFSET(Y$10,$W$5-1,0,1,1))-MAX(Y$10:OFFSET(Y$10,$W$5-1,0,1,1)))),"")</f>
        <v/>
      </c>
      <c r="Z105" s="221" t="str">
        <f ca="1">IF(AND(ISNUMBER($V105),(ISNUMBER(Z$5))),IF(Z$7=1,(Z49-MIN(Z$10:OFFSET(Z$10,$W$5-1,0,1,1)))/(MAX(Z$10:OFFSET(Z$10,$W$5-1,0,1,1))-MIN(Z$10:OFFSET(Z$10,$W$5-1,0,1,1))),(Z49-MAX(Z$10:OFFSET(Z$10,$W$5-1,0,1,1)))/(MIN(Z$10:OFFSET(Z$10,$W$5-1,0,1,1))-MAX(Z$10:OFFSET(Z$10,$W$5-1,0,1,1)))),"")</f>
        <v/>
      </c>
      <c r="AA105" s="221" t="str">
        <f ca="1">IF(AND(ISNUMBER($V105),(ISNUMBER(AA$5))),IF(AA$7=1,(AA49-MIN(AA$10:OFFSET(AA$10,$W$5-1,0,1,1)))/(MAX(AA$10:OFFSET(AA$10,$W$5-1,0,1,1))-MIN(AA$10:OFFSET(AA$10,$W$5-1,0,1,1))),(AA49-MAX(AA$10:OFFSET(AA$10,$W$5-1,0,1,1)))/(MIN(AA$10:OFFSET(AA$10,$W$5-1,0,1,1))-MAX(AA$10:OFFSET(AA$10,$W$5-1,0,1,1)))),"")</f>
        <v/>
      </c>
      <c r="AB105" s="221" t="str">
        <f ca="1">IF(AND(ISNUMBER($V105),(ISNUMBER(AB$5))),IF(AB$7=1,(AB49-MIN(AB$10:OFFSET(AB$10,$W$5-1,0,1,1)))/(MAX(AB$10:OFFSET(AB$10,$W$5-1,0,1,1))-MIN(AB$10:OFFSET(AB$10,$W$5-1,0,1,1))),(AB49-MAX(AB$10:OFFSET(AB$10,$W$5-1,0,1,1)))/(MIN(AB$10:OFFSET(AB$10,$W$5-1,0,1,1))-MAX(AB$10:OFFSET(AB$10,$W$5-1,0,1,1)))),"")</f>
        <v/>
      </c>
      <c r="AC105" s="221" t="str">
        <f ca="1">IF(AND(ISNUMBER($V105),(ISNUMBER(AC$5))),IF(AC$7=1,(AC49-MIN(AC$10:OFFSET(AC$10,$W$5-1,0,1,1)))/(MAX(AC$10:OFFSET(AC$10,$W$5-1,0,1,1))-MIN(AC$10:OFFSET(AC$10,$W$5-1,0,1,1))),(AC49-MAX(AC$10:OFFSET(AC$10,$W$5-1,0,1,1)))/(MIN(AC$10:OFFSET(AC$10,$W$5-1,0,1,1))-MAX(AC$10:OFFSET(AC$10,$W$5-1,0,1,1)))),"")</f>
        <v/>
      </c>
    </row>
    <row r="106" spans="1:29" ht="15" customHeight="1" thickBot="1">
      <c r="A106" s="199"/>
      <c r="B106" s="206" t="str">
        <f t="shared" si="5"/>
        <v/>
      </c>
      <c r="C106" s="220">
        <f t="shared" si="6"/>
        <v>0</v>
      </c>
      <c r="D106" s="221" t="str">
        <f ca="1">IF(AND(ISNUMBER($B106),(ISNUMBER(D$5))),IF(D$7=1,(D50-MIN(D$10:OFFSET(D$10,$C$5-1,0,1,1)))/(MAX(D$10:OFFSET(D$10,$C$5-1,0,1,1))-MIN(D$10:OFFSET(D$10,$C$5-1,0,1,1))),(D50-MAX(D$10:OFFSET(D$10,$C$5-1,0,1,1)))/(MIN(D$10:OFFSET(D$10,$C$5-1,0,1,1))-MAX(D$10:OFFSET(D$10,$C$5-1,0,1,1)))),"")</f>
        <v/>
      </c>
      <c r="E106" s="221" t="str">
        <f ca="1">IF(AND(ISNUMBER($B106),(ISNUMBER(E$5))),IF(E$7=1,(E50-MIN(E$10:OFFSET(E$10,$C$5-1,0,1,1)))/(MAX(E$10:OFFSET(E$10,$C$5-1,0,1,1))-MIN(E$10:OFFSET(E$10,$C$5-1,0,1,1))),(E50-MAX(E$10:OFFSET(E$10,$C$5-1,0,1,1)))/(MIN(E$10:OFFSET(E$10,$C$5-1,0,1,1))-MAX(E$10:OFFSET(E$10,$C$5-1,0,1,1)))),"")</f>
        <v/>
      </c>
      <c r="F106" s="221" t="str">
        <f ca="1">IF(AND(ISNUMBER($B106),(ISNUMBER(F$5))),IF(F$7=1,(F50-MIN(F$10:OFFSET(F$10,$C$5-1,0,1,1)))/(MAX(F$10:OFFSET(F$10,$C$5-1,0,1,1))-MIN(F$10:OFFSET(F$10,$C$5-1,0,1,1))),(F50-MAX(F$10:OFFSET(F$10,$C$5-1,0,1,1)))/(MIN(F$10:OFFSET(F$10,$C$5-1,0,1,1))-MAX(F$10:OFFSET(F$10,$C$5-1,0,1,1)))),"")</f>
        <v/>
      </c>
      <c r="G106" s="221" t="str">
        <f ca="1">IF(AND(ISNUMBER($B106),(ISNUMBER(G$5))),IF(G$7=1,(G50-MIN(G$10:OFFSET(G$10,$C$5-1,0,1,1)))/(MAX(G$10:OFFSET(G$10,$C$5-1,0,1,1))-MIN(G$10:OFFSET(G$10,$C$5-1,0,1,1))),(G50-MAX(G$10:OFFSET(G$10,$C$5-1,0,1,1)))/(MIN(G$10:OFFSET(G$10,$C$5-1,0,1,1))-MAX(G$10:OFFSET(G$10,$C$5-1,0,1,1)))),"")</f>
        <v/>
      </c>
      <c r="H106" s="221" t="str">
        <f ca="1">IF(AND(ISNUMBER($B106),(ISNUMBER(H$5))),IF(H$7=1,(H50-MIN(H$10:OFFSET(H$10,$C$5-1,0,1,1)))/(MAX(H$10:OFFSET(H$10,$C$5-1,0,1,1))-MIN(H$10:OFFSET(H$10,$C$5-1,0,1,1))),(H50-MAX(H$10:OFFSET(H$10,$C$5-1,0,1,1)))/(MIN(H$10:OFFSET(H$10,$C$5-1,0,1,1))-MAX(H$10:OFFSET(H$10,$C$5-1,0,1,1)))),"")</f>
        <v/>
      </c>
      <c r="I106" s="221" t="str">
        <f ca="1">IF(AND(ISNUMBER($B106),(ISNUMBER(I$5))),IF(I$7=1,(I50-MIN(I$10:OFFSET(I$10,$C$5-1,0,1,1)))/(MAX(I$10:OFFSET(I$10,$C$5-1,0,1,1))-MIN(I$10:OFFSET(I$10,$C$5-1,0,1,1))),(I50-MAX(I$10:OFFSET(I$10,$C$5-1,0,1,1)))/(MIN(I$10:OFFSET(I$10,$C$5-1,0,1,1))-MAX(I$10:OFFSET(I$10,$C$5-1,0,1,1)))),"")</f>
        <v/>
      </c>
      <c r="J106" s="187"/>
      <c r="K106" s="199"/>
      <c r="L106" s="206" t="str">
        <f t="shared" si="11"/>
        <v/>
      </c>
      <c r="M106" s="220">
        <f t="shared" si="9"/>
        <v>0</v>
      </c>
      <c r="N106" s="221" t="str">
        <f ca="1">IF(AND(ISNUMBER($L106),(ISNUMBER(N$5))),IF(N$7=1,(N50-MIN(N$10:OFFSET(N$10,$M$5-1,0,1,1)))/(MAX(N$10:OFFSET(N$10,$M$5-1,0,1,1))-MIN(N$10:OFFSET(N$10,$M$5-1,0,1,1))),(N50-MAX(N$10:OFFSET(N$10,$M$5-1,0,1,1)))/(MIN(N$10:OFFSET(N$10,$M$5-1,0,1,1))-MAX(N$10:OFFSET(N$10,$M$5-1,0,1,1)))),"")</f>
        <v/>
      </c>
      <c r="O106" s="221" t="str">
        <f ca="1">IF(AND(ISNUMBER($L106),(ISNUMBER(O$5))),IF(O$7=1,(O50-MIN(O$10:OFFSET(O$10,$M$5-1,0,1,1)))/(MAX(O$10:OFFSET(O$10,$M$5-1,0,1,1))-MIN(O$10:OFFSET(O$10,$M$5-1,0,1,1))),(O50-MAX(O$10:OFFSET(O$10,$M$5-1,0,1,1)))/(MIN(O$10:OFFSET(O$10,$M$5-1,0,1,1))-MAX(O$10:OFFSET(O$10,$M$5-1,0,1,1)))),"")</f>
        <v/>
      </c>
      <c r="P106" s="221" t="str">
        <f ca="1">IF(AND(ISNUMBER($L106),(ISNUMBER(P$5))),IF(P$7=1,(P50-MIN(P$10:OFFSET(P$10,$M$5-1,0,1,1)))/(MAX(P$10:OFFSET(P$10,$M$5-1,0,1,1))-MIN(P$10:OFFSET(P$10,$M$5-1,0,1,1))),(P50-MAX(P$10:OFFSET(P$10,$M$5-1,0,1,1)))/(MIN(P$10:OFFSET(P$10,$M$5-1,0,1,1))-MAX(P$10:OFFSET(P$10,$M$5-1,0,1,1)))),"")</f>
        <v/>
      </c>
      <c r="Q106" s="221" t="str">
        <f ca="1">IF(AND(ISNUMBER($L106),(ISNUMBER(Q$5))),IF(Q$7=1,(Q50-MIN(Q$10:OFFSET(Q$10,$M$5-1,0,1,1)))/(MAX(Q$10:OFFSET(Q$10,$M$5-1,0,1,1))-MIN(Q$10:OFFSET(Q$10,$M$5-1,0,1,1))),(Q50-MAX(Q$10:OFFSET(Q$10,$M$5-1,0,1,1)))/(MIN(Q$10:OFFSET(Q$10,$M$5-1,0,1,1))-MAX(Q$10:OFFSET(Q$10,$M$5-1,0,1,1)))),"")</f>
        <v/>
      </c>
      <c r="R106" s="221" t="str">
        <f ca="1">IF(AND(ISNUMBER($L106),(ISNUMBER(R$5))),IF(R$7=1,(R50-MIN(R$10:OFFSET(R$10,$M$5-1,0,1,1)))/(MAX(R$10:OFFSET(R$10,$M$5-1,0,1,1))-MIN(R$10:OFFSET(R$10,$M$5-1,0,1,1))),(R50-MAX(R$10:OFFSET(R$10,$M$5-1,0,1,1)))/(MIN(R$10:OFFSET(R$10,$M$5-1,0,1,1))-MAX(R$10:OFFSET(R$10,$M$5-1,0,1,1)))),"")</f>
        <v/>
      </c>
      <c r="S106" s="221" t="str">
        <f ca="1">IF(AND(ISNUMBER($L106),(ISNUMBER(S$5))),IF(S$7=1,(S50-MIN(S$10:OFFSET(S$10,$M$5-1,0,1,1)))/(MAX(S$10:OFFSET(S$10,$M$5-1,0,1,1))-MIN(S$10:OFFSET(S$10,$M$5-1,0,1,1))),(S50-MAX(S$10:OFFSET(S$10,$M$5-1,0,1,1)))/(MIN(S$10:OFFSET(S$10,$M$5-1,0,1,1))-MAX(S$10:OFFSET(S$10,$M$5-1,0,1,1)))),"")</f>
        <v/>
      </c>
      <c r="T106" s="187"/>
      <c r="U106" s="199"/>
      <c r="V106" s="206" t="str">
        <f t="shared" si="12"/>
        <v/>
      </c>
      <c r="W106" s="220">
        <f t="shared" si="10"/>
        <v>0</v>
      </c>
      <c r="X106" s="221" t="str">
        <f ca="1">IF(AND(ISNUMBER($V106),(ISNUMBER(X$5))),IF(X$7=1,(X50-MIN(X$10:OFFSET(X$10,$W$5-1,0,1,1)))/(MAX(X$10:OFFSET(X$10,$W$5-1,0,1,1))-MIN(X$10:OFFSET(X$10,$W$5-1,0,1,1))),(X50-MAX(X$10:OFFSET(X$10,$W$5-1,0,1,1)))/(MIN(X$10:OFFSET(X$10,$W$5-1,0,1,1))-MAX(X$10:OFFSET(X$10,$W$5-1,0,1,1)))),"")</f>
        <v/>
      </c>
      <c r="Y106" s="221" t="str">
        <f ca="1">IF(AND(ISNUMBER($V106),(ISNUMBER(Y$5))),IF(Y$7=1,(Y50-MIN(Y$10:OFFSET(Y$10,$W$5-1,0,1,1)))/(MAX(Y$10:OFFSET(Y$10,$W$5-1,0,1,1))-MIN(Y$10:OFFSET(Y$10,$W$5-1,0,1,1))),(Y50-MAX(Y$10:OFFSET(Y$10,$W$5-1,0,1,1)))/(MIN(Y$10:OFFSET(Y$10,$W$5-1,0,1,1))-MAX(Y$10:OFFSET(Y$10,$W$5-1,0,1,1)))),"")</f>
        <v/>
      </c>
      <c r="Z106" s="221" t="str">
        <f ca="1">IF(AND(ISNUMBER($V106),(ISNUMBER(Z$5))),IF(Z$7=1,(Z50-MIN(Z$10:OFFSET(Z$10,$W$5-1,0,1,1)))/(MAX(Z$10:OFFSET(Z$10,$W$5-1,0,1,1))-MIN(Z$10:OFFSET(Z$10,$W$5-1,0,1,1))),(Z50-MAX(Z$10:OFFSET(Z$10,$W$5-1,0,1,1)))/(MIN(Z$10:OFFSET(Z$10,$W$5-1,0,1,1))-MAX(Z$10:OFFSET(Z$10,$W$5-1,0,1,1)))),"")</f>
        <v/>
      </c>
      <c r="AA106" s="221" t="str">
        <f ca="1">IF(AND(ISNUMBER($V106),(ISNUMBER(AA$5))),IF(AA$7=1,(AA50-MIN(AA$10:OFFSET(AA$10,$W$5-1,0,1,1)))/(MAX(AA$10:OFFSET(AA$10,$W$5-1,0,1,1))-MIN(AA$10:OFFSET(AA$10,$W$5-1,0,1,1))),(AA50-MAX(AA$10:OFFSET(AA$10,$W$5-1,0,1,1)))/(MIN(AA$10:OFFSET(AA$10,$W$5-1,0,1,1))-MAX(AA$10:OFFSET(AA$10,$W$5-1,0,1,1)))),"")</f>
        <v/>
      </c>
      <c r="AB106" s="221" t="str">
        <f ca="1">IF(AND(ISNUMBER($V106),(ISNUMBER(AB$5))),IF(AB$7=1,(AB50-MIN(AB$10:OFFSET(AB$10,$W$5-1,0,1,1)))/(MAX(AB$10:OFFSET(AB$10,$W$5-1,0,1,1))-MIN(AB$10:OFFSET(AB$10,$W$5-1,0,1,1))),(AB50-MAX(AB$10:OFFSET(AB$10,$W$5-1,0,1,1)))/(MIN(AB$10:OFFSET(AB$10,$W$5-1,0,1,1))-MAX(AB$10:OFFSET(AB$10,$W$5-1,0,1,1)))),"")</f>
        <v/>
      </c>
      <c r="AC106" s="221" t="str">
        <f ca="1">IF(AND(ISNUMBER($V106),(ISNUMBER(AC$5))),IF(AC$7=1,(AC50-MIN(AC$10:OFFSET(AC$10,$W$5-1,0,1,1)))/(MAX(AC$10:OFFSET(AC$10,$W$5-1,0,1,1))-MIN(AC$10:OFFSET(AC$10,$W$5-1,0,1,1))),(AC50-MAX(AC$10:OFFSET(AC$10,$W$5-1,0,1,1)))/(MIN(AC$10:OFFSET(AC$10,$W$5-1,0,1,1))-MAX(AC$10:OFFSET(AC$10,$W$5-1,0,1,1)))),"")</f>
        <v/>
      </c>
    </row>
    <row r="107" spans="1:29" ht="15" customHeight="1" thickBot="1">
      <c r="A107" s="199"/>
      <c r="B107" s="206" t="str">
        <f t="shared" si="5"/>
        <v/>
      </c>
      <c r="C107" s="220">
        <f t="shared" si="6"/>
        <v>0</v>
      </c>
      <c r="D107" s="221" t="str">
        <f ca="1">IF(AND(ISNUMBER($B107),(ISNUMBER(D$5))),IF(D$7=1,(D51-MIN(D$10:OFFSET(D$10,$C$5-1,0,1,1)))/(MAX(D$10:OFFSET(D$10,$C$5-1,0,1,1))-MIN(D$10:OFFSET(D$10,$C$5-1,0,1,1))),(D51-MAX(D$10:OFFSET(D$10,$C$5-1,0,1,1)))/(MIN(D$10:OFFSET(D$10,$C$5-1,0,1,1))-MAX(D$10:OFFSET(D$10,$C$5-1,0,1,1)))),"")</f>
        <v/>
      </c>
      <c r="E107" s="221" t="str">
        <f ca="1">IF(AND(ISNUMBER($B107),(ISNUMBER(E$5))),IF(E$7=1,(E51-MIN(E$10:OFFSET(E$10,$C$5-1,0,1,1)))/(MAX(E$10:OFFSET(E$10,$C$5-1,0,1,1))-MIN(E$10:OFFSET(E$10,$C$5-1,0,1,1))),(E51-MAX(E$10:OFFSET(E$10,$C$5-1,0,1,1)))/(MIN(E$10:OFFSET(E$10,$C$5-1,0,1,1))-MAX(E$10:OFFSET(E$10,$C$5-1,0,1,1)))),"")</f>
        <v/>
      </c>
      <c r="F107" s="221" t="str">
        <f ca="1">IF(AND(ISNUMBER($B107),(ISNUMBER(F$5))),IF(F$7=1,(F51-MIN(F$10:OFFSET(F$10,$C$5-1,0,1,1)))/(MAX(F$10:OFFSET(F$10,$C$5-1,0,1,1))-MIN(F$10:OFFSET(F$10,$C$5-1,0,1,1))),(F51-MAX(F$10:OFFSET(F$10,$C$5-1,0,1,1)))/(MIN(F$10:OFFSET(F$10,$C$5-1,0,1,1))-MAX(F$10:OFFSET(F$10,$C$5-1,0,1,1)))),"")</f>
        <v/>
      </c>
      <c r="G107" s="221" t="str">
        <f ca="1">IF(AND(ISNUMBER($B107),(ISNUMBER(G$5))),IF(G$7=1,(G51-MIN(G$10:OFFSET(G$10,$C$5-1,0,1,1)))/(MAX(G$10:OFFSET(G$10,$C$5-1,0,1,1))-MIN(G$10:OFFSET(G$10,$C$5-1,0,1,1))),(G51-MAX(G$10:OFFSET(G$10,$C$5-1,0,1,1)))/(MIN(G$10:OFFSET(G$10,$C$5-1,0,1,1))-MAX(G$10:OFFSET(G$10,$C$5-1,0,1,1)))),"")</f>
        <v/>
      </c>
      <c r="H107" s="221" t="str">
        <f ca="1">IF(AND(ISNUMBER($B107),(ISNUMBER(H$5))),IF(H$7=1,(H51-MIN(H$10:OFFSET(H$10,$C$5-1,0,1,1)))/(MAX(H$10:OFFSET(H$10,$C$5-1,0,1,1))-MIN(H$10:OFFSET(H$10,$C$5-1,0,1,1))),(H51-MAX(H$10:OFFSET(H$10,$C$5-1,0,1,1)))/(MIN(H$10:OFFSET(H$10,$C$5-1,0,1,1))-MAX(H$10:OFFSET(H$10,$C$5-1,0,1,1)))),"")</f>
        <v/>
      </c>
      <c r="I107" s="221" t="str">
        <f ca="1">IF(AND(ISNUMBER($B107),(ISNUMBER(I$5))),IF(I$7=1,(I51-MIN(I$10:OFFSET(I$10,$C$5-1,0,1,1)))/(MAX(I$10:OFFSET(I$10,$C$5-1,0,1,1))-MIN(I$10:OFFSET(I$10,$C$5-1,0,1,1))),(I51-MAX(I$10:OFFSET(I$10,$C$5-1,0,1,1)))/(MIN(I$10:OFFSET(I$10,$C$5-1,0,1,1))-MAX(I$10:OFFSET(I$10,$C$5-1,0,1,1)))),"")</f>
        <v/>
      </c>
      <c r="J107" s="187"/>
      <c r="K107" s="199"/>
      <c r="L107" s="206" t="str">
        <f t="shared" si="11"/>
        <v/>
      </c>
      <c r="M107" s="220">
        <f t="shared" si="9"/>
        <v>0</v>
      </c>
      <c r="N107" s="221" t="str">
        <f ca="1">IF(AND(ISNUMBER($L107),(ISNUMBER(N$5))),IF(N$7=1,(N51-MIN(N$10:OFFSET(N$10,$M$5-1,0,1,1)))/(MAX(N$10:OFFSET(N$10,$M$5-1,0,1,1))-MIN(N$10:OFFSET(N$10,$M$5-1,0,1,1))),(N51-MAX(N$10:OFFSET(N$10,$M$5-1,0,1,1)))/(MIN(N$10:OFFSET(N$10,$M$5-1,0,1,1))-MAX(N$10:OFFSET(N$10,$M$5-1,0,1,1)))),"")</f>
        <v/>
      </c>
      <c r="O107" s="221" t="str">
        <f ca="1">IF(AND(ISNUMBER($L107),(ISNUMBER(O$5))),IF(O$7=1,(O51-MIN(O$10:OFFSET(O$10,$M$5-1,0,1,1)))/(MAX(O$10:OFFSET(O$10,$M$5-1,0,1,1))-MIN(O$10:OFFSET(O$10,$M$5-1,0,1,1))),(O51-MAX(O$10:OFFSET(O$10,$M$5-1,0,1,1)))/(MIN(O$10:OFFSET(O$10,$M$5-1,0,1,1))-MAX(O$10:OFFSET(O$10,$M$5-1,0,1,1)))),"")</f>
        <v/>
      </c>
      <c r="P107" s="221" t="str">
        <f ca="1">IF(AND(ISNUMBER($L107),(ISNUMBER(P$5))),IF(P$7=1,(P51-MIN(P$10:OFFSET(P$10,$M$5-1,0,1,1)))/(MAX(P$10:OFFSET(P$10,$M$5-1,0,1,1))-MIN(P$10:OFFSET(P$10,$M$5-1,0,1,1))),(P51-MAX(P$10:OFFSET(P$10,$M$5-1,0,1,1)))/(MIN(P$10:OFFSET(P$10,$M$5-1,0,1,1))-MAX(P$10:OFFSET(P$10,$M$5-1,0,1,1)))),"")</f>
        <v/>
      </c>
      <c r="Q107" s="221" t="str">
        <f ca="1">IF(AND(ISNUMBER($L107),(ISNUMBER(Q$5))),IF(Q$7=1,(Q51-MIN(Q$10:OFFSET(Q$10,$M$5-1,0,1,1)))/(MAX(Q$10:OFFSET(Q$10,$M$5-1,0,1,1))-MIN(Q$10:OFFSET(Q$10,$M$5-1,0,1,1))),(Q51-MAX(Q$10:OFFSET(Q$10,$M$5-1,0,1,1)))/(MIN(Q$10:OFFSET(Q$10,$M$5-1,0,1,1))-MAX(Q$10:OFFSET(Q$10,$M$5-1,0,1,1)))),"")</f>
        <v/>
      </c>
      <c r="R107" s="221" t="str">
        <f ca="1">IF(AND(ISNUMBER($L107),(ISNUMBER(R$5))),IF(R$7=1,(R51-MIN(R$10:OFFSET(R$10,$M$5-1,0,1,1)))/(MAX(R$10:OFFSET(R$10,$M$5-1,0,1,1))-MIN(R$10:OFFSET(R$10,$M$5-1,0,1,1))),(R51-MAX(R$10:OFFSET(R$10,$M$5-1,0,1,1)))/(MIN(R$10:OFFSET(R$10,$M$5-1,0,1,1))-MAX(R$10:OFFSET(R$10,$M$5-1,0,1,1)))),"")</f>
        <v/>
      </c>
      <c r="S107" s="221" t="str">
        <f ca="1">IF(AND(ISNUMBER($L107),(ISNUMBER(S$5))),IF(S$7=1,(S51-MIN(S$10:OFFSET(S$10,$M$5-1,0,1,1)))/(MAX(S$10:OFFSET(S$10,$M$5-1,0,1,1))-MIN(S$10:OFFSET(S$10,$M$5-1,0,1,1))),(S51-MAX(S$10:OFFSET(S$10,$M$5-1,0,1,1)))/(MIN(S$10:OFFSET(S$10,$M$5-1,0,1,1))-MAX(S$10:OFFSET(S$10,$M$5-1,0,1,1)))),"")</f>
        <v/>
      </c>
      <c r="T107" s="187"/>
      <c r="U107" s="199"/>
      <c r="V107" s="206" t="str">
        <f t="shared" si="12"/>
        <v/>
      </c>
      <c r="W107" s="220">
        <f t="shared" si="10"/>
        <v>0</v>
      </c>
      <c r="X107" s="221" t="str">
        <f ca="1">IF(AND(ISNUMBER($V107),(ISNUMBER(X$5))),IF(X$7=1,(X51-MIN(X$10:OFFSET(X$10,$W$5-1,0,1,1)))/(MAX(X$10:OFFSET(X$10,$W$5-1,0,1,1))-MIN(X$10:OFFSET(X$10,$W$5-1,0,1,1))),(X51-MAX(X$10:OFFSET(X$10,$W$5-1,0,1,1)))/(MIN(X$10:OFFSET(X$10,$W$5-1,0,1,1))-MAX(X$10:OFFSET(X$10,$W$5-1,0,1,1)))),"")</f>
        <v/>
      </c>
      <c r="Y107" s="221" t="str">
        <f ca="1">IF(AND(ISNUMBER($V107),(ISNUMBER(Y$5))),IF(Y$7=1,(Y51-MIN(Y$10:OFFSET(Y$10,$W$5-1,0,1,1)))/(MAX(Y$10:OFFSET(Y$10,$W$5-1,0,1,1))-MIN(Y$10:OFFSET(Y$10,$W$5-1,0,1,1))),(Y51-MAX(Y$10:OFFSET(Y$10,$W$5-1,0,1,1)))/(MIN(Y$10:OFFSET(Y$10,$W$5-1,0,1,1))-MAX(Y$10:OFFSET(Y$10,$W$5-1,0,1,1)))),"")</f>
        <v/>
      </c>
      <c r="Z107" s="221" t="str">
        <f ca="1">IF(AND(ISNUMBER($V107),(ISNUMBER(Z$5))),IF(Z$7=1,(Z51-MIN(Z$10:OFFSET(Z$10,$W$5-1,0,1,1)))/(MAX(Z$10:OFFSET(Z$10,$W$5-1,0,1,1))-MIN(Z$10:OFFSET(Z$10,$W$5-1,0,1,1))),(Z51-MAX(Z$10:OFFSET(Z$10,$W$5-1,0,1,1)))/(MIN(Z$10:OFFSET(Z$10,$W$5-1,0,1,1))-MAX(Z$10:OFFSET(Z$10,$W$5-1,0,1,1)))),"")</f>
        <v/>
      </c>
      <c r="AA107" s="221" t="str">
        <f ca="1">IF(AND(ISNUMBER($V107),(ISNUMBER(AA$5))),IF(AA$7=1,(AA51-MIN(AA$10:OFFSET(AA$10,$W$5-1,0,1,1)))/(MAX(AA$10:OFFSET(AA$10,$W$5-1,0,1,1))-MIN(AA$10:OFFSET(AA$10,$W$5-1,0,1,1))),(AA51-MAX(AA$10:OFFSET(AA$10,$W$5-1,0,1,1)))/(MIN(AA$10:OFFSET(AA$10,$W$5-1,0,1,1))-MAX(AA$10:OFFSET(AA$10,$W$5-1,0,1,1)))),"")</f>
        <v/>
      </c>
      <c r="AB107" s="221" t="str">
        <f ca="1">IF(AND(ISNUMBER($V107),(ISNUMBER(AB$5))),IF(AB$7=1,(AB51-MIN(AB$10:OFFSET(AB$10,$W$5-1,0,1,1)))/(MAX(AB$10:OFFSET(AB$10,$W$5-1,0,1,1))-MIN(AB$10:OFFSET(AB$10,$W$5-1,0,1,1))),(AB51-MAX(AB$10:OFFSET(AB$10,$W$5-1,0,1,1)))/(MIN(AB$10:OFFSET(AB$10,$W$5-1,0,1,1))-MAX(AB$10:OFFSET(AB$10,$W$5-1,0,1,1)))),"")</f>
        <v/>
      </c>
      <c r="AC107" s="221" t="str">
        <f ca="1">IF(AND(ISNUMBER($V107),(ISNUMBER(AC$5))),IF(AC$7=1,(AC51-MIN(AC$10:OFFSET(AC$10,$W$5-1,0,1,1)))/(MAX(AC$10:OFFSET(AC$10,$W$5-1,0,1,1))-MIN(AC$10:OFFSET(AC$10,$W$5-1,0,1,1))),(AC51-MAX(AC$10:OFFSET(AC$10,$W$5-1,0,1,1)))/(MIN(AC$10:OFFSET(AC$10,$W$5-1,0,1,1))-MAX(AC$10:OFFSET(AC$10,$W$5-1,0,1,1)))),"")</f>
        <v/>
      </c>
    </row>
    <row r="108" spans="1:29" ht="15" customHeight="1" thickBot="1">
      <c r="A108" s="199"/>
      <c r="B108" s="206" t="str">
        <f t="shared" si="5"/>
        <v/>
      </c>
      <c r="C108" s="220">
        <f t="shared" si="6"/>
        <v>0</v>
      </c>
      <c r="D108" s="221" t="str">
        <f ca="1">IF(AND(ISNUMBER($B108),(ISNUMBER(D$5))),IF(D$7=1,(D52-MIN(D$10:OFFSET(D$10,$C$5-1,0,1,1)))/(MAX(D$10:OFFSET(D$10,$C$5-1,0,1,1))-MIN(D$10:OFFSET(D$10,$C$5-1,0,1,1))),(D52-MAX(D$10:OFFSET(D$10,$C$5-1,0,1,1)))/(MIN(D$10:OFFSET(D$10,$C$5-1,0,1,1))-MAX(D$10:OFFSET(D$10,$C$5-1,0,1,1)))),"")</f>
        <v/>
      </c>
      <c r="E108" s="221" t="str">
        <f ca="1">IF(AND(ISNUMBER($B108),(ISNUMBER(E$5))),IF(E$7=1,(E52-MIN(E$10:OFFSET(E$10,$C$5-1,0,1,1)))/(MAX(E$10:OFFSET(E$10,$C$5-1,0,1,1))-MIN(E$10:OFFSET(E$10,$C$5-1,0,1,1))),(E52-MAX(E$10:OFFSET(E$10,$C$5-1,0,1,1)))/(MIN(E$10:OFFSET(E$10,$C$5-1,0,1,1))-MAX(E$10:OFFSET(E$10,$C$5-1,0,1,1)))),"")</f>
        <v/>
      </c>
      <c r="F108" s="221" t="str">
        <f ca="1">IF(AND(ISNUMBER($B108),(ISNUMBER(F$5))),IF(F$7=1,(F52-MIN(F$10:OFFSET(F$10,$C$5-1,0,1,1)))/(MAX(F$10:OFFSET(F$10,$C$5-1,0,1,1))-MIN(F$10:OFFSET(F$10,$C$5-1,0,1,1))),(F52-MAX(F$10:OFFSET(F$10,$C$5-1,0,1,1)))/(MIN(F$10:OFFSET(F$10,$C$5-1,0,1,1))-MAX(F$10:OFFSET(F$10,$C$5-1,0,1,1)))),"")</f>
        <v/>
      </c>
      <c r="G108" s="221" t="str">
        <f ca="1">IF(AND(ISNUMBER($B108),(ISNUMBER(G$5))),IF(G$7=1,(G52-MIN(G$10:OFFSET(G$10,$C$5-1,0,1,1)))/(MAX(G$10:OFFSET(G$10,$C$5-1,0,1,1))-MIN(G$10:OFFSET(G$10,$C$5-1,0,1,1))),(G52-MAX(G$10:OFFSET(G$10,$C$5-1,0,1,1)))/(MIN(G$10:OFFSET(G$10,$C$5-1,0,1,1))-MAX(G$10:OFFSET(G$10,$C$5-1,0,1,1)))),"")</f>
        <v/>
      </c>
      <c r="H108" s="221" t="str">
        <f ca="1">IF(AND(ISNUMBER($B108),(ISNUMBER(H$5))),IF(H$7=1,(H52-MIN(H$10:OFFSET(H$10,$C$5-1,0,1,1)))/(MAX(H$10:OFFSET(H$10,$C$5-1,0,1,1))-MIN(H$10:OFFSET(H$10,$C$5-1,0,1,1))),(H52-MAX(H$10:OFFSET(H$10,$C$5-1,0,1,1)))/(MIN(H$10:OFFSET(H$10,$C$5-1,0,1,1))-MAX(H$10:OFFSET(H$10,$C$5-1,0,1,1)))),"")</f>
        <v/>
      </c>
      <c r="I108" s="221" t="str">
        <f ca="1">IF(AND(ISNUMBER($B108),(ISNUMBER(I$5))),IF(I$7=1,(I52-MIN(I$10:OFFSET(I$10,$C$5-1,0,1,1)))/(MAX(I$10:OFFSET(I$10,$C$5-1,0,1,1))-MIN(I$10:OFFSET(I$10,$C$5-1,0,1,1))),(I52-MAX(I$10:OFFSET(I$10,$C$5-1,0,1,1)))/(MIN(I$10:OFFSET(I$10,$C$5-1,0,1,1))-MAX(I$10:OFFSET(I$10,$C$5-1,0,1,1)))),"")</f>
        <v/>
      </c>
      <c r="J108" s="187"/>
      <c r="K108" s="199"/>
      <c r="L108" s="206" t="str">
        <f t="shared" si="11"/>
        <v/>
      </c>
      <c r="M108" s="220">
        <f t="shared" si="9"/>
        <v>0</v>
      </c>
      <c r="N108" s="221" t="str">
        <f ca="1">IF(AND(ISNUMBER($L108),(ISNUMBER(N$5))),IF(N$7=1,(N52-MIN(N$10:OFFSET(N$10,$M$5-1,0,1,1)))/(MAX(N$10:OFFSET(N$10,$M$5-1,0,1,1))-MIN(N$10:OFFSET(N$10,$M$5-1,0,1,1))),(N52-MAX(N$10:OFFSET(N$10,$M$5-1,0,1,1)))/(MIN(N$10:OFFSET(N$10,$M$5-1,0,1,1))-MAX(N$10:OFFSET(N$10,$M$5-1,0,1,1)))),"")</f>
        <v/>
      </c>
      <c r="O108" s="221" t="str">
        <f ca="1">IF(AND(ISNUMBER($L108),(ISNUMBER(O$5))),IF(O$7=1,(O52-MIN(O$10:OFFSET(O$10,$M$5-1,0,1,1)))/(MAX(O$10:OFFSET(O$10,$M$5-1,0,1,1))-MIN(O$10:OFFSET(O$10,$M$5-1,0,1,1))),(O52-MAX(O$10:OFFSET(O$10,$M$5-1,0,1,1)))/(MIN(O$10:OFFSET(O$10,$M$5-1,0,1,1))-MAX(O$10:OFFSET(O$10,$M$5-1,0,1,1)))),"")</f>
        <v/>
      </c>
      <c r="P108" s="221" t="str">
        <f ca="1">IF(AND(ISNUMBER($L108),(ISNUMBER(P$5))),IF(P$7=1,(P52-MIN(P$10:OFFSET(P$10,$M$5-1,0,1,1)))/(MAX(P$10:OFFSET(P$10,$M$5-1,0,1,1))-MIN(P$10:OFFSET(P$10,$M$5-1,0,1,1))),(P52-MAX(P$10:OFFSET(P$10,$M$5-1,0,1,1)))/(MIN(P$10:OFFSET(P$10,$M$5-1,0,1,1))-MAX(P$10:OFFSET(P$10,$M$5-1,0,1,1)))),"")</f>
        <v/>
      </c>
      <c r="Q108" s="221" t="str">
        <f ca="1">IF(AND(ISNUMBER($L108),(ISNUMBER(Q$5))),IF(Q$7=1,(Q52-MIN(Q$10:OFFSET(Q$10,$M$5-1,0,1,1)))/(MAX(Q$10:OFFSET(Q$10,$M$5-1,0,1,1))-MIN(Q$10:OFFSET(Q$10,$M$5-1,0,1,1))),(Q52-MAX(Q$10:OFFSET(Q$10,$M$5-1,0,1,1)))/(MIN(Q$10:OFFSET(Q$10,$M$5-1,0,1,1))-MAX(Q$10:OFFSET(Q$10,$M$5-1,0,1,1)))),"")</f>
        <v/>
      </c>
      <c r="R108" s="221" t="str">
        <f ca="1">IF(AND(ISNUMBER($L108),(ISNUMBER(R$5))),IF(R$7=1,(R52-MIN(R$10:OFFSET(R$10,$M$5-1,0,1,1)))/(MAX(R$10:OFFSET(R$10,$M$5-1,0,1,1))-MIN(R$10:OFFSET(R$10,$M$5-1,0,1,1))),(R52-MAX(R$10:OFFSET(R$10,$M$5-1,0,1,1)))/(MIN(R$10:OFFSET(R$10,$M$5-1,0,1,1))-MAX(R$10:OFFSET(R$10,$M$5-1,0,1,1)))),"")</f>
        <v/>
      </c>
      <c r="S108" s="221" t="str">
        <f ca="1">IF(AND(ISNUMBER($L108),(ISNUMBER(S$5))),IF(S$7=1,(S52-MIN(S$10:OFFSET(S$10,$M$5-1,0,1,1)))/(MAX(S$10:OFFSET(S$10,$M$5-1,0,1,1))-MIN(S$10:OFFSET(S$10,$M$5-1,0,1,1))),(S52-MAX(S$10:OFFSET(S$10,$M$5-1,0,1,1)))/(MIN(S$10:OFFSET(S$10,$M$5-1,0,1,1))-MAX(S$10:OFFSET(S$10,$M$5-1,0,1,1)))),"")</f>
        <v/>
      </c>
      <c r="T108" s="187"/>
      <c r="U108" s="199"/>
      <c r="V108" s="206" t="str">
        <f t="shared" si="12"/>
        <v/>
      </c>
      <c r="W108" s="220">
        <f t="shared" si="10"/>
        <v>0</v>
      </c>
      <c r="X108" s="221" t="str">
        <f ca="1">IF(AND(ISNUMBER($V108),(ISNUMBER(X$5))),IF(X$7=1,(X52-MIN(X$10:OFFSET(X$10,$W$5-1,0,1,1)))/(MAX(X$10:OFFSET(X$10,$W$5-1,0,1,1))-MIN(X$10:OFFSET(X$10,$W$5-1,0,1,1))),(X52-MAX(X$10:OFFSET(X$10,$W$5-1,0,1,1)))/(MIN(X$10:OFFSET(X$10,$W$5-1,0,1,1))-MAX(X$10:OFFSET(X$10,$W$5-1,0,1,1)))),"")</f>
        <v/>
      </c>
      <c r="Y108" s="221" t="str">
        <f ca="1">IF(AND(ISNUMBER($V108),(ISNUMBER(Y$5))),IF(Y$7=1,(Y52-MIN(Y$10:OFFSET(Y$10,$W$5-1,0,1,1)))/(MAX(Y$10:OFFSET(Y$10,$W$5-1,0,1,1))-MIN(Y$10:OFFSET(Y$10,$W$5-1,0,1,1))),(Y52-MAX(Y$10:OFFSET(Y$10,$W$5-1,0,1,1)))/(MIN(Y$10:OFFSET(Y$10,$W$5-1,0,1,1))-MAX(Y$10:OFFSET(Y$10,$W$5-1,0,1,1)))),"")</f>
        <v/>
      </c>
      <c r="Z108" s="221" t="str">
        <f ca="1">IF(AND(ISNUMBER($V108),(ISNUMBER(Z$5))),IF(Z$7=1,(Z52-MIN(Z$10:OFFSET(Z$10,$W$5-1,0,1,1)))/(MAX(Z$10:OFFSET(Z$10,$W$5-1,0,1,1))-MIN(Z$10:OFFSET(Z$10,$W$5-1,0,1,1))),(Z52-MAX(Z$10:OFFSET(Z$10,$W$5-1,0,1,1)))/(MIN(Z$10:OFFSET(Z$10,$W$5-1,0,1,1))-MAX(Z$10:OFFSET(Z$10,$W$5-1,0,1,1)))),"")</f>
        <v/>
      </c>
      <c r="AA108" s="221" t="str">
        <f ca="1">IF(AND(ISNUMBER($V108),(ISNUMBER(AA$5))),IF(AA$7=1,(AA52-MIN(AA$10:OFFSET(AA$10,$W$5-1,0,1,1)))/(MAX(AA$10:OFFSET(AA$10,$W$5-1,0,1,1))-MIN(AA$10:OFFSET(AA$10,$W$5-1,0,1,1))),(AA52-MAX(AA$10:OFFSET(AA$10,$W$5-1,0,1,1)))/(MIN(AA$10:OFFSET(AA$10,$W$5-1,0,1,1))-MAX(AA$10:OFFSET(AA$10,$W$5-1,0,1,1)))),"")</f>
        <v/>
      </c>
      <c r="AB108" s="221" t="str">
        <f ca="1">IF(AND(ISNUMBER($V108),(ISNUMBER(AB$5))),IF(AB$7=1,(AB52-MIN(AB$10:OFFSET(AB$10,$W$5-1,0,1,1)))/(MAX(AB$10:OFFSET(AB$10,$W$5-1,0,1,1))-MIN(AB$10:OFFSET(AB$10,$W$5-1,0,1,1))),(AB52-MAX(AB$10:OFFSET(AB$10,$W$5-1,0,1,1)))/(MIN(AB$10:OFFSET(AB$10,$W$5-1,0,1,1))-MAX(AB$10:OFFSET(AB$10,$W$5-1,0,1,1)))),"")</f>
        <v/>
      </c>
      <c r="AC108" s="221" t="str">
        <f ca="1">IF(AND(ISNUMBER($V108),(ISNUMBER(AC$5))),IF(AC$7=1,(AC52-MIN(AC$10:OFFSET(AC$10,$W$5-1,0,1,1)))/(MAX(AC$10:OFFSET(AC$10,$W$5-1,0,1,1))-MIN(AC$10:OFFSET(AC$10,$W$5-1,0,1,1))),(AC52-MAX(AC$10:OFFSET(AC$10,$W$5-1,0,1,1)))/(MIN(AC$10:OFFSET(AC$10,$W$5-1,0,1,1))-MAX(AC$10:OFFSET(AC$10,$W$5-1,0,1,1)))),"")</f>
        <v/>
      </c>
    </row>
    <row r="109" spans="1:29" ht="15" customHeight="1" thickBot="1">
      <c r="A109" s="199"/>
      <c r="B109" s="206" t="str">
        <f t="shared" si="5"/>
        <v/>
      </c>
      <c r="C109" s="220">
        <f t="shared" si="6"/>
        <v>0</v>
      </c>
      <c r="D109" s="221" t="str">
        <f ca="1">IF(AND(ISNUMBER($B109),(ISNUMBER(D$5))),IF(D$7=1,(D53-MIN(D$10:OFFSET(D$10,$C$5-1,0,1,1)))/(MAX(D$10:OFFSET(D$10,$C$5-1,0,1,1))-MIN(D$10:OFFSET(D$10,$C$5-1,0,1,1))),(D53-MAX(D$10:OFFSET(D$10,$C$5-1,0,1,1)))/(MIN(D$10:OFFSET(D$10,$C$5-1,0,1,1))-MAX(D$10:OFFSET(D$10,$C$5-1,0,1,1)))),"")</f>
        <v/>
      </c>
      <c r="E109" s="221" t="str">
        <f ca="1">IF(AND(ISNUMBER($B109),(ISNUMBER(E$5))),IF(E$7=1,(E53-MIN(E$10:OFFSET(E$10,$C$5-1,0,1,1)))/(MAX(E$10:OFFSET(E$10,$C$5-1,0,1,1))-MIN(E$10:OFFSET(E$10,$C$5-1,0,1,1))),(E53-MAX(E$10:OFFSET(E$10,$C$5-1,0,1,1)))/(MIN(E$10:OFFSET(E$10,$C$5-1,0,1,1))-MAX(E$10:OFFSET(E$10,$C$5-1,0,1,1)))),"")</f>
        <v/>
      </c>
      <c r="F109" s="221" t="str">
        <f ca="1">IF(AND(ISNUMBER($B109),(ISNUMBER(F$5))),IF(F$7=1,(F53-MIN(F$10:OFFSET(F$10,$C$5-1,0,1,1)))/(MAX(F$10:OFFSET(F$10,$C$5-1,0,1,1))-MIN(F$10:OFFSET(F$10,$C$5-1,0,1,1))),(F53-MAX(F$10:OFFSET(F$10,$C$5-1,0,1,1)))/(MIN(F$10:OFFSET(F$10,$C$5-1,0,1,1))-MAX(F$10:OFFSET(F$10,$C$5-1,0,1,1)))),"")</f>
        <v/>
      </c>
      <c r="G109" s="221" t="str">
        <f ca="1">IF(AND(ISNUMBER($B109),(ISNUMBER(G$5))),IF(G$7=1,(G53-MIN(G$10:OFFSET(G$10,$C$5-1,0,1,1)))/(MAX(G$10:OFFSET(G$10,$C$5-1,0,1,1))-MIN(G$10:OFFSET(G$10,$C$5-1,0,1,1))),(G53-MAX(G$10:OFFSET(G$10,$C$5-1,0,1,1)))/(MIN(G$10:OFFSET(G$10,$C$5-1,0,1,1))-MAX(G$10:OFFSET(G$10,$C$5-1,0,1,1)))),"")</f>
        <v/>
      </c>
      <c r="H109" s="221" t="str">
        <f ca="1">IF(AND(ISNUMBER($B109),(ISNUMBER(H$5))),IF(H$7=1,(H53-MIN(H$10:OFFSET(H$10,$C$5-1,0,1,1)))/(MAX(H$10:OFFSET(H$10,$C$5-1,0,1,1))-MIN(H$10:OFFSET(H$10,$C$5-1,0,1,1))),(H53-MAX(H$10:OFFSET(H$10,$C$5-1,0,1,1)))/(MIN(H$10:OFFSET(H$10,$C$5-1,0,1,1))-MAX(H$10:OFFSET(H$10,$C$5-1,0,1,1)))),"")</f>
        <v/>
      </c>
      <c r="I109" s="221" t="str">
        <f ca="1">IF(AND(ISNUMBER($B109),(ISNUMBER(I$5))),IF(I$7=1,(I53-MIN(I$10:OFFSET(I$10,$C$5-1,0,1,1)))/(MAX(I$10:OFFSET(I$10,$C$5-1,0,1,1))-MIN(I$10:OFFSET(I$10,$C$5-1,0,1,1))),(I53-MAX(I$10:OFFSET(I$10,$C$5-1,0,1,1)))/(MIN(I$10:OFFSET(I$10,$C$5-1,0,1,1))-MAX(I$10:OFFSET(I$10,$C$5-1,0,1,1)))),"")</f>
        <v/>
      </c>
      <c r="J109" s="187"/>
      <c r="K109" s="199"/>
      <c r="L109" s="206" t="str">
        <f t="shared" si="11"/>
        <v/>
      </c>
      <c r="M109" s="220">
        <f t="shared" si="9"/>
        <v>0</v>
      </c>
      <c r="N109" s="221" t="str">
        <f ca="1">IF(AND(ISNUMBER($L109),(ISNUMBER(N$5))),IF(N$7=1,(N53-MIN(N$10:OFFSET(N$10,$M$5-1,0,1,1)))/(MAX(N$10:OFFSET(N$10,$M$5-1,0,1,1))-MIN(N$10:OFFSET(N$10,$M$5-1,0,1,1))),(N53-MAX(N$10:OFFSET(N$10,$M$5-1,0,1,1)))/(MIN(N$10:OFFSET(N$10,$M$5-1,0,1,1))-MAX(N$10:OFFSET(N$10,$M$5-1,0,1,1)))),"")</f>
        <v/>
      </c>
      <c r="O109" s="221" t="str">
        <f ca="1">IF(AND(ISNUMBER($L109),(ISNUMBER(O$5))),IF(O$7=1,(O53-MIN(O$10:OFFSET(O$10,$M$5-1,0,1,1)))/(MAX(O$10:OFFSET(O$10,$M$5-1,0,1,1))-MIN(O$10:OFFSET(O$10,$M$5-1,0,1,1))),(O53-MAX(O$10:OFFSET(O$10,$M$5-1,0,1,1)))/(MIN(O$10:OFFSET(O$10,$M$5-1,0,1,1))-MAX(O$10:OFFSET(O$10,$M$5-1,0,1,1)))),"")</f>
        <v/>
      </c>
      <c r="P109" s="221" t="str">
        <f ca="1">IF(AND(ISNUMBER($L109),(ISNUMBER(P$5))),IF(P$7=1,(P53-MIN(P$10:OFFSET(P$10,$M$5-1,0,1,1)))/(MAX(P$10:OFFSET(P$10,$M$5-1,0,1,1))-MIN(P$10:OFFSET(P$10,$M$5-1,0,1,1))),(P53-MAX(P$10:OFFSET(P$10,$M$5-1,0,1,1)))/(MIN(P$10:OFFSET(P$10,$M$5-1,0,1,1))-MAX(P$10:OFFSET(P$10,$M$5-1,0,1,1)))),"")</f>
        <v/>
      </c>
      <c r="Q109" s="221" t="str">
        <f ca="1">IF(AND(ISNUMBER($L109),(ISNUMBER(Q$5))),IF(Q$7=1,(Q53-MIN(Q$10:OFFSET(Q$10,$M$5-1,0,1,1)))/(MAX(Q$10:OFFSET(Q$10,$M$5-1,0,1,1))-MIN(Q$10:OFFSET(Q$10,$M$5-1,0,1,1))),(Q53-MAX(Q$10:OFFSET(Q$10,$M$5-1,0,1,1)))/(MIN(Q$10:OFFSET(Q$10,$M$5-1,0,1,1))-MAX(Q$10:OFFSET(Q$10,$M$5-1,0,1,1)))),"")</f>
        <v/>
      </c>
      <c r="R109" s="221" t="str">
        <f ca="1">IF(AND(ISNUMBER($L109),(ISNUMBER(R$5))),IF(R$7=1,(R53-MIN(R$10:OFFSET(R$10,$M$5-1,0,1,1)))/(MAX(R$10:OFFSET(R$10,$M$5-1,0,1,1))-MIN(R$10:OFFSET(R$10,$M$5-1,0,1,1))),(R53-MAX(R$10:OFFSET(R$10,$M$5-1,0,1,1)))/(MIN(R$10:OFFSET(R$10,$M$5-1,0,1,1))-MAX(R$10:OFFSET(R$10,$M$5-1,0,1,1)))),"")</f>
        <v/>
      </c>
      <c r="S109" s="221" t="str">
        <f ca="1">IF(AND(ISNUMBER($L109),(ISNUMBER(S$5))),IF(S$7=1,(S53-MIN(S$10:OFFSET(S$10,$M$5-1,0,1,1)))/(MAX(S$10:OFFSET(S$10,$M$5-1,0,1,1))-MIN(S$10:OFFSET(S$10,$M$5-1,0,1,1))),(S53-MAX(S$10:OFFSET(S$10,$M$5-1,0,1,1)))/(MIN(S$10:OFFSET(S$10,$M$5-1,0,1,1))-MAX(S$10:OFFSET(S$10,$M$5-1,0,1,1)))),"")</f>
        <v/>
      </c>
      <c r="T109" s="187"/>
      <c r="U109" s="199"/>
      <c r="V109" s="206" t="str">
        <f t="shared" si="12"/>
        <v/>
      </c>
      <c r="W109" s="220">
        <f t="shared" si="10"/>
        <v>0</v>
      </c>
      <c r="X109" s="221" t="str">
        <f ca="1">IF(AND(ISNUMBER($V109),(ISNUMBER(X$5))),IF(X$7=1,(X53-MIN(X$10:OFFSET(X$10,$W$5-1,0,1,1)))/(MAX(X$10:OFFSET(X$10,$W$5-1,0,1,1))-MIN(X$10:OFFSET(X$10,$W$5-1,0,1,1))),(X53-MAX(X$10:OFFSET(X$10,$W$5-1,0,1,1)))/(MIN(X$10:OFFSET(X$10,$W$5-1,0,1,1))-MAX(X$10:OFFSET(X$10,$W$5-1,0,1,1)))),"")</f>
        <v/>
      </c>
      <c r="Y109" s="221" t="str">
        <f ca="1">IF(AND(ISNUMBER($V109),(ISNUMBER(Y$5))),IF(Y$7=1,(Y53-MIN(Y$10:OFFSET(Y$10,$W$5-1,0,1,1)))/(MAX(Y$10:OFFSET(Y$10,$W$5-1,0,1,1))-MIN(Y$10:OFFSET(Y$10,$W$5-1,0,1,1))),(Y53-MAX(Y$10:OFFSET(Y$10,$W$5-1,0,1,1)))/(MIN(Y$10:OFFSET(Y$10,$W$5-1,0,1,1))-MAX(Y$10:OFFSET(Y$10,$W$5-1,0,1,1)))),"")</f>
        <v/>
      </c>
      <c r="Z109" s="221" t="str">
        <f ca="1">IF(AND(ISNUMBER($V109),(ISNUMBER(Z$5))),IF(Z$7=1,(Z53-MIN(Z$10:OFFSET(Z$10,$W$5-1,0,1,1)))/(MAX(Z$10:OFFSET(Z$10,$W$5-1,0,1,1))-MIN(Z$10:OFFSET(Z$10,$W$5-1,0,1,1))),(Z53-MAX(Z$10:OFFSET(Z$10,$W$5-1,0,1,1)))/(MIN(Z$10:OFFSET(Z$10,$W$5-1,0,1,1))-MAX(Z$10:OFFSET(Z$10,$W$5-1,0,1,1)))),"")</f>
        <v/>
      </c>
      <c r="AA109" s="221" t="str">
        <f ca="1">IF(AND(ISNUMBER($V109),(ISNUMBER(AA$5))),IF(AA$7=1,(AA53-MIN(AA$10:OFFSET(AA$10,$W$5-1,0,1,1)))/(MAX(AA$10:OFFSET(AA$10,$W$5-1,0,1,1))-MIN(AA$10:OFFSET(AA$10,$W$5-1,0,1,1))),(AA53-MAX(AA$10:OFFSET(AA$10,$W$5-1,0,1,1)))/(MIN(AA$10:OFFSET(AA$10,$W$5-1,0,1,1))-MAX(AA$10:OFFSET(AA$10,$W$5-1,0,1,1)))),"")</f>
        <v/>
      </c>
      <c r="AB109" s="221" t="str">
        <f ca="1">IF(AND(ISNUMBER($V109),(ISNUMBER(AB$5))),IF(AB$7=1,(AB53-MIN(AB$10:OFFSET(AB$10,$W$5-1,0,1,1)))/(MAX(AB$10:OFFSET(AB$10,$W$5-1,0,1,1))-MIN(AB$10:OFFSET(AB$10,$W$5-1,0,1,1))),(AB53-MAX(AB$10:OFFSET(AB$10,$W$5-1,0,1,1)))/(MIN(AB$10:OFFSET(AB$10,$W$5-1,0,1,1))-MAX(AB$10:OFFSET(AB$10,$W$5-1,0,1,1)))),"")</f>
        <v/>
      </c>
      <c r="AC109" s="221" t="str">
        <f ca="1">IF(AND(ISNUMBER($V109),(ISNUMBER(AC$5))),IF(AC$7=1,(AC53-MIN(AC$10:OFFSET(AC$10,$W$5-1,0,1,1)))/(MAX(AC$10:OFFSET(AC$10,$W$5-1,0,1,1))-MIN(AC$10:OFFSET(AC$10,$W$5-1,0,1,1))),(AC53-MAX(AC$10:OFFSET(AC$10,$W$5-1,0,1,1)))/(MIN(AC$10:OFFSET(AC$10,$W$5-1,0,1,1))-MAX(AC$10:OFFSET(AC$10,$W$5-1,0,1,1)))),"")</f>
        <v/>
      </c>
    </row>
    <row r="110" spans="1:29" ht="15" customHeight="1" thickBot="1">
      <c r="A110" s="199"/>
      <c r="B110" s="206" t="str">
        <f t="shared" si="5"/>
        <v/>
      </c>
      <c r="C110" s="220">
        <f t="shared" si="6"/>
        <v>0</v>
      </c>
      <c r="D110" s="221" t="str">
        <f ca="1">IF(AND(ISNUMBER($B110),(ISNUMBER(D$5))),IF(D$7=1,(D54-MIN(D$10:OFFSET(D$10,$C$5-1,0,1,1)))/(MAX(D$10:OFFSET(D$10,$C$5-1,0,1,1))-MIN(D$10:OFFSET(D$10,$C$5-1,0,1,1))),(D54-MAX(D$10:OFFSET(D$10,$C$5-1,0,1,1)))/(MIN(D$10:OFFSET(D$10,$C$5-1,0,1,1))-MAX(D$10:OFFSET(D$10,$C$5-1,0,1,1)))),"")</f>
        <v/>
      </c>
      <c r="E110" s="221" t="str">
        <f ca="1">IF(AND(ISNUMBER($B110),(ISNUMBER(E$5))),IF(E$7=1,(E54-MIN(E$10:OFFSET(E$10,$C$5-1,0,1,1)))/(MAX(E$10:OFFSET(E$10,$C$5-1,0,1,1))-MIN(E$10:OFFSET(E$10,$C$5-1,0,1,1))),(E54-MAX(E$10:OFFSET(E$10,$C$5-1,0,1,1)))/(MIN(E$10:OFFSET(E$10,$C$5-1,0,1,1))-MAX(E$10:OFFSET(E$10,$C$5-1,0,1,1)))),"")</f>
        <v/>
      </c>
      <c r="F110" s="221" t="str">
        <f ca="1">IF(AND(ISNUMBER($B110),(ISNUMBER(F$5))),IF(F$7=1,(F54-MIN(F$10:OFFSET(F$10,$C$5-1,0,1,1)))/(MAX(F$10:OFFSET(F$10,$C$5-1,0,1,1))-MIN(F$10:OFFSET(F$10,$C$5-1,0,1,1))),(F54-MAX(F$10:OFFSET(F$10,$C$5-1,0,1,1)))/(MIN(F$10:OFFSET(F$10,$C$5-1,0,1,1))-MAX(F$10:OFFSET(F$10,$C$5-1,0,1,1)))),"")</f>
        <v/>
      </c>
      <c r="G110" s="221" t="str">
        <f ca="1">IF(AND(ISNUMBER($B110),(ISNUMBER(G$5))),IF(G$7=1,(G54-MIN(G$10:OFFSET(G$10,$C$5-1,0,1,1)))/(MAX(G$10:OFFSET(G$10,$C$5-1,0,1,1))-MIN(G$10:OFFSET(G$10,$C$5-1,0,1,1))),(G54-MAX(G$10:OFFSET(G$10,$C$5-1,0,1,1)))/(MIN(G$10:OFFSET(G$10,$C$5-1,0,1,1))-MAX(G$10:OFFSET(G$10,$C$5-1,0,1,1)))),"")</f>
        <v/>
      </c>
      <c r="H110" s="221" t="str">
        <f ca="1">IF(AND(ISNUMBER($B110),(ISNUMBER(H$5))),IF(H$7=1,(H54-MIN(H$10:OFFSET(H$10,$C$5-1,0,1,1)))/(MAX(H$10:OFFSET(H$10,$C$5-1,0,1,1))-MIN(H$10:OFFSET(H$10,$C$5-1,0,1,1))),(H54-MAX(H$10:OFFSET(H$10,$C$5-1,0,1,1)))/(MIN(H$10:OFFSET(H$10,$C$5-1,0,1,1))-MAX(H$10:OFFSET(H$10,$C$5-1,0,1,1)))),"")</f>
        <v/>
      </c>
      <c r="I110" s="221" t="str">
        <f ca="1">IF(AND(ISNUMBER($B110),(ISNUMBER(I$5))),IF(I$7=1,(I54-MIN(I$10:OFFSET(I$10,$C$5-1,0,1,1)))/(MAX(I$10:OFFSET(I$10,$C$5-1,0,1,1))-MIN(I$10:OFFSET(I$10,$C$5-1,0,1,1))),(I54-MAX(I$10:OFFSET(I$10,$C$5-1,0,1,1)))/(MIN(I$10:OFFSET(I$10,$C$5-1,0,1,1))-MAX(I$10:OFFSET(I$10,$C$5-1,0,1,1)))),"")</f>
        <v/>
      </c>
      <c r="J110" s="187"/>
      <c r="K110" s="199"/>
      <c r="L110" s="206" t="str">
        <f t="shared" si="11"/>
        <v/>
      </c>
      <c r="M110" s="220">
        <f t="shared" si="9"/>
        <v>0</v>
      </c>
      <c r="N110" s="221" t="str">
        <f ca="1">IF(AND(ISNUMBER($L110),(ISNUMBER(N$5))),IF(N$7=1,(N54-MIN(N$10:OFFSET(N$10,$M$5-1,0,1,1)))/(MAX(N$10:OFFSET(N$10,$M$5-1,0,1,1))-MIN(N$10:OFFSET(N$10,$M$5-1,0,1,1))),(N54-MAX(N$10:OFFSET(N$10,$M$5-1,0,1,1)))/(MIN(N$10:OFFSET(N$10,$M$5-1,0,1,1))-MAX(N$10:OFFSET(N$10,$M$5-1,0,1,1)))),"")</f>
        <v/>
      </c>
      <c r="O110" s="221" t="str">
        <f ca="1">IF(AND(ISNUMBER($L110),(ISNUMBER(O$5))),IF(O$7=1,(O54-MIN(O$10:OFFSET(O$10,$M$5-1,0,1,1)))/(MAX(O$10:OFFSET(O$10,$M$5-1,0,1,1))-MIN(O$10:OFFSET(O$10,$M$5-1,0,1,1))),(O54-MAX(O$10:OFFSET(O$10,$M$5-1,0,1,1)))/(MIN(O$10:OFFSET(O$10,$M$5-1,0,1,1))-MAX(O$10:OFFSET(O$10,$M$5-1,0,1,1)))),"")</f>
        <v/>
      </c>
      <c r="P110" s="221" t="str">
        <f ca="1">IF(AND(ISNUMBER($L110),(ISNUMBER(P$5))),IF(P$7=1,(P54-MIN(P$10:OFFSET(P$10,$M$5-1,0,1,1)))/(MAX(P$10:OFFSET(P$10,$M$5-1,0,1,1))-MIN(P$10:OFFSET(P$10,$M$5-1,0,1,1))),(P54-MAX(P$10:OFFSET(P$10,$M$5-1,0,1,1)))/(MIN(P$10:OFFSET(P$10,$M$5-1,0,1,1))-MAX(P$10:OFFSET(P$10,$M$5-1,0,1,1)))),"")</f>
        <v/>
      </c>
      <c r="Q110" s="221" t="str">
        <f ca="1">IF(AND(ISNUMBER($L110),(ISNUMBER(Q$5))),IF(Q$7=1,(Q54-MIN(Q$10:OFFSET(Q$10,$M$5-1,0,1,1)))/(MAX(Q$10:OFFSET(Q$10,$M$5-1,0,1,1))-MIN(Q$10:OFFSET(Q$10,$M$5-1,0,1,1))),(Q54-MAX(Q$10:OFFSET(Q$10,$M$5-1,0,1,1)))/(MIN(Q$10:OFFSET(Q$10,$M$5-1,0,1,1))-MAX(Q$10:OFFSET(Q$10,$M$5-1,0,1,1)))),"")</f>
        <v/>
      </c>
      <c r="R110" s="221" t="str">
        <f ca="1">IF(AND(ISNUMBER($L110),(ISNUMBER(R$5))),IF(R$7=1,(R54-MIN(R$10:OFFSET(R$10,$M$5-1,0,1,1)))/(MAX(R$10:OFFSET(R$10,$M$5-1,0,1,1))-MIN(R$10:OFFSET(R$10,$M$5-1,0,1,1))),(R54-MAX(R$10:OFFSET(R$10,$M$5-1,0,1,1)))/(MIN(R$10:OFFSET(R$10,$M$5-1,0,1,1))-MAX(R$10:OFFSET(R$10,$M$5-1,0,1,1)))),"")</f>
        <v/>
      </c>
      <c r="S110" s="221" t="str">
        <f ca="1">IF(AND(ISNUMBER($L110),(ISNUMBER(S$5))),IF(S$7=1,(S54-MIN(S$10:OFFSET(S$10,$M$5-1,0,1,1)))/(MAX(S$10:OFFSET(S$10,$M$5-1,0,1,1))-MIN(S$10:OFFSET(S$10,$M$5-1,0,1,1))),(S54-MAX(S$10:OFFSET(S$10,$M$5-1,0,1,1)))/(MIN(S$10:OFFSET(S$10,$M$5-1,0,1,1))-MAX(S$10:OFFSET(S$10,$M$5-1,0,1,1)))),"")</f>
        <v/>
      </c>
      <c r="T110" s="187"/>
      <c r="U110" s="199"/>
      <c r="V110" s="206" t="str">
        <f t="shared" si="12"/>
        <v/>
      </c>
      <c r="W110" s="220">
        <f t="shared" si="10"/>
        <v>0</v>
      </c>
      <c r="X110" s="221" t="str">
        <f ca="1">IF(AND(ISNUMBER($V110),(ISNUMBER(X$5))),IF(X$7=1,(X54-MIN(X$10:OFFSET(X$10,$W$5-1,0,1,1)))/(MAX(X$10:OFFSET(X$10,$W$5-1,0,1,1))-MIN(X$10:OFFSET(X$10,$W$5-1,0,1,1))),(X54-MAX(X$10:OFFSET(X$10,$W$5-1,0,1,1)))/(MIN(X$10:OFFSET(X$10,$W$5-1,0,1,1))-MAX(X$10:OFFSET(X$10,$W$5-1,0,1,1)))),"")</f>
        <v/>
      </c>
      <c r="Y110" s="221" t="str">
        <f ca="1">IF(AND(ISNUMBER($V110),(ISNUMBER(Y$5))),IF(Y$7=1,(Y54-MIN(Y$10:OFFSET(Y$10,$W$5-1,0,1,1)))/(MAX(Y$10:OFFSET(Y$10,$W$5-1,0,1,1))-MIN(Y$10:OFFSET(Y$10,$W$5-1,0,1,1))),(Y54-MAX(Y$10:OFFSET(Y$10,$W$5-1,0,1,1)))/(MIN(Y$10:OFFSET(Y$10,$W$5-1,0,1,1))-MAX(Y$10:OFFSET(Y$10,$W$5-1,0,1,1)))),"")</f>
        <v/>
      </c>
      <c r="Z110" s="221" t="str">
        <f ca="1">IF(AND(ISNUMBER($V110),(ISNUMBER(Z$5))),IF(Z$7=1,(Z54-MIN(Z$10:OFFSET(Z$10,$W$5-1,0,1,1)))/(MAX(Z$10:OFFSET(Z$10,$W$5-1,0,1,1))-MIN(Z$10:OFFSET(Z$10,$W$5-1,0,1,1))),(Z54-MAX(Z$10:OFFSET(Z$10,$W$5-1,0,1,1)))/(MIN(Z$10:OFFSET(Z$10,$W$5-1,0,1,1))-MAX(Z$10:OFFSET(Z$10,$W$5-1,0,1,1)))),"")</f>
        <v/>
      </c>
      <c r="AA110" s="221" t="str">
        <f ca="1">IF(AND(ISNUMBER($V110),(ISNUMBER(AA$5))),IF(AA$7=1,(AA54-MIN(AA$10:OFFSET(AA$10,$W$5-1,0,1,1)))/(MAX(AA$10:OFFSET(AA$10,$W$5-1,0,1,1))-MIN(AA$10:OFFSET(AA$10,$W$5-1,0,1,1))),(AA54-MAX(AA$10:OFFSET(AA$10,$W$5-1,0,1,1)))/(MIN(AA$10:OFFSET(AA$10,$W$5-1,0,1,1))-MAX(AA$10:OFFSET(AA$10,$W$5-1,0,1,1)))),"")</f>
        <v/>
      </c>
      <c r="AB110" s="221" t="str">
        <f ca="1">IF(AND(ISNUMBER($V110),(ISNUMBER(AB$5))),IF(AB$7=1,(AB54-MIN(AB$10:OFFSET(AB$10,$W$5-1,0,1,1)))/(MAX(AB$10:OFFSET(AB$10,$W$5-1,0,1,1))-MIN(AB$10:OFFSET(AB$10,$W$5-1,0,1,1))),(AB54-MAX(AB$10:OFFSET(AB$10,$W$5-1,0,1,1)))/(MIN(AB$10:OFFSET(AB$10,$W$5-1,0,1,1))-MAX(AB$10:OFFSET(AB$10,$W$5-1,0,1,1)))),"")</f>
        <v/>
      </c>
      <c r="AC110" s="221" t="str">
        <f ca="1">IF(AND(ISNUMBER($V110),(ISNUMBER(AC$5))),IF(AC$7=1,(AC54-MIN(AC$10:OFFSET(AC$10,$W$5-1,0,1,1)))/(MAX(AC$10:OFFSET(AC$10,$W$5-1,0,1,1))-MIN(AC$10:OFFSET(AC$10,$W$5-1,0,1,1))),(AC54-MAX(AC$10:OFFSET(AC$10,$W$5-1,0,1,1)))/(MIN(AC$10:OFFSET(AC$10,$W$5-1,0,1,1))-MAX(AC$10:OFFSET(AC$10,$W$5-1,0,1,1)))),"")</f>
        <v/>
      </c>
    </row>
    <row r="111" spans="1:29" ht="15" customHeight="1" thickBot="1">
      <c r="A111" s="199"/>
      <c r="B111" s="206" t="str">
        <f t="shared" si="5"/>
        <v/>
      </c>
      <c r="C111" s="220">
        <f t="shared" si="6"/>
        <v>0</v>
      </c>
      <c r="D111" s="221" t="str">
        <f ca="1">IF(AND(ISNUMBER($B111),(ISNUMBER(D$5))),IF(D$7=1,(D55-MIN(D$10:OFFSET(D$10,$C$5-1,0,1,1)))/(MAX(D$10:OFFSET(D$10,$C$5-1,0,1,1))-MIN(D$10:OFFSET(D$10,$C$5-1,0,1,1))),(D55-MAX(D$10:OFFSET(D$10,$C$5-1,0,1,1)))/(MIN(D$10:OFFSET(D$10,$C$5-1,0,1,1))-MAX(D$10:OFFSET(D$10,$C$5-1,0,1,1)))),"")</f>
        <v/>
      </c>
      <c r="E111" s="221" t="str">
        <f ca="1">IF(AND(ISNUMBER($B111),(ISNUMBER(E$5))),IF(E$7=1,(E55-MIN(E$10:OFFSET(E$10,$C$5-1,0,1,1)))/(MAX(E$10:OFFSET(E$10,$C$5-1,0,1,1))-MIN(E$10:OFFSET(E$10,$C$5-1,0,1,1))),(E55-MAX(E$10:OFFSET(E$10,$C$5-1,0,1,1)))/(MIN(E$10:OFFSET(E$10,$C$5-1,0,1,1))-MAX(E$10:OFFSET(E$10,$C$5-1,0,1,1)))),"")</f>
        <v/>
      </c>
      <c r="F111" s="221" t="str">
        <f ca="1">IF(AND(ISNUMBER($B111),(ISNUMBER(F$5))),IF(F$7=1,(F55-MIN(F$10:OFFSET(F$10,$C$5-1,0,1,1)))/(MAX(F$10:OFFSET(F$10,$C$5-1,0,1,1))-MIN(F$10:OFFSET(F$10,$C$5-1,0,1,1))),(F55-MAX(F$10:OFFSET(F$10,$C$5-1,0,1,1)))/(MIN(F$10:OFFSET(F$10,$C$5-1,0,1,1))-MAX(F$10:OFFSET(F$10,$C$5-1,0,1,1)))),"")</f>
        <v/>
      </c>
      <c r="G111" s="221" t="str">
        <f ca="1">IF(AND(ISNUMBER($B111),(ISNUMBER(G$5))),IF(G$7=1,(G55-MIN(G$10:OFFSET(G$10,$C$5-1,0,1,1)))/(MAX(G$10:OFFSET(G$10,$C$5-1,0,1,1))-MIN(G$10:OFFSET(G$10,$C$5-1,0,1,1))),(G55-MAX(G$10:OFFSET(G$10,$C$5-1,0,1,1)))/(MIN(G$10:OFFSET(G$10,$C$5-1,0,1,1))-MAX(G$10:OFFSET(G$10,$C$5-1,0,1,1)))),"")</f>
        <v/>
      </c>
      <c r="H111" s="221" t="str">
        <f ca="1">IF(AND(ISNUMBER($B111),(ISNUMBER(H$5))),IF(H$7=1,(H55-MIN(H$10:OFFSET(H$10,$C$5-1,0,1,1)))/(MAX(H$10:OFFSET(H$10,$C$5-1,0,1,1))-MIN(H$10:OFFSET(H$10,$C$5-1,0,1,1))),(H55-MAX(H$10:OFFSET(H$10,$C$5-1,0,1,1)))/(MIN(H$10:OFFSET(H$10,$C$5-1,0,1,1))-MAX(H$10:OFFSET(H$10,$C$5-1,0,1,1)))),"")</f>
        <v/>
      </c>
      <c r="I111" s="221" t="str">
        <f ca="1">IF(AND(ISNUMBER($B111),(ISNUMBER(I$5))),IF(I$7=1,(I55-MIN(I$10:OFFSET(I$10,$C$5-1,0,1,1)))/(MAX(I$10:OFFSET(I$10,$C$5-1,0,1,1))-MIN(I$10:OFFSET(I$10,$C$5-1,0,1,1))),(I55-MAX(I$10:OFFSET(I$10,$C$5-1,0,1,1)))/(MIN(I$10:OFFSET(I$10,$C$5-1,0,1,1))-MAX(I$10:OFFSET(I$10,$C$5-1,0,1,1)))),"")</f>
        <v/>
      </c>
      <c r="J111" s="187"/>
      <c r="K111" s="199"/>
      <c r="L111" s="206" t="str">
        <f t="shared" si="11"/>
        <v/>
      </c>
      <c r="M111" s="220">
        <f t="shared" si="9"/>
        <v>0</v>
      </c>
      <c r="N111" s="221" t="str">
        <f ca="1">IF(AND(ISNUMBER($L111),(ISNUMBER(N$5))),IF(N$7=1,(N55-MIN(N$10:OFFSET(N$10,$M$5-1,0,1,1)))/(MAX(N$10:OFFSET(N$10,$M$5-1,0,1,1))-MIN(N$10:OFFSET(N$10,$M$5-1,0,1,1))),(N55-MAX(N$10:OFFSET(N$10,$M$5-1,0,1,1)))/(MIN(N$10:OFFSET(N$10,$M$5-1,0,1,1))-MAX(N$10:OFFSET(N$10,$M$5-1,0,1,1)))),"")</f>
        <v/>
      </c>
      <c r="O111" s="221" t="str">
        <f ca="1">IF(AND(ISNUMBER($L111),(ISNUMBER(O$5))),IF(O$7=1,(O55-MIN(O$10:OFFSET(O$10,$M$5-1,0,1,1)))/(MAX(O$10:OFFSET(O$10,$M$5-1,0,1,1))-MIN(O$10:OFFSET(O$10,$M$5-1,0,1,1))),(O55-MAX(O$10:OFFSET(O$10,$M$5-1,0,1,1)))/(MIN(O$10:OFFSET(O$10,$M$5-1,0,1,1))-MAX(O$10:OFFSET(O$10,$M$5-1,0,1,1)))),"")</f>
        <v/>
      </c>
      <c r="P111" s="221" t="str">
        <f ca="1">IF(AND(ISNUMBER($L111),(ISNUMBER(P$5))),IF(P$7=1,(P55-MIN(P$10:OFFSET(P$10,$M$5-1,0,1,1)))/(MAX(P$10:OFFSET(P$10,$M$5-1,0,1,1))-MIN(P$10:OFFSET(P$10,$M$5-1,0,1,1))),(P55-MAX(P$10:OFFSET(P$10,$M$5-1,0,1,1)))/(MIN(P$10:OFFSET(P$10,$M$5-1,0,1,1))-MAX(P$10:OFFSET(P$10,$M$5-1,0,1,1)))),"")</f>
        <v/>
      </c>
      <c r="Q111" s="221" t="str">
        <f ca="1">IF(AND(ISNUMBER($L111),(ISNUMBER(Q$5))),IF(Q$7=1,(Q55-MIN(Q$10:OFFSET(Q$10,$M$5-1,0,1,1)))/(MAX(Q$10:OFFSET(Q$10,$M$5-1,0,1,1))-MIN(Q$10:OFFSET(Q$10,$M$5-1,0,1,1))),(Q55-MAX(Q$10:OFFSET(Q$10,$M$5-1,0,1,1)))/(MIN(Q$10:OFFSET(Q$10,$M$5-1,0,1,1))-MAX(Q$10:OFFSET(Q$10,$M$5-1,0,1,1)))),"")</f>
        <v/>
      </c>
      <c r="R111" s="221" t="str">
        <f ca="1">IF(AND(ISNUMBER($L111),(ISNUMBER(R$5))),IF(R$7=1,(R55-MIN(R$10:OFFSET(R$10,$M$5-1,0,1,1)))/(MAX(R$10:OFFSET(R$10,$M$5-1,0,1,1))-MIN(R$10:OFFSET(R$10,$M$5-1,0,1,1))),(R55-MAX(R$10:OFFSET(R$10,$M$5-1,0,1,1)))/(MIN(R$10:OFFSET(R$10,$M$5-1,0,1,1))-MAX(R$10:OFFSET(R$10,$M$5-1,0,1,1)))),"")</f>
        <v/>
      </c>
      <c r="S111" s="221" t="str">
        <f ca="1">IF(AND(ISNUMBER($L111),(ISNUMBER(S$5))),IF(S$7=1,(S55-MIN(S$10:OFFSET(S$10,$M$5-1,0,1,1)))/(MAX(S$10:OFFSET(S$10,$M$5-1,0,1,1))-MIN(S$10:OFFSET(S$10,$M$5-1,0,1,1))),(S55-MAX(S$10:OFFSET(S$10,$M$5-1,0,1,1)))/(MIN(S$10:OFFSET(S$10,$M$5-1,0,1,1))-MAX(S$10:OFFSET(S$10,$M$5-1,0,1,1)))),"")</f>
        <v/>
      </c>
      <c r="T111" s="187"/>
      <c r="U111" s="199"/>
      <c r="V111" s="206" t="str">
        <f t="shared" si="12"/>
        <v/>
      </c>
      <c r="W111" s="220">
        <f t="shared" si="10"/>
        <v>0</v>
      </c>
      <c r="X111" s="221" t="str">
        <f ca="1">IF(AND(ISNUMBER($V111),(ISNUMBER(X$5))),IF(X$7=1,(X55-MIN(X$10:OFFSET(X$10,$W$5-1,0,1,1)))/(MAX(X$10:OFFSET(X$10,$W$5-1,0,1,1))-MIN(X$10:OFFSET(X$10,$W$5-1,0,1,1))),(X55-MAX(X$10:OFFSET(X$10,$W$5-1,0,1,1)))/(MIN(X$10:OFFSET(X$10,$W$5-1,0,1,1))-MAX(X$10:OFFSET(X$10,$W$5-1,0,1,1)))),"")</f>
        <v/>
      </c>
      <c r="Y111" s="221" t="str">
        <f ca="1">IF(AND(ISNUMBER($V111),(ISNUMBER(Y$5))),IF(Y$7=1,(Y55-MIN(Y$10:OFFSET(Y$10,$W$5-1,0,1,1)))/(MAX(Y$10:OFFSET(Y$10,$W$5-1,0,1,1))-MIN(Y$10:OFFSET(Y$10,$W$5-1,0,1,1))),(Y55-MAX(Y$10:OFFSET(Y$10,$W$5-1,0,1,1)))/(MIN(Y$10:OFFSET(Y$10,$W$5-1,0,1,1))-MAX(Y$10:OFFSET(Y$10,$W$5-1,0,1,1)))),"")</f>
        <v/>
      </c>
      <c r="Z111" s="221" t="str">
        <f ca="1">IF(AND(ISNUMBER($V111),(ISNUMBER(Z$5))),IF(Z$7=1,(Z55-MIN(Z$10:OFFSET(Z$10,$W$5-1,0,1,1)))/(MAX(Z$10:OFFSET(Z$10,$W$5-1,0,1,1))-MIN(Z$10:OFFSET(Z$10,$W$5-1,0,1,1))),(Z55-MAX(Z$10:OFFSET(Z$10,$W$5-1,0,1,1)))/(MIN(Z$10:OFFSET(Z$10,$W$5-1,0,1,1))-MAX(Z$10:OFFSET(Z$10,$W$5-1,0,1,1)))),"")</f>
        <v/>
      </c>
      <c r="AA111" s="221" t="str">
        <f ca="1">IF(AND(ISNUMBER($V111),(ISNUMBER(AA$5))),IF(AA$7=1,(AA55-MIN(AA$10:OFFSET(AA$10,$W$5-1,0,1,1)))/(MAX(AA$10:OFFSET(AA$10,$W$5-1,0,1,1))-MIN(AA$10:OFFSET(AA$10,$W$5-1,0,1,1))),(AA55-MAX(AA$10:OFFSET(AA$10,$W$5-1,0,1,1)))/(MIN(AA$10:OFFSET(AA$10,$W$5-1,0,1,1))-MAX(AA$10:OFFSET(AA$10,$W$5-1,0,1,1)))),"")</f>
        <v/>
      </c>
      <c r="AB111" s="221" t="str">
        <f ca="1">IF(AND(ISNUMBER($V111),(ISNUMBER(AB$5))),IF(AB$7=1,(AB55-MIN(AB$10:OFFSET(AB$10,$W$5-1,0,1,1)))/(MAX(AB$10:OFFSET(AB$10,$W$5-1,0,1,1))-MIN(AB$10:OFFSET(AB$10,$W$5-1,0,1,1))),(AB55-MAX(AB$10:OFFSET(AB$10,$W$5-1,0,1,1)))/(MIN(AB$10:OFFSET(AB$10,$W$5-1,0,1,1))-MAX(AB$10:OFFSET(AB$10,$W$5-1,0,1,1)))),"")</f>
        <v/>
      </c>
      <c r="AC111" s="221" t="str">
        <f ca="1">IF(AND(ISNUMBER($V111),(ISNUMBER(AC$5))),IF(AC$7=1,(AC55-MIN(AC$10:OFFSET(AC$10,$W$5-1,0,1,1)))/(MAX(AC$10:OFFSET(AC$10,$W$5-1,0,1,1))-MIN(AC$10:OFFSET(AC$10,$W$5-1,0,1,1))),(AC55-MAX(AC$10:OFFSET(AC$10,$W$5-1,0,1,1)))/(MIN(AC$10:OFFSET(AC$10,$W$5-1,0,1,1))-MAX(AC$10:OFFSET(AC$10,$W$5-1,0,1,1)))),"")</f>
        <v/>
      </c>
    </row>
    <row r="112" spans="1:29" ht="15" customHeight="1" thickBot="1">
      <c r="A112" s="199"/>
      <c r="B112" s="206" t="str">
        <f t="shared" si="5"/>
        <v/>
      </c>
      <c r="C112" s="220">
        <f t="shared" si="6"/>
        <v>0</v>
      </c>
      <c r="D112" s="221" t="str">
        <f ca="1">IF(AND(ISNUMBER($B112),(ISNUMBER(D$5))),IF(D$7=1,(D56-MIN(D$10:OFFSET(D$10,$C$5-1,0,1,1)))/(MAX(D$10:OFFSET(D$10,$C$5-1,0,1,1))-MIN(D$10:OFFSET(D$10,$C$5-1,0,1,1))),(D56-MAX(D$10:OFFSET(D$10,$C$5-1,0,1,1)))/(MIN(D$10:OFFSET(D$10,$C$5-1,0,1,1))-MAX(D$10:OFFSET(D$10,$C$5-1,0,1,1)))),"")</f>
        <v/>
      </c>
      <c r="E112" s="221" t="str">
        <f ca="1">IF(AND(ISNUMBER($B112),(ISNUMBER(E$5))),IF(E$7=1,(E56-MIN(E$10:OFFSET(E$10,$C$5-1,0,1,1)))/(MAX(E$10:OFFSET(E$10,$C$5-1,0,1,1))-MIN(E$10:OFFSET(E$10,$C$5-1,0,1,1))),(E56-MAX(E$10:OFFSET(E$10,$C$5-1,0,1,1)))/(MIN(E$10:OFFSET(E$10,$C$5-1,0,1,1))-MAX(E$10:OFFSET(E$10,$C$5-1,0,1,1)))),"")</f>
        <v/>
      </c>
      <c r="F112" s="221" t="str">
        <f ca="1">IF(AND(ISNUMBER($B112),(ISNUMBER(F$5))),IF(F$7=1,(F56-MIN(F$10:OFFSET(F$10,$C$5-1,0,1,1)))/(MAX(F$10:OFFSET(F$10,$C$5-1,0,1,1))-MIN(F$10:OFFSET(F$10,$C$5-1,0,1,1))),(F56-MAX(F$10:OFFSET(F$10,$C$5-1,0,1,1)))/(MIN(F$10:OFFSET(F$10,$C$5-1,0,1,1))-MAX(F$10:OFFSET(F$10,$C$5-1,0,1,1)))),"")</f>
        <v/>
      </c>
      <c r="G112" s="221" t="str">
        <f ca="1">IF(AND(ISNUMBER($B112),(ISNUMBER(G$5))),IF(G$7=1,(G56-MIN(G$10:OFFSET(G$10,$C$5-1,0,1,1)))/(MAX(G$10:OFFSET(G$10,$C$5-1,0,1,1))-MIN(G$10:OFFSET(G$10,$C$5-1,0,1,1))),(G56-MAX(G$10:OFFSET(G$10,$C$5-1,0,1,1)))/(MIN(G$10:OFFSET(G$10,$C$5-1,0,1,1))-MAX(G$10:OFFSET(G$10,$C$5-1,0,1,1)))),"")</f>
        <v/>
      </c>
      <c r="H112" s="221" t="str">
        <f ca="1">IF(AND(ISNUMBER($B112),(ISNUMBER(H$5))),IF(H$7=1,(H56-MIN(H$10:OFFSET(H$10,$C$5-1,0,1,1)))/(MAX(H$10:OFFSET(H$10,$C$5-1,0,1,1))-MIN(H$10:OFFSET(H$10,$C$5-1,0,1,1))),(H56-MAX(H$10:OFFSET(H$10,$C$5-1,0,1,1)))/(MIN(H$10:OFFSET(H$10,$C$5-1,0,1,1))-MAX(H$10:OFFSET(H$10,$C$5-1,0,1,1)))),"")</f>
        <v/>
      </c>
      <c r="I112" s="221" t="str">
        <f ca="1">IF(AND(ISNUMBER($B112),(ISNUMBER(I$5))),IF(I$7=1,(I56-MIN(I$10:OFFSET(I$10,$C$5-1,0,1,1)))/(MAX(I$10:OFFSET(I$10,$C$5-1,0,1,1))-MIN(I$10:OFFSET(I$10,$C$5-1,0,1,1))),(I56-MAX(I$10:OFFSET(I$10,$C$5-1,0,1,1)))/(MIN(I$10:OFFSET(I$10,$C$5-1,0,1,1))-MAX(I$10:OFFSET(I$10,$C$5-1,0,1,1)))),"")</f>
        <v/>
      </c>
      <c r="J112" s="187"/>
      <c r="K112" s="199"/>
      <c r="L112" s="206" t="str">
        <f t="shared" si="11"/>
        <v/>
      </c>
      <c r="M112" s="220">
        <f t="shared" si="9"/>
        <v>0</v>
      </c>
      <c r="N112" s="221" t="str">
        <f ca="1">IF(AND(ISNUMBER($L112),(ISNUMBER(N$5))),IF(N$7=1,(N56-MIN(N$10:OFFSET(N$10,$M$5-1,0,1,1)))/(MAX(N$10:OFFSET(N$10,$M$5-1,0,1,1))-MIN(N$10:OFFSET(N$10,$M$5-1,0,1,1))),(N56-MAX(N$10:OFFSET(N$10,$M$5-1,0,1,1)))/(MIN(N$10:OFFSET(N$10,$M$5-1,0,1,1))-MAX(N$10:OFFSET(N$10,$M$5-1,0,1,1)))),"")</f>
        <v/>
      </c>
      <c r="O112" s="221" t="str">
        <f ca="1">IF(AND(ISNUMBER($L112),(ISNUMBER(O$5))),IF(O$7=1,(O56-MIN(O$10:OFFSET(O$10,$M$5-1,0,1,1)))/(MAX(O$10:OFFSET(O$10,$M$5-1,0,1,1))-MIN(O$10:OFFSET(O$10,$M$5-1,0,1,1))),(O56-MAX(O$10:OFFSET(O$10,$M$5-1,0,1,1)))/(MIN(O$10:OFFSET(O$10,$M$5-1,0,1,1))-MAX(O$10:OFFSET(O$10,$M$5-1,0,1,1)))),"")</f>
        <v/>
      </c>
      <c r="P112" s="221" t="str">
        <f ca="1">IF(AND(ISNUMBER($L112),(ISNUMBER(P$5))),IF(P$7=1,(P56-MIN(P$10:OFFSET(P$10,$M$5-1,0,1,1)))/(MAX(P$10:OFFSET(P$10,$M$5-1,0,1,1))-MIN(P$10:OFFSET(P$10,$M$5-1,0,1,1))),(P56-MAX(P$10:OFFSET(P$10,$M$5-1,0,1,1)))/(MIN(P$10:OFFSET(P$10,$M$5-1,0,1,1))-MAX(P$10:OFFSET(P$10,$M$5-1,0,1,1)))),"")</f>
        <v/>
      </c>
      <c r="Q112" s="221" t="str">
        <f ca="1">IF(AND(ISNUMBER($L112),(ISNUMBER(Q$5))),IF(Q$7=1,(Q56-MIN(Q$10:OFFSET(Q$10,$M$5-1,0,1,1)))/(MAX(Q$10:OFFSET(Q$10,$M$5-1,0,1,1))-MIN(Q$10:OFFSET(Q$10,$M$5-1,0,1,1))),(Q56-MAX(Q$10:OFFSET(Q$10,$M$5-1,0,1,1)))/(MIN(Q$10:OFFSET(Q$10,$M$5-1,0,1,1))-MAX(Q$10:OFFSET(Q$10,$M$5-1,0,1,1)))),"")</f>
        <v/>
      </c>
      <c r="R112" s="221" t="str">
        <f ca="1">IF(AND(ISNUMBER($L112),(ISNUMBER(R$5))),IF(R$7=1,(R56-MIN(R$10:OFFSET(R$10,$M$5-1,0,1,1)))/(MAX(R$10:OFFSET(R$10,$M$5-1,0,1,1))-MIN(R$10:OFFSET(R$10,$M$5-1,0,1,1))),(R56-MAX(R$10:OFFSET(R$10,$M$5-1,0,1,1)))/(MIN(R$10:OFFSET(R$10,$M$5-1,0,1,1))-MAX(R$10:OFFSET(R$10,$M$5-1,0,1,1)))),"")</f>
        <v/>
      </c>
      <c r="S112" s="221" t="str">
        <f ca="1">IF(AND(ISNUMBER($L112),(ISNUMBER(S$5))),IF(S$7=1,(S56-MIN(S$10:OFFSET(S$10,$M$5-1,0,1,1)))/(MAX(S$10:OFFSET(S$10,$M$5-1,0,1,1))-MIN(S$10:OFFSET(S$10,$M$5-1,0,1,1))),(S56-MAX(S$10:OFFSET(S$10,$M$5-1,0,1,1)))/(MIN(S$10:OFFSET(S$10,$M$5-1,0,1,1))-MAX(S$10:OFFSET(S$10,$M$5-1,0,1,1)))),"")</f>
        <v/>
      </c>
      <c r="T112" s="187"/>
      <c r="U112" s="199"/>
      <c r="V112" s="206" t="str">
        <f t="shared" si="12"/>
        <v/>
      </c>
      <c r="W112" s="220">
        <f t="shared" si="10"/>
        <v>0</v>
      </c>
      <c r="X112" s="221" t="str">
        <f ca="1">IF(AND(ISNUMBER($V112),(ISNUMBER(X$5))),IF(X$7=1,(X56-MIN(X$10:OFFSET(X$10,$W$5-1,0,1,1)))/(MAX(X$10:OFFSET(X$10,$W$5-1,0,1,1))-MIN(X$10:OFFSET(X$10,$W$5-1,0,1,1))),(X56-MAX(X$10:OFFSET(X$10,$W$5-1,0,1,1)))/(MIN(X$10:OFFSET(X$10,$W$5-1,0,1,1))-MAX(X$10:OFFSET(X$10,$W$5-1,0,1,1)))),"")</f>
        <v/>
      </c>
      <c r="Y112" s="221" t="str">
        <f ca="1">IF(AND(ISNUMBER($V112),(ISNUMBER(Y$5))),IF(Y$7=1,(Y56-MIN(Y$10:OFFSET(Y$10,$W$5-1,0,1,1)))/(MAX(Y$10:OFFSET(Y$10,$W$5-1,0,1,1))-MIN(Y$10:OFFSET(Y$10,$W$5-1,0,1,1))),(Y56-MAX(Y$10:OFFSET(Y$10,$W$5-1,0,1,1)))/(MIN(Y$10:OFFSET(Y$10,$W$5-1,0,1,1))-MAX(Y$10:OFFSET(Y$10,$W$5-1,0,1,1)))),"")</f>
        <v/>
      </c>
      <c r="Z112" s="221" t="str">
        <f ca="1">IF(AND(ISNUMBER($V112),(ISNUMBER(Z$5))),IF(Z$7=1,(Z56-MIN(Z$10:OFFSET(Z$10,$W$5-1,0,1,1)))/(MAX(Z$10:OFFSET(Z$10,$W$5-1,0,1,1))-MIN(Z$10:OFFSET(Z$10,$W$5-1,0,1,1))),(Z56-MAX(Z$10:OFFSET(Z$10,$W$5-1,0,1,1)))/(MIN(Z$10:OFFSET(Z$10,$W$5-1,0,1,1))-MAX(Z$10:OFFSET(Z$10,$W$5-1,0,1,1)))),"")</f>
        <v/>
      </c>
      <c r="AA112" s="221" t="str">
        <f ca="1">IF(AND(ISNUMBER($V112),(ISNUMBER(AA$5))),IF(AA$7=1,(AA56-MIN(AA$10:OFFSET(AA$10,$W$5-1,0,1,1)))/(MAX(AA$10:OFFSET(AA$10,$W$5-1,0,1,1))-MIN(AA$10:OFFSET(AA$10,$W$5-1,0,1,1))),(AA56-MAX(AA$10:OFFSET(AA$10,$W$5-1,0,1,1)))/(MIN(AA$10:OFFSET(AA$10,$W$5-1,0,1,1))-MAX(AA$10:OFFSET(AA$10,$W$5-1,0,1,1)))),"")</f>
        <v/>
      </c>
      <c r="AB112" s="221" t="str">
        <f ca="1">IF(AND(ISNUMBER($V112),(ISNUMBER(AB$5))),IF(AB$7=1,(AB56-MIN(AB$10:OFFSET(AB$10,$W$5-1,0,1,1)))/(MAX(AB$10:OFFSET(AB$10,$W$5-1,0,1,1))-MIN(AB$10:OFFSET(AB$10,$W$5-1,0,1,1))),(AB56-MAX(AB$10:OFFSET(AB$10,$W$5-1,0,1,1)))/(MIN(AB$10:OFFSET(AB$10,$W$5-1,0,1,1))-MAX(AB$10:OFFSET(AB$10,$W$5-1,0,1,1)))),"")</f>
        <v/>
      </c>
      <c r="AC112" s="221" t="str">
        <f ca="1">IF(AND(ISNUMBER($V112),(ISNUMBER(AC$5))),IF(AC$7=1,(AC56-MIN(AC$10:OFFSET(AC$10,$W$5-1,0,1,1)))/(MAX(AC$10:OFFSET(AC$10,$W$5-1,0,1,1))-MIN(AC$10:OFFSET(AC$10,$W$5-1,0,1,1))),(AC56-MAX(AC$10:OFFSET(AC$10,$W$5-1,0,1,1)))/(MIN(AC$10:OFFSET(AC$10,$W$5-1,0,1,1))-MAX(AC$10:OFFSET(AC$10,$W$5-1,0,1,1)))),"")</f>
        <v/>
      </c>
    </row>
    <row r="113" spans="1:30" ht="15" customHeight="1" thickBot="1">
      <c r="A113" s="199"/>
      <c r="B113" s="206" t="str">
        <f t="shared" si="5"/>
        <v/>
      </c>
      <c r="C113" s="220">
        <f t="shared" si="6"/>
        <v>0</v>
      </c>
      <c r="D113" s="221" t="str">
        <f ca="1">IF(AND(ISNUMBER($B113),(ISNUMBER(D$5))),IF(D$7=1,(D57-MIN(D$10:OFFSET(D$10,$C$5-1,0,1,1)))/(MAX(D$10:OFFSET(D$10,$C$5-1,0,1,1))-MIN(D$10:OFFSET(D$10,$C$5-1,0,1,1))),(D57-MAX(D$10:OFFSET(D$10,$C$5-1,0,1,1)))/(MIN(D$10:OFFSET(D$10,$C$5-1,0,1,1))-MAX(D$10:OFFSET(D$10,$C$5-1,0,1,1)))),"")</f>
        <v/>
      </c>
      <c r="E113" s="221" t="str">
        <f ca="1">IF(AND(ISNUMBER($B113),(ISNUMBER(E$5))),IF(E$7=1,(E57-MIN(E$10:OFFSET(E$10,$C$5-1,0,1,1)))/(MAX(E$10:OFFSET(E$10,$C$5-1,0,1,1))-MIN(E$10:OFFSET(E$10,$C$5-1,0,1,1))),(E57-MAX(E$10:OFFSET(E$10,$C$5-1,0,1,1)))/(MIN(E$10:OFFSET(E$10,$C$5-1,0,1,1))-MAX(E$10:OFFSET(E$10,$C$5-1,0,1,1)))),"")</f>
        <v/>
      </c>
      <c r="F113" s="221" t="str">
        <f ca="1">IF(AND(ISNUMBER($B113),(ISNUMBER(F$5))),IF(F$7=1,(F57-MIN(F$10:OFFSET(F$10,$C$5-1,0,1,1)))/(MAX(F$10:OFFSET(F$10,$C$5-1,0,1,1))-MIN(F$10:OFFSET(F$10,$C$5-1,0,1,1))),(F57-MAX(F$10:OFFSET(F$10,$C$5-1,0,1,1)))/(MIN(F$10:OFFSET(F$10,$C$5-1,0,1,1))-MAX(F$10:OFFSET(F$10,$C$5-1,0,1,1)))),"")</f>
        <v/>
      </c>
      <c r="G113" s="221" t="str">
        <f ca="1">IF(AND(ISNUMBER($B113),(ISNUMBER(G$5))),IF(G$7=1,(G57-MIN(G$10:OFFSET(G$10,$C$5-1,0,1,1)))/(MAX(G$10:OFFSET(G$10,$C$5-1,0,1,1))-MIN(G$10:OFFSET(G$10,$C$5-1,0,1,1))),(G57-MAX(G$10:OFFSET(G$10,$C$5-1,0,1,1)))/(MIN(G$10:OFFSET(G$10,$C$5-1,0,1,1))-MAX(G$10:OFFSET(G$10,$C$5-1,0,1,1)))),"")</f>
        <v/>
      </c>
      <c r="H113" s="221" t="str">
        <f ca="1">IF(AND(ISNUMBER($B113),(ISNUMBER(H$5))),IF(H$7=1,(H57-MIN(H$10:OFFSET(H$10,$C$5-1,0,1,1)))/(MAX(H$10:OFFSET(H$10,$C$5-1,0,1,1))-MIN(H$10:OFFSET(H$10,$C$5-1,0,1,1))),(H57-MAX(H$10:OFFSET(H$10,$C$5-1,0,1,1)))/(MIN(H$10:OFFSET(H$10,$C$5-1,0,1,1))-MAX(H$10:OFFSET(H$10,$C$5-1,0,1,1)))),"")</f>
        <v/>
      </c>
      <c r="I113" s="221" t="str">
        <f ca="1">IF(AND(ISNUMBER($B113),(ISNUMBER(I$5))),IF(I$7=1,(I57-MIN(I$10:OFFSET(I$10,$C$5-1,0,1,1)))/(MAX(I$10:OFFSET(I$10,$C$5-1,0,1,1))-MIN(I$10:OFFSET(I$10,$C$5-1,0,1,1))),(I57-MAX(I$10:OFFSET(I$10,$C$5-1,0,1,1)))/(MIN(I$10:OFFSET(I$10,$C$5-1,0,1,1))-MAX(I$10:OFFSET(I$10,$C$5-1,0,1,1)))),"")</f>
        <v/>
      </c>
      <c r="J113" s="187"/>
      <c r="K113" s="199"/>
      <c r="L113" s="206" t="str">
        <f t="shared" si="11"/>
        <v/>
      </c>
      <c r="M113" s="220">
        <f t="shared" si="9"/>
        <v>0</v>
      </c>
      <c r="N113" s="221" t="str">
        <f ca="1">IF(AND(ISNUMBER($L113),(ISNUMBER(N$5))),IF(N$7=1,(N57-MIN(N$10:OFFSET(N$10,$M$5-1,0,1,1)))/(MAX(N$10:OFFSET(N$10,$M$5-1,0,1,1))-MIN(N$10:OFFSET(N$10,$M$5-1,0,1,1))),(N57-MAX(N$10:OFFSET(N$10,$M$5-1,0,1,1)))/(MIN(N$10:OFFSET(N$10,$M$5-1,0,1,1))-MAX(N$10:OFFSET(N$10,$M$5-1,0,1,1)))),"")</f>
        <v/>
      </c>
      <c r="O113" s="221" t="str">
        <f ca="1">IF(AND(ISNUMBER($L113),(ISNUMBER(O$5))),IF(O$7=1,(O57-MIN(O$10:OFFSET(O$10,$M$5-1,0,1,1)))/(MAX(O$10:OFFSET(O$10,$M$5-1,0,1,1))-MIN(O$10:OFFSET(O$10,$M$5-1,0,1,1))),(O57-MAX(O$10:OFFSET(O$10,$M$5-1,0,1,1)))/(MIN(O$10:OFFSET(O$10,$M$5-1,0,1,1))-MAX(O$10:OFFSET(O$10,$M$5-1,0,1,1)))),"")</f>
        <v/>
      </c>
      <c r="P113" s="221" t="str">
        <f ca="1">IF(AND(ISNUMBER($L113),(ISNUMBER(P$5))),IF(P$7=1,(P57-MIN(P$10:OFFSET(P$10,$M$5-1,0,1,1)))/(MAX(P$10:OFFSET(P$10,$M$5-1,0,1,1))-MIN(P$10:OFFSET(P$10,$M$5-1,0,1,1))),(P57-MAX(P$10:OFFSET(P$10,$M$5-1,0,1,1)))/(MIN(P$10:OFFSET(P$10,$M$5-1,0,1,1))-MAX(P$10:OFFSET(P$10,$M$5-1,0,1,1)))),"")</f>
        <v/>
      </c>
      <c r="Q113" s="221" t="str">
        <f ca="1">IF(AND(ISNUMBER($L113),(ISNUMBER(Q$5))),IF(Q$7=1,(Q57-MIN(Q$10:OFFSET(Q$10,$M$5-1,0,1,1)))/(MAX(Q$10:OFFSET(Q$10,$M$5-1,0,1,1))-MIN(Q$10:OFFSET(Q$10,$M$5-1,0,1,1))),(Q57-MAX(Q$10:OFFSET(Q$10,$M$5-1,0,1,1)))/(MIN(Q$10:OFFSET(Q$10,$M$5-1,0,1,1))-MAX(Q$10:OFFSET(Q$10,$M$5-1,0,1,1)))),"")</f>
        <v/>
      </c>
      <c r="R113" s="221" t="str">
        <f ca="1">IF(AND(ISNUMBER($L113),(ISNUMBER(R$5))),IF(R$7=1,(R57-MIN(R$10:OFFSET(R$10,$M$5-1,0,1,1)))/(MAX(R$10:OFFSET(R$10,$M$5-1,0,1,1))-MIN(R$10:OFFSET(R$10,$M$5-1,0,1,1))),(R57-MAX(R$10:OFFSET(R$10,$M$5-1,0,1,1)))/(MIN(R$10:OFFSET(R$10,$M$5-1,0,1,1))-MAX(R$10:OFFSET(R$10,$M$5-1,0,1,1)))),"")</f>
        <v/>
      </c>
      <c r="S113" s="221" t="str">
        <f ca="1">IF(AND(ISNUMBER($L113),(ISNUMBER(S$5))),IF(S$7=1,(S57-MIN(S$10:OFFSET(S$10,$M$5-1,0,1,1)))/(MAX(S$10:OFFSET(S$10,$M$5-1,0,1,1))-MIN(S$10:OFFSET(S$10,$M$5-1,0,1,1))),(S57-MAX(S$10:OFFSET(S$10,$M$5-1,0,1,1)))/(MIN(S$10:OFFSET(S$10,$M$5-1,0,1,1))-MAX(S$10:OFFSET(S$10,$M$5-1,0,1,1)))),"")</f>
        <v/>
      </c>
      <c r="T113" s="187"/>
      <c r="U113" s="199"/>
      <c r="V113" s="206" t="str">
        <f t="shared" si="12"/>
        <v/>
      </c>
      <c r="W113" s="220">
        <f t="shared" si="10"/>
        <v>0</v>
      </c>
      <c r="X113" s="221" t="str">
        <f ca="1">IF(AND(ISNUMBER($V113),(ISNUMBER(X$5))),IF(X$7=1,(X57-MIN(X$10:OFFSET(X$10,$W$5-1,0,1,1)))/(MAX(X$10:OFFSET(X$10,$W$5-1,0,1,1))-MIN(X$10:OFFSET(X$10,$W$5-1,0,1,1))),(X57-MAX(X$10:OFFSET(X$10,$W$5-1,0,1,1)))/(MIN(X$10:OFFSET(X$10,$W$5-1,0,1,1))-MAX(X$10:OFFSET(X$10,$W$5-1,0,1,1)))),"")</f>
        <v/>
      </c>
      <c r="Y113" s="221" t="str">
        <f ca="1">IF(AND(ISNUMBER($V113),(ISNUMBER(Y$5))),IF(Y$7=1,(Y57-MIN(Y$10:OFFSET(Y$10,$W$5-1,0,1,1)))/(MAX(Y$10:OFFSET(Y$10,$W$5-1,0,1,1))-MIN(Y$10:OFFSET(Y$10,$W$5-1,0,1,1))),(Y57-MAX(Y$10:OFFSET(Y$10,$W$5-1,0,1,1)))/(MIN(Y$10:OFFSET(Y$10,$W$5-1,0,1,1))-MAX(Y$10:OFFSET(Y$10,$W$5-1,0,1,1)))),"")</f>
        <v/>
      </c>
      <c r="Z113" s="221" t="str">
        <f ca="1">IF(AND(ISNUMBER($V113),(ISNUMBER(Z$5))),IF(Z$7=1,(Z57-MIN(Z$10:OFFSET(Z$10,$W$5-1,0,1,1)))/(MAX(Z$10:OFFSET(Z$10,$W$5-1,0,1,1))-MIN(Z$10:OFFSET(Z$10,$W$5-1,0,1,1))),(Z57-MAX(Z$10:OFFSET(Z$10,$W$5-1,0,1,1)))/(MIN(Z$10:OFFSET(Z$10,$W$5-1,0,1,1))-MAX(Z$10:OFFSET(Z$10,$W$5-1,0,1,1)))),"")</f>
        <v/>
      </c>
      <c r="AA113" s="221" t="str">
        <f ca="1">IF(AND(ISNUMBER($V113),(ISNUMBER(AA$5))),IF(AA$7=1,(AA57-MIN(AA$10:OFFSET(AA$10,$W$5-1,0,1,1)))/(MAX(AA$10:OFFSET(AA$10,$W$5-1,0,1,1))-MIN(AA$10:OFFSET(AA$10,$W$5-1,0,1,1))),(AA57-MAX(AA$10:OFFSET(AA$10,$W$5-1,0,1,1)))/(MIN(AA$10:OFFSET(AA$10,$W$5-1,0,1,1))-MAX(AA$10:OFFSET(AA$10,$W$5-1,0,1,1)))),"")</f>
        <v/>
      </c>
      <c r="AB113" s="221" t="str">
        <f ca="1">IF(AND(ISNUMBER($V113),(ISNUMBER(AB$5))),IF(AB$7=1,(AB57-MIN(AB$10:OFFSET(AB$10,$W$5-1,0,1,1)))/(MAX(AB$10:OFFSET(AB$10,$W$5-1,0,1,1))-MIN(AB$10:OFFSET(AB$10,$W$5-1,0,1,1))),(AB57-MAX(AB$10:OFFSET(AB$10,$W$5-1,0,1,1)))/(MIN(AB$10:OFFSET(AB$10,$W$5-1,0,1,1))-MAX(AB$10:OFFSET(AB$10,$W$5-1,0,1,1)))),"")</f>
        <v/>
      </c>
      <c r="AC113" s="221" t="str">
        <f ca="1">IF(AND(ISNUMBER($V113),(ISNUMBER(AC$5))),IF(AC$7=1,(AC57-MIN(AC$10:OFFSET(AC$10,$W$5-1,0,1,1)))/(MAX(AC$10:OFFSET(AC$10,$W$5-1,0,1,1))-MIN(AC$10:OFFSET(AC$10,$W$5-1,0,1,1))),(AC57-MAX(AC$10:OFFSET(AC$10,$W$5-1,0,1,1)))/(MIN(AC$10:OFFSET(AC$10,$W$5-1,0,1,1))-MAX(AC$10:OFFSET(AC$10,$W$5-1,0,1,1)))),"")</f>
        <v/>
      </c>
    </row>
    <row r="114" spans="1:30" ht="15" customHeight="1" thickBot="1">
      <c r="A114" s="199"/>
      <c r="B114" s="206" t="str">
        <f t="shared" si="5"/>
        <v/>
      </c>
      <c r="C114" s="220">
        <f t="shared" si="6"/>
        <v>0</v>
      </c>
      <c r="D114" s="221" t="str">
        <f ca="1">IF(AND(ISNUMBER($B114),(ISNUMBER(D$5))),IF(D$7=1,(D58-MIN(D$10:OFFSET(D$10,$C$5-1,0,1,1)))/(MAX(D$10:OFFSET(D$10,$C$5-1,0,1,1))-MIN(D$10:OFFSET(D$10,$C$5-1,0,1,1))),(D58-MAX(D$10:OFFSET(D$10,$C$5-1,0,1,1)))/(MIN(D$10:OFFSET(D$10,$C$5-1,0,1,1))-MAX(D$10:OFFSET(D$10,$C$5-1,0,1,1)))),"")</f>
        <v/>
      </c>
      <c r="E114" s="221" t="str">
        <f ca="1">IF(AND(ISNUMBER($B114),(ISNUMBER(E$5))),IF(E$7=1,(E58-MIN(E$10:OFFSET(E$10,$C$5-1,0,1,1)))/(MAX(E$10:OFFSET(E$10,$C$5-1,0,1,1))-MIN(E$10:OFFSET(E$10,$C$5-1,0,1,1))),(E58-MAX(E$10:OFFSET(E$10,$C$5-1,0,1,1)))/(MIN(E$10:OFFSET(E$10,$C$5-1,0,1,1))-MAX(E$10:OFFSET(E$10,$C$5-1,0,1,1)))),"")</f>
        <v/>
      </c>
      <c r="F114" s="221" t="str">
        <f ca="1">IF(AND(ISNUMBER($B114),(ISNUMBER(F$5))),IF(F$7=1,(F58-MIN(F$10:OFFSET(F$10,$C$5-1,0,1,1)))/(MAX(F$10:OFFSET(F$10,$C$5-1,0,1,1))-MIN(F$10:OFFSET(F$10,$C$5-1,0,1,1))),(F58-MAX(F$10:OFFSET(F$10,$C$5-1,0,1,1)))/(MIN(F$10:OFFSET(F$10,$C$5-1,0,1,1))-MAX(F$10:OFFSET(F$10,$C$5-1,0,1,1)))),"")</f>
        <v/>
      </c>
      <c r="G114" s="221" t="str">
        <f ca="1">IF(AND(ISNUMBER($B114),(ISNUMBER(G$5))),IF(G$7=1,(G58-MIN(G$10:OFFSET(G$10,$C$5-1,0,1,1)))/(MAX(G$10:OFFSET(G$10,$C$5-1,0,1,1))-MIN(G$10:OFFSET(G$10,$C$5-1,0,1,1))),(G58-MAX(G$10:OFFSET(G$10,$C$5-1,0,1,1)))/(MIN(G$10:OFFSET(G$10,$C$5-1,0,1,1))-MAX(G$10:OFFSET(G$10,$C$5-1,0,1,1)))),"")</f>
        <v/>
      </c>
      <c r="H114" s="221" t="str">
        <f ca="1">IF(AND(ISNUMBER($B114),(ISNUMBER(H$5))),IF(H$7=1,(H58-MIN(H$10:OFFSET(H$10,$C$5-1,0,1,1)))/(MAX(H$10:OFFSET(H$10,$C$5-1,0,1,1))-MIN(H$10:OFFSET(H$10,$C$5-1,0,1,1))),(H58-MAX(H$10:OFFSET(H$10,$C$5-1,0,1,1)))/(MIN(H$10:OFFSET(H$10,$C$5-1,0,1,1))-MAX(H$10:OFFSET(H$10,$C$5-1,0,1,1)))),"")</f>
        <v/>
      </c>
      <c r="I114" s="221" t="str">
        <f ca="1">IF(AND(ISNUMBER($B114),(ISNUMBER(I$5))),IF(I$7=1,(I58-MIN(I$10:OFFSET(I$10,$C$5-1,0,1,1)))/(MAX(I$10:OFFSET(I$10,$C$5-1,0,1,1))-MIN(I$10:OFFSET(I$10,$C$5-1,0,1,1))),(I58-MAX(I$10:OFFSET(I$10,$C$5-1,0,1,1)))/(MIN(I$10:OFFSET(I$10,$C$5-1,0,1,1))-MAX(I$10:OFFSET(I$10,$C$5-1,0,1,1)))),"")</f>
        <v/>
      </c>
      <c r="J114" s="187"/>
      <c r="K114" s="199"/>
      <c r="L114" s="206" t="str">
        <f t="shared" si="11"/>
        <v/>
      </c>
      <c r="M114" s="220">
        <f t="shared" si="9"/>
        <v>0</v>
      </c>
      <c r="N114" s="221" t="str">
        <f ca="1">IF(AND(ISNUMBER($L114),(ISNUMBER(N$5))),IF(N$7=1,(N58-MIN(N$10:OFFSET(N$10,$M$5-1,0,1,1)))/(MAX(N$10:OFFSET(N$10,$M$5-1,0,1,1))-MIN(N$10:OFFSET(N$10,$M$5-1,0,1,1))),(N58-MAX(N$10:OFFSET(N$10,$M$5-1,0,1,1)))/(MIN(N$10:OFFSET(N$10,$M$5-1,0,1,1))-MAX(N$10:OFFSET(N$10,$M$5-1,0,1,1)))),"")</f>
        <v/>
      </c>
      <c r="O114" s="221" t="str">
        <f ca="1">IF(AND(ISNUMBER($L114),(ISNUMBER(O$5))),IF(O$7=1,(O58-MIN(O$10:OFFSET(O$10,$M$5-1,0,1,1)))/(MAX(O$10:OFFSET(O$10,$M$5-1,0,1,1))-MIN(O$10:OFFSET(O$10,$M$5-1,0,1,1))),(O58-MAX(O$10:OFFSET(O$10,$M$5-1,0,1,1)))/(MIN(O$10:OFFSET(O$10,$M$5-1,0,1,1))-MAX(O$10:OFFSET(O$10,$M$5-1,0,1,1)))),"")</f>
        <v/>
      </c>
      <c r="P114" s="221" t="str">
        <f ca="1">IF(AND(ISNUMBER($L114),(ISNUMBER(P$5))),IF(P$7=1,(P58-MIN(P$10:OFFSET(P$10,$M$5-1,0,1,1)))/(MAX(P$10:OFFSET(P$10,$M$5-1,0,1,1))-MIN(P$10:OFFSET(P$10,$M$5-1,0,1,1))),(P58-MAX(P$10:OFFSET(P$10,$M$5-1,0,1,1)))/(MIN(P$10:OFFSET(P$10,$M$5-1,0,1,1))-MAX(P$10:OFFSET(P$10,$M$5-1,0,1,1)))),"")</f>
        <v/>
      </c>
      <c r="Q114" s="221" t="str">
        <f ca="1">IF(AND(ISNUMBER($L114),(ISNUMBER(Q$5))),IF(Q$7=1,(Q58-MIN(Q$10:OFFSET(Q$10,$M$5-1,0,1,1)))/(MAX(Q$10:OFFSET(Q$10,$M$5-1,0,1,1))-MIN(Q$10:OFFSET(Q$10,$M$5-1,0,1,1))),(Q58-MAX(Q$10:OFFSET(Q$10,$M$5-1,0,1,1)))/(MIN(Q$10:OFFSET(Q$10,$M$5-1,0,1,1))-MAX(Q$10:OFFSET(Q$10,$M$5-1,0,1,1)))),"")</f>
        <v/>
      </c>
      <c r="R114" s="221" t="str">
        <f ca="1">IF(AND(ISNUMBER($L114),(ISNUMBER(R$5))),IF(R$7=1,(R58-MIN(R$10:OFFSET(R$10,$M$5-1,0,1,1)))/(MAX(R$10:OFFSET(R$10,$M$5-1,0,1,1))-MIN(R$10:OFFSET(R$10,$M$5-1,0,1,1))),(R58-MAX(R$10:OFFSET(R$10,$M$5-1,0,1,1)))/(MIN(R$10:OFFSET(R$10,$M$5-1,0,1,1))-MAX(R$10:OFFSET(R$10,$M$5-1,0,1,1)))),"")</f>
        <v/>
      </c>
      <c r="S114" s="221" t="str">
        <f ca="1">IF(AND(ISNUMBER($L114),(ISNUMBER(S$5))),IF(S$7=1,(S58-MIN(S$10:OFFSET(S$10,$M$5-1,0,1,1)))/(MAX(S$10:OFFSET(S$10,$M$5-1,0,1,1))-MIN(S$10:OFFSET(S$10,$M$5-1,0,1,1))),(S58-MAX(S$10:OFFSET(S$10,$M$5-1,0,1,1)))/(MIN(S$10:OFFSET(S$10,$M$5-1,0,1,1))-MAX(S$10:OFFSET(S$10,$M$5-1,0,1,1)))),"")</f>
        <v/>
      </c>
      <c r="T114" s="187"/>
      <c r="U114" s="199"/>
      <c r="V114" s="206" t="str">
        <f t="shared" si="12"/>
        <v/>
      </c>
      <c r="W114" s="220">
        <f t="shared" si="10"/>
        <v>0</v>
      </c>
      <c r="X114" s="221" t="str">
        <f ca="1">IF(AND(ISNUMBER($V114),(ISNUMBER(X$5))),IF(X$7=1,(X58-MIN(X$10:OFFSET(X$10,$W$5-1,0,1,1)))/(MAX(X$10:OFFSET(X$10,$W$5-1,0,1,1))-MIN(X$10:OFFSET(X$10,$W$5-1,0,1,1))),(X58-MAX(X$10:OFFSET(X$10,$W$5-1,0,1,1)))/(MIN(X$10:OFFSET(X$10,$W$5-1,0,1,1))-MAX(X$10:OFFSET(X$10,$W$5-1,0,1,1)))),"")</f>
        <v/>
      </c>
      <c r="Y114" s="221" t="str">
        <f ca="1">IF(AND(ISNUMBER($V114),(ISNUMBER(Y$5))),IF(Y$7=1,(Y58-MIN(Y$10:OFFSET(Y$10,$W$5-1,0,1,1)))/(MAX(Y$10:OFFSET(Y$10,$W$5-1,0,1,1))-MIN(Y$10:OFFSET(Y$10,$W$5-1,0,1,1))),(Y58-MAX(Y$10:OFFSET(Y$10,$W$5-1,0,1,1)))/(MIN(Y$10:OFFSET(Y$10,$W$5-1,0,1,1))-MAX(Y$10:OFFSET(Y$10,$W$5-1,0,1,1)))),"")</f>
        <v/>
      </c>
      <c r="Z114" s="221" t="str">
        <f ca="1">IF(AND(ISNUMBER($V114),(ISNUMBER(Z$5))),IF(Z$7=1,(Z58-MIN(Z$10:OFFSET(Z$10,$W$5-1,0,1,1)))/(MAX(Z$10:OFFSET(Z$10,$W$5-1,0,1,1))-MIN(Z$10:OFFSET(Z$10,$W$5-1,0,1,1))),(Z58-MAX(Z$10:OFFSET(Z$10,$W$5-1,0,1,1)))/(MIN(Z$10:OFFSET(Z$10,$W$5-1,0,1,1))-MAX(Z$10:OFFSET(Z$10,$W$5-1,0,1,1)))),"")</f>
        <v/>
      </c>
      <c r="AA114" s="221" t="str">
        <f ca="1">IF(AND(ISNUMBER($V114),(ISNUMBER(AA$5))),IF(AA$7=1,(AA58-MIN(AA$10:OFFSET(AA$10,$W$5-1,0,1,1)))/(MAX(AA$10:OFFSET(AA$10,$W$5-1,0,1,1))-MIN(AA$10:OFFSET(AA$10,$W$5-1,0,1,1))),(AA58-MAX(AA$10:OFFSET(AA$10,$W$5-1,0,1,1)))/(MIN(AA$10:OFFSET(AA$10,$W$5-1,0,1,1))-MAX(AA$10:OFFSET(AA$10,$W$5-1,0,1,1)))),"")</f>
        <v/>
      </c>
      <c r="AB114" s="221" t="str">
        <f ca="1">IF(AND(ISNUMBER($V114),(ISNUMBER(AB$5))),IF(AB$7=1,(AB58-MIN(AB$10:OFFSET(AB$10,$W$5-1,0,1,1)))/(MAX(AB$10:OFFSET(AB$10,$W$5-1,0,1,1))-MIN(AB$10:OFFSET(AB$10,$W$5-1,0,1,1))),(AB58-MAX(AB$10:OFFSET(AB$10,$W$5-1,0,1,1)))/(MIN(AB$10:OFFSET(AB$10,$W$5-1,0,1,1))-MAX(AB$10:OFFSET(AB$10,$W$5-1,0,1,1)))),"")</f>
        <v/>
      </c>
      <c r="AC114" s="221" t="str">
        <f ca="1">IF(AND(ISNUMBER($V114),(ISNUMBER(AC$5))),IF(AC$7=1,(AC58-MIN(AC$10:OFFSET(AC$10,$W$5-1,0,1,1)))/(MAX(AC$10:OFFSET(AC$10,$W$5-1,0,1,1))-MIN(AC$10:OFFSET(AC$10,$W$5-1,0,1,1))),(AC58-MAX(AC$10:OFFSET(AC$10,$W$5-1,0,1,1)))/(MIN(AC$10:OFFSET(AC$10,$W$5-1,0,1,1))-MAX(AC$10:OFFSET(AC$10,$W$5-1,0,1,1)))),"")</f>
        <v/>
      </c>
    </row>
    <row r="115" spans="1:30" ht="15" customHeight="1" thickBot="1">
      <c r="A115" s="199"/>
      <c r="B115" s="206" t="str">
        <f t="shared" si="5"/>
        <v/>
      </c>
      <c r="C115" s="220">
        <f t="shared" si="6"/>
        <v>0</v>
      </c>
      <c r="D115" s="221" t="str">
        <f ca="1">IF(AND(ISNUMBER($B115),(ISNUMBER(D$5))),IF(D$7=1,(D59-MIN(D$10:OFFSET(D$10,$C$5-1,0,1,1)))/(MAX(D$10:OFFSET(D$10,$C$5-1,0,1,1))-MIN(D$10:OFFSET(D$10,$C$5-1,0,1,1))),(D59-MAX(D$10:OFFSET(D$10,$C$5-1,0,1,1)))/(MIN(D$10:OFFSET(D$10,$C$5-1,0,1,1))-MAX(D$10:OFFSET(D$10,$C$5-1,0,1,1)))),"")</f>
        <v/>
      </c>
      <c r="E115" s="221" t="str">
        <f ca="1">IF(AND(ISNUMBER($B115),(ISNUMBER(E$5))),IF(E$7=1,(E59-MIN(E$10:OFFSET(E$10,$C$5-1,0,1,1)))/(MAX(E$10:OFFSET(E$10,$C$5-1,0,1,1))-MIN(E$10:OFFSET(E$10,$C$5-1,0,1,1))),(E59-MAX(E$10:OFFSET(E$10,$C$5-1,0,1,1)))/(MIN(E$10:OFFSET(E$10,$C$5-1,0,1,1))-MAX(E$10:OFFSET(E$10,$C$5-1,0,1,1)))),"")</f>
        <v/>
      </c>
      <c r="F115" s="221" t="str">
        <f ca="1">IF(AND(ISNUMBER($B115),(ISNUMBER(F$5))),IF(F$7=1,(F59-MIN(F$10:OFFSET(F$10,$C$5-1,0,1,1)))/(MAX(F$10:OFFSET(F$10,$C$5-1,0,1,1))-MIN(F$10:OFFSET(F$10,$C$5-1,0,1,1))),(F59-MAX(F$10:OFFSET(F$10,$C$5-1,0,1,1)))/(MIN(F$10:OFFSET(F$10,$C$5-1,0,1,1))-MAX(F$10:OFFSET(F$10,$C$5-1,0,1,1)))),"")</f>
        <v/>
      </c>
      <c r="G115" s="221" t="str">
        <f ca="1">IF(AND(ISNUMBER($B115),(ISNUMBER(G$5))),IF(G$7=1,(G59-MIN(G$10:OFFSET(G$10,$C$5-1,0,1,1)))/(MAX(G$10:OFFSET(G$10,$C$5-1,0,1,1))-MIN(G$10:OFFSET(G$10,$C$5-1,0,1,1))),(G59-MAX(G$10:OFFSET(G$10,$C$5-1,0,1,1)))/(MIN(G$10:OFFSET(G$10,$C$5-1,0,1,1))-MAX(G$10:OFFSET(G$10,$C$5-1,0,1,1)))),"")</f>
        <v/>
      </c>
      <c r="H115" s="221" t="str">
        <f ca="1">IF(AND(ISNUMBER($B115),(ISNUMBER(H$5))),IF(H$7=1,(H59-MIN(H$10:OFFSET(H$10,$C$5-1,0,1,1)))/(MAX(H$10:OFFSET(H$10,$C$5-1,0,1,1))-MIN(H$10:OFFSET(H$10,$C$5-1,0,1,1))),(H59-MAX(H$10:OFFSET(H$10,$C$5-1,0,1,1)))/(MIN(H$10:OFFSET(H$10,$C$5-1,0,1,1))-MAX(H$10:OFFSET(H$10,$C$5-1,0,1,1)))),"")</f>
        <v/>
      </c>
      <c r="I115" s="221" t="str">
        <f ca="1">IF(AND(ISNUMBER($B115),(ISNUMBER(I$5))),IF(I$7=1,(I59-MIN(I$10:OFFSET(I$10,$C$5-1,0,1,1)))/(MAX(I$10:OFFSET(I$10,$C$5-1,0,1,1))-MIN(I$10:OFFSET(I$10,$C$5-1,0,1,1))),(I59-MAX(I$10:OFFSET(I$10,$C$5-1,0,1,1)))/(MIN(I$10:OFFSET(I$10,$C$5-1,0,1,1))-MAX(I$10:OFFSET(I$10,$C$5-1,0,1,1)))),"")</f>
        <v/>
      </c>
      <c r="J115" s="187"/>
      <c r="K115" s="199"/>
      <c r="L115" s="206" t="str">
        <f t="shared" si="11"/>
        <v/>
      </c>
      <c r="M115" s="220">
        <f t="shared" si="9"/>
        <v>0</v>
      </c>
      <c r="N115" s="221" t="str">
        <f ca="1">IF(AND(ISNUMBER($L115),(ISNUMBER(N$5))),IF(N$7=1,(N59-MIN(N$10:OFFSET(N$10,$M$5-1,0,1,1)))/(MAX(N$10:OFFSET(N$10,$M$5-1,0,1,1))-MIN(N$10:OFFSET(N$10,$M$5-1,0,1,1))),(N59-MAX(N$10:OFFSET(N$10,$M$5-1,0,1,1)))/(MIN(N$10:OFFSET(N$10,$M$5-1,0,1,1))-MAX(N$10:OFFSET(N$10,$M$5-1,0,1,1)))),"")</f>
        <v/>
      </c>
      <c r="O115" s="221" t="str">
        <f ca="1">IF(AND(ISNUMBER($L115),(ISNUMBER(O$5))),IF(O$7=1,(O59-MIN(O$10:OFFSET(O$10,$M$5-1,0,1,1)))/(MAX(O$10:OFFSET(O$10,$M$5-1,0,1,1))-MIN(O$10:OFFSET(O$10,$M$5-1,0,1,1))),(O59-MAX(O$10:OFFSET(O$10,$M$5-1,0,1,1)))/(MIN(O$10:OFFSET(O$10,$M$5-1,0,1,1))-MAX(O$10:OFFSET(O$10,$M$5-1,0,1,1)))),"")</f>
        <v/>
      </c>
      <c r="P115" s="221" t="str">
        <f ca="1">IF(AND(ISNUMBER($L115),(ISNUMBER(P$5))),IF(P$7=1,(P59-MIN(P$10:OFFSET(P$10,$M$5-1,0,1,1)))/(MAX(P$10:OFFSET(P$10,$M$5-1,0,1,1))-MIN(P$10:OFFSET(P$10,$M$5-1,0,1,1))),(P59-MAX(P$10:OFFSET(P$10,$M$5-1,0,1,1)))/(MIN(P$10:OFFSET(P$10,$M$5-1,0,1,1))-MAX(P$10:OFFSET(P$10,$M$5-1,0,1,1)))),"")</f>
        <v/>
      </c>
      <c r="Q115" s="221" t="str">
        <f ca="1">IF(AND(ISNUMBER($L115),(ISNUMBER(Q$5))),IF(Q$7=1,(Q59-MIN(Q$10:OFFSET(Q$10,$M$5-1,0,1,1)))/(MAX(Q$10:OFFSET(Q$10,$M$5-1,0,1,1))-MIN(Q$10:OFFSET(Q$10,$M$5-1,0,1,1))),(Q59-MAX(Q$10:OFFSET(Q$10,$M$5-1,0,1,1)))/(MIN(Q$10:OFFSET(Q$10,$M$5-1,0,1,1))-MAX(Q$10:OFFSET(Q$10,$M$5-1,0,1,1)))),"")</f>
        <v/>
      </c>
      <c r="R115" s="221" t="str">
        <f ca="1">IF(AND(ISNUMBER($L115),(ISNUMBER(R$5))),IF(R$7=1,(R59-MIN(R$10:OFFSET(R$10,$M$5-1,0,1,1)))/(MAX(R$10:OFFSET(R$10,$M$5-1,0,1,1))-MIN(R$10:OFFSET(R$10,$M$5-1,0,1,1))),(R59-MAX(R$10:OFFSET(R$10,$M$5-1,0,1,1)))/(MIN(R$10:OFFSET(R$10,$M$5-1,0,1,1))-MAX(R$10:OFFSET(R$10,$M$5-1,0,1,1)))),"")</f>
        <v/>
      </c>
      <c r="S115" s="221" t="str">
        <f ca="1">IF(AND(ISNUMBER($L115),(ISNUMBER(S$5))),IF(S$7=1,(S59-MIN(S$10:OFFSET(S$10,$M$5-1,0,1,1)))/(MAX(S$10:OFFSET(S$10,$M$5-1,0,1,1))-MIN(S$10:OFFSET(S$10,$M$5-1,0,1,1))),(S59-MAX(S$10:OFFSET(S$10,$M$5-1,0,1,1)))/(MIN(S$10:OFFSET(S$10,$M$5-1,0,1,1))-MAX(S$10:OFFSET(S$10,$M$5-1,0,1,1)))),"")</f>
        <v/>
      </c>
      <c r="T115" s="187"/>
      <c r="U115" s="199"/>
      <c r="V115" s="206" t="str">
        <f t="shared" si="12"/>
        <v/>
      </c>
      <c r="W115" s="220">
        <f t="shared" si="10"/>
        <v>0</v>
      </c>
      <c r="X115" s="221" t="str">
        <f ca="1">IF(AND(ISNUMBER($V115),(ISNUMBER(X$5))),IF(X$7=1,(X59-MIN(X$10:OFFSET(X$10,$W$5-1,0,1,1)))/(MAX(X$10:OFFSET(X$10,$W$5-1,0,1,1))-MIN(X$10:OFFSET(X$10,$W$5-1,0,1,1))),(X59-MAX(X$10:OFFSET(X$10,$W$5-1,0,1,1)))/(MIN(X$10:OFFSET(X$10,$W$5-1,0,1,1))-MAX(X$10:OFFSET(X$10,$W$5-1,0,1,1)))),"")</f>
        <v/>
      </c>
      <c r="Y115" s="221" t="str">
        <f ca="1">IF(AND(ISNUMBER($V115),(ISNUMBER(Y$5))),IF(Y$7=1,(Y59-MIN(Y$10:OFFSET(Y$10,$W$5-1,0,1,1)))/(MAX(Y$10:OFFSET(Y$10,$W$5-1,0,1,1))-MIN(Y$10:OFFSET(Y$10,$W$5-1,0,1,1))),(Y59-MAX(Y$10:OFFSET(Y$10,$W$5-1,0,1,1)))/(MIN(Y$10:OFFSET(Y$10,$W$5-1,0,1,1))-MAX(Y$10:OFFSET(Y$10,$W$5-1,0,1,1)))),"")</f>
        <v/>
      </c>
      <c r="Z115" s="221" t="str">
        <f ca="1">IF(AND(ISNUMBER($V115),(ISNUMBER(Z$5))),IF(Z$7=1,(Z59-MIN(Z$10:OFFSET(Z$10,$W$5-1,0,1,1)))/(MAX(Z$10:OFFSET(Z$10,$W$5-1,0,1,1))-MIN(Z$10:OFFSET(Z$10,$W$5-1,0,1,1))),(Z59-MAX(Z$10:OFFSET(Z$10,$W$5-1,0,1,1)))/(MIN(Z$10:OFFSET(Z$10,$W$5-1,0,1,1))-MAX(Z$10:OFFSET(Z$10,$W$5-1,0,1,1)))),"")</f>
        <v/>
      </c>
      <c r="AA115" s="221" t="str">
        <f ca="1">IF(AND(ISNUMBER($V115),(ISNUMBER(AA$5))),IF(AA$7=1,(AA59-MIN(AA$10:OFFSET(AA$10,$W$5-1,0,1,1)))/(MAX(AA$10:OFFSET(AA$10,$W$5-1,0,1,1))-MIN(AA$10:OFFSET(AA$10,$W$5-1,0,1,1))),(AA59-MAX(AA$10:OFFSET(AA$10,$W$5-1,0,1,1)))/(MIN(AA$10:OFFSET(AA$10,$W$5-1,0,1,1))-MAX(AA$10:OFFSET(AA$10,$W$5-1,0,1,1)))),"")</f>
        <v/>
      </c>
      <c r="AB115" s="221" t="str">
        <f ca="1">IF(AND(ISNUMBER($V115),(ISNUMBER(AB$5))),IF(AB$7=1,(AB59-MIN(AB$10:OFFSET(AB$10,$W$5-1,0,1,1)))/(MAX(AB$10:OFFSET(AB$10,$W$5-1,0,1,1))-MIN(AB$10:OFFSET(AB$10,$W$5-1,0,1,1))),(AB59-MAX(AB$10:OFFSET(AB$10,$W$5-1,0,1,1)))/(MIN(AB$10:OFFSET(AB$10,$W$5-1,0,1,1))-MAX(AB$10:OFFSET(AB$10,$W$5-1,0,1,1)))),"")</f>
        <v/>
      </c>
      <c r="AC115" s="221" t="str">
        <f ca="1">IF(AND(ISNUMBER($V115),(ISNUMBER(AC$5))),IF(AC$7=1,(AC59-MIN(AC$10:OFFSET(AC$10,$W$5-1,0,1,1)))/(MAX(AC$10:OFFSET(AC$10,$W$5-1,0,1,1))-MIN(AC$10:OFFSET(AC$10,$W$5-1,0,1,1))),(AC59-MAX(AC$10:OFFSET(AC$10,$W$5-1,0,1,1)))/(MIN(AC$10:OFFSET(AC$10,$W$5-1,0,1,1))-MAX(AC$10:OFFSET(AC$10,$W$5-1,0,1,1)))),"")</f>
        <v/>
      </c>
    </row>
    <row r="116" spans="1:30" ht="15" customHeight="1" thickBot="1">
      <c r="A116" s="199"/>
      <c r="B116" s="206" t="str">
        <f t="shared" si="5"/>
        <v/>
      </c>
      <c r="C116" s="220">
        <f t="shared" si="6"/>
        <v>0</v>
      </c>
      <c r="D116" s="221" t="str">
        <f ca="1">IF(AND(ISNUMBER($B116),(ISNUMBER(D$5))),IF(D$7=1,(D60-MIN(D$10:OFFSET(D$10,$C$5-1,0,1,1)))/(MAX(D$10:OFFSET(D$10,$C$5-1,0,1,1))-MIN(D$10:OFFSET(D$10,$C$5-1,0,1,1))),(D60-MAX(D$10:OFFSET(D$10,$C$5-1,0,1,1)))/(MIN(D$10:OFFSET(D$10,$C$5-1,0,1,1))-MAX(D$10:OFFSET(D$10,$C$5-1,0,1,1)))),"")</f>
        <v/>
      </c>
      <c r="E116" s="221" t="str">
        <f ca="1">IF(AND(ISNUMBER($B116),(ISNUMBER(E$5))),IF(E$7=1,(E60-MIN(E$10:OFFSET(E$10,$C$5-1,0,1,1)))/(MAX(E$10:OFFSET(E$10,$C$5-1,0,1,1))-MIN(E$10:OFFSET(E$10,$C$5-1,0,1,1))),(E60-MAX(E$10:OFFSET(E$10,$C$5-1,0,1,1)))/(MIN(E$10:OFFSET(E$10,$C$5-1,0,1,1))-MAX(E$10:OFFSET(E$10,$C$5-1,0,1,1)))),"")</f>
        <v/>
      </c>
      <c r="F116" s="221" t="str">
        <f ca="1">IF(AND(ISNUMBER($B116),(ISNUMBER(F$5))),IF(F$7=1,(F60-MIN(F$10:OFFSET(F$10,$C$5-1,0,1,1)))/(MAX(F$10:OFFSET(F$10,$C$5-1,0,1,1))-MIN(F$10:OFFSET(F$10,$C$5-1,0,1,1))),(F60-MAX(F$10:OFFSET(F$10,$C$5-1,0,1,1)))/(MIN(F$10:OFFSET(F$10,$C$5-1,0,1,1))-MAX(F$10:OFFSET(F$10,$C$5-1,0,1,1)))),"")</f>
        <v/>
      </c>
      <c r="G116" s="221" t="str">
        <f ca="1">IF(AND(ISNUMBER($B116),(ISNUMBER(G$5))),IF(G$7=1,(G60-MIN(G$10:OFFSET(G$10,$C$5-1,0,1,1)))/(MAX(G$10:OFFSET(G$10,$C$5-1,0,1,1))-MIN(G$10:OFFSET(G$10,$C$5-1,0,1,1))),(G60-MAX(G$10:OFFSET(G$10,$C$5-1,0,1,1)))/(MIN(G$10:OFFSET(G$10,$C$5-1,0,1,1))-MAX(G$10:OFFSET(G$10,$C$5-1,0,1,1)))),"")</f>
        <v/>
      </c>
      <c r="H116" s="221" t="str">
        <f ca="1">IF(AND(ISNUMBER($B116),(ISNUMBER(H$5))),IF(H$7=1,(H60-MIN(H$10:OFFSET(H$10,$C$5-1,0,1,1)))/(MAX(H$10:OFFSET(H$10,$C$5-1,0,1,1))-MIN(H$10:OFFSET(H$10,$C$5-1,0,1,1))),(H60-MAX(H$10:OFFSET(H$10,$C$5-1,0,1,1)))/(MIN(H$10:OFFSET(H$10,$C$5-1,0,1,1))-MAX(H$10:OFFSET(H$10,$C$5-1,0,1,1)))),"")</f>
        <v/>
      </c>
      <c r="I116" s="221" t="str">
        <f ca="1">IF(AND(ISNUMBER($B116),(ISNUMBER(I$5))),IF(I$7=1,(I60-MIN(I$10:OFFSET(I$10,$C$5-1,0,1,1)))/(MAX(I$10:OFFSET(I$10,$C$5-1,0,1,1))-MIN(I$10:OFFSET(I$10,$C$5-1,0,1,1))),(I60-MAX(I$10:OFFSET(I$10,$C$5-1,0,1,1)))/(MIN(I$10:OFFSET(I$10,$C$5-1,0,1,1))-MAX(I$10:OFFSET(I$10,$C$5-1,0,1,1)))),"")</f>
        <v/>
      </c>
      <c r="J116" s="187"/>
      <c r="K116" s="199"/>
      <c r="L116" s="206" t="str">
        <f t="shared" si="11"/>
        <v/>
      </c>
      <c r="M116" s="220">
        <f t="shared" si="9"/>
        <v>0</v>
      </c>
      <c r="N116" s="221" t="str">
        <f ca="1">IF(AND(ISNUMBER($L116),(ISNUMBER(N$5))),IF(N$7=1,(N60-MIN(N$10:OFFSET(N$10,$M$5-1,0,1,1)))/(MAX(N$10:OFFSET(N$10,$M$5-1,0,1,1))-MIN(N$10:OFFSET(N$10,$M$5-1,0,1,1))),(N60-MAX(N$10:OFFSET(N$10,$M$5-1,0,1,1)))/(MIN(N$10:OFFSET(N$10,$M$5-1,0,1,1))-MAX(N$10:OFFSET(N$10,$M$5-1,0,1,1)))),"")</f>
        <v/>
      </c>
      <c r="O116" s="221" t="str">
        <f ca="1">IF(AND(ISNUMBER($L116),(ISNUMBER(O$5))),IF(O$7=1,(O60-MIN(O$10:OFFSET(O$10,$M$5-1,0,1,1)))/(MAX(O$10:OFFSET(O$10,$M$5-1,0,1,1))-MIN(O$10:OFFSET(O$10,$M$5-1,0,1,1))),(O60-MAX(O$10:OFFSET(O$10,$M$5-1,0,1,1)))/(MIN(O$10:OFFSET(O$10,$M$5-1,0,1,1))-MAX(O$10:OFFSET(O$10,$M$5-1,0,1,1)))),"")</f>
        <v/>
      </c>
      <c r="P116" s="221" t="str">
        <f ca="1">IF(AND(ISNUMBER($L116),(ISNUMBER(P$5))),IF(P$7=1,(P60-MIN(P$10:OFFSET(P$10,$M$5-1,0,1,1)))/(MAX(P$10:OFFSET(P$10,$M$5-1,0,1,1))-MIN(P$10:OFFSET(P$10,$M$5-1,0,1,1))),(P60-MAX(P$10:OFFSET(P$10,$M$5-1,0,1,1)))/(MIN(P$10:OFFSET(P$10,$M$5-1,0,1,1))-MAX(P$10:OFFSET(P$10,$M$5-1,0,1,1)))),"")</f>
        <v/>
      </c>
      <c r="Q116" s="221" t="str">
        <f ca="1">IF(AND(ISNUMBER($L116),(ISNUMBER(Q$5))),IF(Q$7=1,(Q60-MIN(Q$10:OFFSET(Q$10,$M$5-1,0,1,1)))/(MAX(Q$10:OFFSET(Q$10,$M$5-1,0,1,1))-MIN(Q$10:OFFSET(Q$10,$M$5-1,0,1,1))),(Q60-MAX(Q$10:OFFSET(Q$10,$M$5-1,0,1,1)))/(MIN(Q$10:OFFSET(Q$10,$M$5-1,0,1,1))-MAX(Q$10:OFFSET(Q$10,$M$5-1,0,1,1)))),"")</f>
        <v/>
      </c>
      <c r="R116" s="221" t="str">
        <f ca="1">IF(AND(ISNUMBER($L116),(ISNUMBER(R$5))),IF(R$7=1,(R60-MIN(R$10:OFFSET(R$10,$M$5-1,0,1,1)))/(MAX(R$10:OFFSET(R$10,$M$5-1,0,1,1))-MIN(R$10:OFFSET(R$10,$M$5-1,0,1,1))),(R60-MAX(R$10:OFFSET(R$10,$M$5-1,0,1,1)))/(MIN(R$10:OFFSET(R$10,$M$5-1,0,1,1))-MAX(R$10:OFFSET(R$10,$M$5-1,0,1,1)))),"")</f>
        <v/>
      </c>
      <c r="S116" s="221" t="str">
        <f ca="1">IF(AND(ISNUMBER($L116),(ISNUMBER(S$5))),IF(S$7=1,(S60-MIN(S$10:OFFSET(S$10,$M$5-1,0,1,1)))/(MAX(S$10:OFFSET(S$10,$M$5-1,0,1,1))-MIN(S$10:OFFSET(S$10,$M$5-1,0,1,1))),(S60-MAX(S$10:OFFSET(S$10,$M$5-1,0,1,1)))/(MIN(S$10:OFFSET(S$10,$M$5-1,0,1,1))-MAX(S$10:OFFSET(S$10,$M$5-1,0,1,1)))),"")</f>
        <v/>
      </c>
      <c r="T116" s="187"/>
      <c r="U116" s="199"/>
      <c r="V116" s="206" t="str">
        <f t="shared" si="12"/>
        <v/>
      </c>
      <c r="W116" s="220">
        <f t="shared" si="10"/>
        <v>0</v>
      </c>
      <c r="X116" s="221" t="str">
        <f ca="1">IF(AND(ISNUMBER($V116),(ISNUMBER(X$5))),IF(X$7=1,(X60-MIN(X$10:OFFSET(X$10,$W$5-1,0,1,1)))/(MAX(X$10:OFFSET(X$10,$W$5-1,0,1,1))-MIN(X$10:OFFSET(X$10,$W$5-1,0,1,1))),(X60-MAX(X$10:OFFSET(X$10,$W$5-1,0,1,1)))/(MIN(X$10:OFFSET(X$10,$W$5-1,0,1,1))-MAX(X$10:OFFSET(X$10,$W$5-1,0,1,1)))),"")</f>
        <v/>
      </c>
      <c r="Y116" s="221" t="str">
        <f ca="1">IF(AND(ISNUMBER($V116),(ISNUMBER(Y$5))),IF(Y$7=1,(Y60-MIN(Y$10:OFFSET(Y$10,$W$5-1,0,1,1)))/(MAX(Y$10:OFFSET(Y$10,$W$5-1,0,1,1))-MIN(Y$10:OFFSET(Y$10,$W$5-1,0,1,1))),(Y60-MAX(Y$10:OFFSET(Y$10,$W$5-1,0,1,1)))/(MIN(Y$10:OFFSET(Y$10,$W$5-1,0,1,1))-MAX(Y$10:OFFSET(Y$10,$W$5-1,0,1,1)))),"")</f>
        <v/>
      </c>
      <c r="Z116" s="221" t="str">
        <f ca="1">IF(AND(ISNUMBER($V116),(ISNUMBER(Z$5))),IF(Z$7=1,(Z60-MIN(Z$10:OFFSET(Z$10,$W$5-1,0,1,1)))/(MAX(Z$10:OFFSET(Z$10,$W$5-1,0,1,1))-MIN(Z$10:OFFSET(Z$10,$W$5-1,0,1,1))),(Z60-MAX(Z$10:OFFSET(Z$10,$W$5-1,0,1,1)))/(MIN(Z$10:OFFSET(Z$10,$W$5-1,0,1,1))-MAX(Z$10:OFFSET(Z$10,$W$5-1,0,1,1)))),"")</f>
        <v/>
      </c>
      <c r="AA116" s="221" t="str">
        <f ca="1">IF(AND(ISNUMBER($V116),(ISNUMBER(AA$5))),IF(AA$7=1,(AA60-MIN(AA$10:OFFSET(AA$10,$W$5-1,0,1,1)))/(MAX(AA$10:OFFSET(AA$10,$W$5-1,0,1,1))-MIN(AA$10:OFFSET(AA$10,$W$5-1,0,1,1))),(AA60-MAX(AA$10:OFFSET(AA$10,$W$5-1,0,1,1)))/(MIN(AA$10:OFFSET(AA$10,$W$5-1,0,1,1))-MAX(AA$10:OFFSET(AA$10,$W$5-1,0,1,1)))),"")</f>
        <v/>
      </c>
      <c r="AB116" s="221" t="str">
        <f ca="1">IF(AND(ISNUMBER($V116),(ISNUMBER(AB$5))),IF(AB$7=1,(AB60-MIN(AB$10:OFFSET(AB$10,$W$5-1,0,1,1)))/(MAX(AB$10:OFFSET(AB$10,$W$5-1,0,1,1))-MIN(AB$10:OFFSET(AB$10,$W$5-1,0,1,1))),(AB60-MAX(AB$10:OFFSET(AB$10,$W$5-1,0,1,1)))/(MIN(AB$10:OFFSET(AB$10,$W$5-1,0,1,1))-MAX(AB$10:OFFSET(AB$10,$W$5-1,0,1,1)))),"")</f>
        <v/>
      </c>
      <c r="AC116" s="221" t="str">
        <f ca="1">IF(AND(ISNUMBER($V116),(ISNUMBER(AC$5))),IF(AC$7=1,(AC60-MIN(AC$10:OFFSET(AC$10,$W$5-1,0,1,1)))/(MAX(AC$10:OFFSET(AC$10,$W$5-1,0,1,1))-MIN(AC$10:OFFSET(AC$10,$W$5-1,0,1,1))),(AC60-MAX(AC$10:OFFSET(AC$10,$W$5-1,0,1,1)))/(MIN(AC$10:OFFSET(AC$10,$W$5-1,0,1,1))-MAX(AC$10:OFFSET(AC$10,$W$5-1,0,1,1)))),"")</f>
        <v/>
      </c>
    </row>
    <row r="117" spans="1:30" ht="15" customHeight="1" thickBot="1">
      <c r="A117" s="199"/>
      <c r="B117" s="206" t="str">
        <f t="shared" si="5"/>
        <v/>
      </c>
      <c r="C117" s="220">
        <f t="shared" si="6"/>
        <v>0</v>
      </c>
      <c r="D117" s="221" t="str">
        <f ca="1">IF(AND(ISNUMBER($B117),(ISNUMBER(D$5))),IF(D$7=1,(D61-MIN(D$10:OFFSET(D$10,$C$5-1,0,1,1)))/(MAX(D$10:OFFSET(D$10,$C$5-1,0,1,1))-MIN(D$10:OFFSET(D$10,$C$5-1,0,1,1))),(D61-MAX(D$10:OFFSET(D$10,$C$5-1,0,1,1)))/(MIN(D$10:OFFSET(D$10,$C$5-1,0,1,1))-MAX(D$10:OFFSET(D$10,$C$5-1,0,1,1)))),"")</f>
        <v/>
      </c>
      <c r="E117" s="221" t="str">
        <f ca="1">IF(AND(ISNUMBER($B117),(ISNUMBER(E$5))),IF(E$7=1,(E61-MIN(E$10:OFFSET(E$10,$C$5-1,0,1,1)))/(MAX(E$10:OFFSET(E$10,$C$5-1,0,1,1))-MIN(E$10:OFFSET(E$10,$C$5-1,0,1,1))),(E61-MAX(E$10:OFFSET(E$10,$C$5-1,0,1,1)))/(MIN(E$10:OFFSET(E$10,$C$5-1,0,1,1))-MAX(E$10:OFFSET(E$10,$C$5-1,0,1,1)))),"")</f>
        <v/>
      </c>
      <c r="F117" s="221" t="str">
        <f ca="1">IF(AND(ISNUMBER($B117),(ISNUMBER(F$5))),IF(F$7=1,(F61-MIN(F$10:OFFSET(F$10,$C$5-1,0,1,1)))/(MAX(F$10:OFFSET(F$10,$C$5-1,0,1,1))-MIN(F$10:OFFSET(F$10,$C$5-1,0,1,1))),(F61-MAX(F$10:OFFSET(F$10,$C$5-1,0,1,1)))/(MIN(F$10:OFFSET(F$10,$C$5-1,0,1,1))-MAX(F$10:OFFSET(F$10,$C$5-1,0,1,1)))),"")</f>
        <v/>
      </c>
      <c r="G117" s="221" t="str">
        <f ca="1">IF(AND(ISNUMBER($B117),(ISNUMBER(G$5))),IF(G$7=1,(G61-MIN(G$10:OFFSET(G$10,$C$5-1,0,1,1)))/(MAX(G$10:OFFSET(G$10,$C$5-1,0,1,1))-MIN(G$10:OFFSET(G$10,$C$5-1,0,1,1))),(G61-MAX(G$10:OFFSET(G$10,$C$5-1,0,1,1)))/(MIN(G$10:OFFSET(G$10,$C$5-1,0,1,1))-MAX(G$10:OFFSET(G$10,$C$5-1,0,1,1)))),"")</f>
        <v/>
      </c>
      <c r="H117" s="221" t="str">
        <f ca="1">IF(AND(ISNUMBER($B117),(ISNUMBER(H$5))),IF(H$7=1,(H61-MIN(H$10:OFFSET(H$10,$C$5-1,0,1,1)))/(MAX(H$10:OFFSET(H$10,$C$5-1,0,1,1))-MIN(H$10:OFFSET(H$10,$C$5-1,0,1,1))),(H61-MAX(H$10:OFFSET(H$10,$C$5-1,0,1,1)))/(MIN(H$10:OFFSET(H$10,$C$5-1,0,1,1))-MAX(H$10:OFFSET(H$10,$C$5-1,0,1,1)))),"")</f>
        <v/>
      </c>
      <c r="I117" s="221" t="str">
        <f ca="1">IF(AND(ISNUMBER($B117),(ISNUMBER(I$5))),IF(I$7=1,(I61-MIN(I$10:OFFSET(I$10,$C$5-1,0,1,1)))/(MAX(I$10:OFFSET(I$10,$C$5-1,0,1,1))-MIN(I$10:OFFSET(I$10,$C$5-1,0,1,1))),(I61-MAX(I$10:OFFSET(I$10,$C$5-1,0,1,1)))/(MIN(I$10:OFFSET(I$10,$C$5-1,0,1,1))-MAX(I$10:OFFSET(I$10,$C$5-1,0,1,1)))),"")</f>
        <v/>
      </c>
      <c r="J117" s="187"/>
      <c r="K117" s="199"/>
      <c r="L117" s="206" t="str">
        <f t="shared" si="11"/>
        <v/>
      </c>
      <c r="M117" s="220">
        <f t="shared" si="9"/>
        <v>0</v>
      </c>
      <c r="N117" s="221" t="str">
        <f ca="1">IF(AND(ISNUMBER($L117),(ISNUMBER(N$5))),IF(N$7=1,(N61-MIN(N$10:OFFSET(N$10,$M$5-1,0,1,1)))/(MAX(N$10:OFFSET(N$10,$M$5-1,0,1,1))-MIN(N$10:OFFSET(N$10,$M$5-1,0,1,1))),(N61-MAX(N$10:OFFSET(N$10,$M$5-1,0,1,1)))/(MIN(N$10:OFFSET(N$10,$M$5-1,0,1,1))-MAX(N$10:OFFSET(N$10,$M$5-1,0,1,1)))),"")</f>
        <v/>
      </c>
      <c r="O117" s="221" t="str">
        <f ca="1">IF(AND(ISNUMBER($L117),(ISNUMBER(O$5))),IF(O$7=1,(O61-MIN(O$10:OFFSET(O$10,$M$5-1,0,1,1)))/(MAX(O$10:OFFSET(O$10,$M$5-1,0,1,1))-MIN(O$10:OFFSET(O$10,$M$5-1,0,1,1))),(O61-MAX(O$10:OFFSET(O$10,$M$5-1,0,1,1)))/(MIN(O$10:OFFSET(O$10,$M$5-1,0,1,1))-MAX(O$10:OFFSET(O$10,$M$5-1,0,1,1)))),"")</f>
        <v/>
      </c>
      <c r="P117" s="221" t="str">
        <f ca="1">IF(AND(ISNUMBER($L117),(ISNUMBER(P$5))),IF(P$7=1,(P61-MIN(P$10:OFFSET(P$10,$M$5-1,0,1,1)))/(MAX(P$10:OFFSET(P$10,$M$5-1,0,1,1))-MIN(P$10:OFFSET(P$10,$M$5-1,0,1,1))),(P61-MAX(P$10:OFFSET(P$10,$M$5-1,0,1,1)))/(MIN(P$10:OFFSET(P$10,$M$5-1,0,1,1))-MAX(P$10:OFFSET(P$10,$M$5-1,0,1,1)))),"")</f>
        <v/>
      </c>
      <c r="Q117" s="221" t="str">
        <f ca="1">IF(AND(ISNUMBER($L117),(ISNUMBER(Q$5))),IF(Q$7=1,(Q61-MIN(Q$10:OFFSET(Q$10,$M$5-1,0,1,1)))/(MAX(Q$10:OFFSET(Q$10,$M$5-1,0,1,1))-MIN(Q$10:OFFSET(Q$10,$M$5-1,0,1,1))),(Q61-MAX(Q$10:OFFSET(Q$10,$M$5-1,0,1,1)))/(MIN(Q$10:OFFSET(Q$10,$M$5-1,0,1,1))-MAX(Q$10:OFFSET(Q$10,$M$5-1,0,1,1)))),"")</f>
        <v/>
      </c>
      <c r="R117" s="221" t="str">
        <f ca="1">IF(AND(ISNUMBER($L117),(ISNUMBER(R$5))),IF(R$7=1,(R61-MIN(R$10:OFFSET(R$10,$M$5-1,0,1,1)))/(MAX(R$10:OFFSET(R$10,$M$5-1,0,1,1))-MIN(R$10:OFFSET(R$10,$M$5-1,0,1,1))),(R61-MAX(R$10:OFFSET(R$10,$M$5-1,0,1,1)))/(MIN(R$10:OFFSET(R$10,$M$5-1,0,1,1))-MAX(R$10:OFFSET(R$10,$M$5-1,0,1,1)))),"")</f>
        <v/>
      </c>
      <c r="S117" s="221" t="str">
        <f ca="1">IF(AND(ISNUMBER($L117),(ISNUMBER(S$5))),IF(S$7=1,(S61-MIN(S$10:OFFSET(S$10,$M$5-1,0,1,1)))/(MAX(S$10:OFFSET(S$10,$M$5-1,0,1,1))-MIN(S$10:OFFSET(S$10,$M$5-1,0,1,1))),(S61-MAX(S$10:OFFSET(S$10,$M$5-1,0,1,1)))/(MIN(S$10:OFFSET(S$10,$M$5-1,0,1,1))-MAX(S$10:OFFSET(S$10,$M$5-1,0,1,1)))),"")</f>
        <v/>
      </c>
      <c r="T117" s="187"/>
      <c r="U117" s="199"/>
      <c r="V117" s="206" t="str">
        <f t="shared" si="12"/>
        <v/>
      </c>
      <c r="W117" s="220">
        <f t="shared" si="10"/>
        <v>0</v>
      </c>
      <c r="X117" s="221" t="str">
        <f ca="1">IF(AND(ISNUMBER($V117),(ISNUMBER(X$5))),IF(X$7=1,(X61-MIN(X$10:OFFSET(X$10,$W$5-1,0,1,1)))/(MAX(X$10:OFFSET(X$10,$W$5-1,0,1,1))-MIN(X$10:OFFSET(X$10,$W$5-1,0,1,1))),(X61-MAX(X$10:OFFSET(X$10,$W$5-1,0,1,1)))/(MIN(X$10:OFFSET(X$10,$W$5-1,0,1,1))-MAX(X$10:OFFSET(X$10,$W$5-1,0,1,1)))),"")</f>
        <v/>
      </c>
      <c r="Y117" s="221" t="str">
        <f ca="1">IF(AND(ISNUMBER($V117),(ISNUMBER(Y$5))),IF(Y$7=1,(Y61-MIN(Y$10:OFFSET(Y$10,$W$5-1,0,1,1)))/(MAX(Y$10:OFFSET(Y$10,$W$5-1,0,1,1))-MIN(Y$10:OFFSET(Y$10,$W$5-1,0,1,1))),(Y61-MAX(Y$10:OFFSET(Y$10,$W$5-1,0,1,1)))/(MIN(Y$10:OFFSET(Y$10,$W$5-1,0,1,1))-MAX(Y$10:OFFSET(Y$10,$W$5-1,0,1,1)))),"")</f>
        <v/>
      </c>
      <c r="Z117" s="221" t="str">
        <f ca="1">IF(AND(ISNUMBER($V117),(ISNUMBER(Z$5))),IF(Z$7=1,(Z61-MIN(Z$10:OFFSET(Z$10,$W$5-1,0,1,1)))/(MAX(Z$10:OFFSET(Z$10,$W$5-1,0,1,1))-MIN(Z$10:OFFSET(Z$10,$W$5-1,0,1,1))),(Z61-MAX(Z$10:OFFSET(Z$10,$W$5-1,0,1,1)))/(MIN(Z$10:OFFSET(Z$10,$W$5-1,0,1,1))-MAX(Z$10:OFFSET(Z$10,$W$5-1,0,1,1)))),"")</f>
        <v/>
      </c>
      <c r="AA117" s="221" t="str">
        <f ca="1">IF(AND(ISNUMBER($V117),(ISNUMBER(AA$5))),IF(AA$7=1,(AA61-MIN(AA$10:OFFSET(AA$10,$W$5-1,0,1,1)))/(MAX(AA$10:OFFSET(AA$10,$W$5-1,0,1,1))-MIN(AA$10:OFFSET(AA$10,$W$5-1,0,1,1))),(AA61-MAX(AA$10:OFFSET(AA$10,$W$5-1,0,1,1)))/(MIN(AA$10:OFFSET(AA$10,$W$5-1,0,1,1))-MAX(AA$10:OFFSET(AA$10,$W$5-1,0,1,1)))),"")</f>
        <v/>
      </c>
      <c r="AB117" s="221" t="str">
        <f ca="1">IF(AND(ISNUMBER($V117),(ISNUMBER(AB$5))),IF(AB$7=1,(AB61-MIN(AB$10:OFFSET(AB$10,$W$5-1,0,1,1)))/(MAX(AB$10:OFFSET(AB$10,$W$5-1,0,1,1))-MIN(AB$10:OFFSET(AB$10,$W$5-1,0,1,1))),(AB61-MAX(AB$10:OFFSET(AB$10,$W$5-1,0,1,1)))/(MIN(AB$10:OFFSET(AB$10,$W$5-1,0,1,1))-MAX(AB$10:OFFSET(AB$10,$W$5-1,0,1,1)))),"")</f>
        <v/>
      </c>
      <c r="AC117" s="221" t="str">
        <f ca="1">IF(AND(ISNUMBER($V117),(ISNUMBER(AC$5))),IF(AC$7=1,(AC61-MIN(AC$10:OFFSET(AC$10,$W$5-1,0,1,1)))/(MAX(AC$10:OFFSET(AC$10,$W$5-1,0,1,1))-MIN(AC$10:OFFSET(AC$10,$W$5-1,0,1,1))),(AC61-MAX(AC$10:OFFSET(AC$10,$W$5-1,0,1,1)))/(MIN(AC$10:OFFSET(AC$10,$W$5-1,0,1,1))-MAX(AC$10:OFFSET(AC$10,$W$5-1,0,1,1)))),"")</f>
        <v/>
      </c>
    </row>
    <row r="118" spans="1:30" ht="15" customHeight="1" thickBot="1">
      <c r="A118" s="199"/>
      <c r="B118" s="206" t="str">
        <f t="shared" si="5"/>
        <v/>
      </c>
      <c r="C118" s="220">
        <f t="shared" si="6"/>
        <v>0</v>
      </c>
      <c r="D118" s="221" t="str">
        <f ca="1">IF(AND(ISNUMBER($B118),(ISNUMBER(D$5))),IF(D$7=1,(D62-MIN(D$10:OFFSET(D$10,$C$5-1,0,1,1)))/(MAX(D$10:OFFSET(D$10,$C$5-1,0,1,1))-MIN(D$10:OFFSET(D$10,$C$5-1,0,1,1))),(D62-MAX(D$10:OFFSET(D$10,$C$5-1,0,1,1)))/(MIN(D$10:OFFSET(D$10,$C$5-1,0,1,1))-MAX(D$10:OFFSET(D$10,$C$5-1,0,1,1)))),"")</f>
        <v/>
      </c>
      <c r="E118" s="221" t="str">
        <f ca="1">IF(AND(ISNUMBER($B118),(ISNUMBER(E$5))),IF(E$7=1,(E62-MIN(E$10:OFFSET(E$10,$C$5-1,0,1,1)))/(MAX(E$10:OFFSET(E$10,$C$5-1,0,1,1))-MIN(E$10:OFFSET(E$10,$C$5-1,0,1,1))),(E62-MAX(E$10:OFFSET(E$10,$C$5-1,0,1,1)))/(MIN(E$10:OFFSET(E$10,$C$5-1,0,1,1))-MAX(E$10:OFFSET(E$10,$C$5-1,0,1,1)))),"")</f>
        <v/>
      </c>
      <c r="F118" s="221" t="str">
        <f ca="1">IF(AND(ISNUMBER($B118),(ISNUMBER(F$5))),IF(F$7=1,(F62-MIN(F$10:OFFSET(F$10,$C$5-1,0,1,1)))/(MAX(F$10:OFFSET(F$10,$C$5-1,0,1,1))-MIN(F$10:OFFSET(F$10,$C$5-1,0,1,1))),(F62-MAX(F$10:OFFSET(F$10,$C$5-1,0,1,1)))/(MIN(F$10:OFFSET(F$10,$C$5-1,0,1,1))-MAX(F$10:OFFSET(F$10,$C$5-1,0,1,1)))),"")</f>
        <v/>
      </c>
      <c r="G118" s="221" t="str">
        <f ca="1">IF(AND(ISNUMBER($B118),(ISNUMBER(G$5))),IF(G$7=1,(G62-MIN(G$10:OFFSET(G$10,$C$5-1,0,1,1)))/(MAX(G$10:OFFSET(G$10,$C$5-1,0,1,1))-MIN(G$10:OFFSET(G$10,$C$5-1,0,1,1))),(G62-MAX(G$10:OFFSET(G$10,$C$5-1,0,1,1)))/(MIN(G$10:OFFSET(G$10,$C$5-1,0,1,1))-MAX(G$10:OFFSET(G$10,$C$5-1,0,1,1)))),"")</f>
        <v/>
      </c>
      <c r="H118" s="221" t="str">
        <f ca="1">IF(AND(ISNUMBER($B118),(ISNUMBER(H$5))),IF(H$7=1,(H62-MIN(H$10:OFFSET(H$10,$C$5-1,0,1,1)))/(MAX(H$10:OFFSET(H$10,$C$5-1,0,1,1))-MIN(H$10:OFFSET(H$10,$C$5-1,0,1,1))),(H62-MAX(H$10:OFFSET(H$10,$C$5-1,0,1,1)))/(MIN(H$10:OFFSET(H$10,$C$5-1,0,1,1))-MAX(H$10:OFFSET(H$10,$C$5-1,0,1,1)))),"")</f>
        <v/>
      </c>
      <c r="I118" s="221" t="str">
        <f ca="1">IF(AND(ISNUMBER($B118),(ISNUMBER(I$5))),IF(I$7=1,(I62-MIN(I$10:OFFSET(I$10,$C$5-1,0,1,1)))/(MAX(I$10:OFFSET(I$10,$C$5-1,0,1,1))-MIN(I$10:OFFSET(I$10,$C$5-1,0,1,1))),(I62-MAX(I$10:OFFSET(I$10,$C$5-1,0,1,1)))/(MIN(I$10:OFFSET(I$10,$C$5-1,0,1,1))-MAX(I$10:OFFSET(I$10,$C$5-1,0,1,1)))),"")</f>
        <v/>
      </c>
      <c r="J118" s="187"/>
      <c r="K118" s="199"/>
      <c r="L118" s="206" t="str">
        <f t="shared" si="11"/>
        <v/>
      </c>
      <c r="M118" s="220">
        <f t="shared" si="9"/>
        <v>0</v>
      </c>
      <c r="N118" s="221" t="str">
        <f ca="1">IF(AND(ISNUMBER($L118),(ISNUMBER(N$5))),IF(N$7=1,(N62-MIN(N$10:OFFSET(N$10,$M$5-1,0,1,1)))/(MAX(N$10:OFFSET(N$10,$M$5-1,0,1,1))-MIN(N$10:OFFSET(N$10,$M$5-1,0,1,1))),(N62-MAX(N$10:OFFSET(N$10,$M$5-1,0,1,1)))/(MIN(N$10:OFFSET(N$10,$M$5-1,0,1,1))-MAX(N$10:OFFSET(N$10,$M$5-1,0,1,1)))),"")</f>
        <v/>
      </c>
      <c r="O118" s="221" t="str">
        <f ca="1">IF(AND(ISNUMBER($L118),(ISNUMBER(O$5))),IF(O$7=1,(O62-MIN(O$10:OFFSET(O$10,$M$5-1,0,1,1)))/(MAX(O$10:OFFSET(O$10,$M$5-1,0,1,1))-MIN(O$10:OFFSET(O$10,$M$5-1,0,1,1))),(O62-MAX(O$10:OFFSET(O$10,$M$5-1,0,1,1)))/(MIN(O$10:OFFSET(O$10,$M$5-1,0,1,1))-MAX(O$10:OFFSET(O$10,$M$5-1,0,1,1)))),"")</f>
        <v/>
      </c>
      <c r="P118" s="221" t="str">
        <f ca="1">IF(AND(ISNUMBER($L118),(ISNUMBER(P$5))),IF(P$7=1,(P62-MIN(P$10:OFFSET(P$10,$M$5-1,0,1,1)))/(MAX(P$10:OFFSET(P$10,$M$5-1,0,1,1))-MIN(P$10:OFFSET(P$10,$M$5-1,0,1,1))),(P62-MAX(P$10:OFFSET(P$10,$M$5-1,0,1,1)))/(MIN(P$10:OFFSET(P$10,$M$5-1,0,1,1))-MAX(P$10:OFFSET(P$10,$M$5-1,0,1,1)))),"")</f>
        <v/>
      </c>
      <c r="Q118" s="221" t="str">
        <f ca="1">IF(AND(ISNUMBER($L118),(ISNUMBER(Q$5))),IF(Q$7=1,(Q62-MIN(Q$10:OFFSET(Q$10,$M$5-1,0,1,1)))/(MAX(Q$10:OFFSET(Q$10,$M$5-1,0,1,1))-MIN(Q$10:OFFSET(Q$10,$M$5-1,0,1,1))),(Q62-MAX(Q$10:OFFSET(Q$10,$M$5-1,0,1,1)))/(MIN(Q$10:OFFSET(Q$10,$M$5-1,0,1,1))-MAX(Q$10:OFFSET(Q$10,$M$5-1,0,1,1)))),"")</f>
        <v/>
      </c>
      <c r="R118" s="221" t="str">
        <f ca="1">IF(AND(ISNUMBER($L118),(ISNUMBER(R$5))),IF(R$7=1,(R62-MIN(R$10:OFFSET(R$10,$M$5-1,0,1,1)))/(MAX(R$10:OFFSET(R$10,$M$5-1,0,1,1))-MIN(R$10:OFFSET(R$10,$M$5-1,0,1,1))),(R62-MAX(R$10:OFFSET(R$10,$M$5-1,0,1,1)))/(MIN(R$10:OFFSET(R$10,$M$5-1,0,1,1))-MAX(R$10:OFFSET(R$10,$M$5-1,0,1,1)))),"")</f>
        <v/>
      </c>
      <c r="S118" s="221" t="str">
        <f ca="1">IF(AND(ISNUMBER($L118),(ISNUMBER(S$5))),IF(S$7=1,(S62-MIN(S$10:OFFSET(S$10,$M$5-1,0,1,1)))/(MAX(S$10:OFFSET(S$10,$M$5-1,0,1,1))-MIN(S$10:OFFSET(S$10,$M$5-1,0,1,1))),(S62-MAX(S$10:OFFSET(S$10,$M$5-1,0,1,1)))/(MIN(S$10:OFFSET(S$10,$M$5-1,0,1,1))-MAX(S$10:OFFSET(S$10,$M$5-1,0,1,1)))),"")</f>
        <v/>
      </c>
      <c r="T118" s="187"/>
      <c r="U118" s="199"/>
      <c r="V118" s="206" t="str">
        <f t="shared" si="12"/>
        <v/>
      </c>
      <c r="W118" s="220">
        <f t="shared" si="10"/>
        <v>0</v>
      </c>
      <c r="X118" s="221" t="str">
        <f ca="1">IF(AND(ISNUMBER($V118),(ISNUMBER(X$5))),IF(X$7=1,(X62-MIN(X$10:OFFSET(X$10,$W$5-1,0,1,1)))/(MAX(X$10:OFFSET(X$10,$W$5-1,0,1,1))-MIN(X$10:OFFSET(X$10,$W$5-1,0,1,1))),(X62-MAX(X$10:OFFSET(X$10,$W$5-1,0,1,1)))/(MIN(X$10:OFFSET(X$10,$W$5-1,0,1,1))-MAX(X$10:OFFSET(X$10,$W$5-1,0,1,1)))),"")</f>
        <v/>
      </c>
      <c r="Y118" s="221" t="str">
        <f ca="1">IF(AND(ISNUMBER($V118),(ISNUMBER(Y$5))),IF(Y$7=1,(Y62-MIN(Y$10:OFFSET(Y$10,$W$5-1,0,1,1)))/(MAX(Y$10:OFFSET(Y$10,$W$5-1,0,1,1))-MIN(Y$10:OFFSET(Y$10,$W$5-1,0,1,1))),(Y62-MAX(Y$10:OFFSET(Y$10,$W$5-1,0,1,1)))/(MIN(Y$10:OFFSET(Y$10,$W$5-1,0,1,1))-MAX(Y$10:OFFSET(Y$10,$W$5-1,0,1,1)))),"")</f>
        <v/>
      </c>
      <c r="Z118" s="221" t="str">
        <f ca="1">IF(AND(ISNUMBER($V118),(ISNUMBER(Z$5))),IF(Z$7=1,(Z62-MIN(Z$10:OFFSET(Z$10,$W$5-1,0,1,1)))/(MAX(Z$10:OFFSET(Z$10,$W$5-1,0,1,1))-MIN(Z$10:OFFSET(Z$10,$W$5-1,0,1,1))),(Z62-MAX(Z$10:OFFSET(Z$10,$W$5-1,0,1,1)))/(MIN(Z$10:OFFSET(Z$10,$W$5-1,0,1,1))-MAX(Z$10:OFFSET(Z$10,$W$5-1,0,1,1)))),"")</f>
        <v/>
      </c>
      <c r="AA118" s="221" t="str">
        <f ca="1">IF(AND(ISNUMBER($V118),(ISNUMBER(AA$5))),IF(AA$7=1,(AA62-MIN(AA$10:OFFSET(AA$10,$W$5-1,0,1,1)))/(MAX(AA$10:OFFSET(AA$10,$W$5-1,0,1,1))-MIN(AA$10:OFFSET(AA$10,$W$5-1,0,1,1))),(AA62-MAX(AA$10:OFFSET(AA$10,$W$5-1,0,1,1)))/(MIN(AA$10:OFFSET(AA$10,$W$5-1,0,1,1))-MAX(AA$10:OFFSET(AA$10,$W$5-1,0,1,1)))),"")</f>
        <v/>
      </c>
      <c r="AB118" s="221" t="str">
        <f ca="1">IF(AND(ISNUMBER($V118),(ISNUMBER(AB$5))),IF(AB$7=1,(AB62-MIN(AB$10:OFFSET(AB$10,$W$5-1,0,1,1)))/(MAX(AB$10:OFFSET(AB$10,$W$5-1,0,1,1))-MIN(AB$10:OFFSET(AB$10,$W$5-1,0,1,1))),(AB62-MAX(AB$10:OFFSET(AB$10,$W$5-1,0,1,1)))/(MIN(AB$10:OFFSET(AB$10,$W$5-1,0,1,1))-MAX(AB$10:OFFSET(AB$10,$W$5-1,0,1,1)))),"")</f>
        <v/>
      </c>
      <c r="AC118" s="221" t="str">
        <f ca="1">IF(AND(ISNUMBER($V118),(ISNUMBER(AC$5))),IF(AC$7=1,(AC62-MIN(AC$10:OFFSET(AC$10,$W$5-1,0,1,1)))/(MAX(AC$10:OFFSET(AC$10,$W$5-1,0,1,1))-MIN(AC$10:OFFSET(AC$10,$W$5-1,0,1,1))),(AC62-MAX(AC$10:OFFSET(AC$10,$W$5-1,0,1,1)))/(MIN(AC$10:OFFSET(AC$10,$W$5-1,0,1,1))-MAX(AC$10:OFFSET(AC$10,$W$5-1,0,1,1)))),"")</f>
        <v/>
      </c>
    </row>
    <row r="119" spans="1:30" ht="15" customHeight="1">
      <c r="A119" s="199"/>
      <c r="B119" s="206" t="str">
        <f t="shared" si="5"/>
        <v/>
      </c>
      <c r="C119" s="220">
        <f t="shared" si="6"/>
        <v>0</v>
      </c>
      <c r="D119" s="221" t="str">
        <f ca="1">IF(AND(ISNUMBER($B119),(ISNUMBER(D$5))),IF(D$7=1,(D63-MIN(D$10:OFFSET(D$10,$C$5-1,0,1,1)))/(MAX(D$10:OFFSET(D$10,$C$5-1,0,1,1))-MIN(D$10:OFFSET(D$10,$C$5-1,0,1,1))),(D63-MAX(D$10:OFFSET(D$10,$C$5-1,0,1,1)))/(MIN(D$10:OFFSET(D$10,$C$5-1,0,1,1))-MAX(D$10:OFFSET(D$10,$C$5-1,0,1,1)))),"")</f>
        <v/>
      </c>
      <c r="E119" s="221" t="str">
        <f ca="1">IF(AND(ISNUMBER($B119),(ISNUMBER(E$5))),IF(E$7=1,(E63-MIN(E$10:OFFSET(E$10,$C$5-1,0,1,1)))/(MAX(E$10:OFFSET(E$10,$C$5-1,0,1,1))-MIN(E$10:OFFSET(E$10,$C$5-1,0,1,1))),(E63-MAX(E$10:OFFSET(E$10,$C$5-1,0,1,1)))/(MIN(E$10:OFFSET(E$10,$C$5-1,0,1,1))-MAX(E$10:OFFSET(E$10,$C$5-1,0,1,1)))),"")</f>
        <v/>
      </c>
      <c r="F119" s="221" t="str">
        <f ca="1">IF(AND(ISNUMBER($B119),(ISNUMBER(F$5))),IF(F$7=1,(F63-MIN(F$10:OFFSET(F$10,$C$5-1,0,1,1)))/(MAX(F$10:OFFSET(F$10,$C$5-1,0,1,1))-MIN(F$10:OFFSET(F$10,$C$5-1,0,1,1))),(F63-MAX(F$10:OFFSET(F$10,$C$5-1,0,1,1)))/(MIN(F$10:OFFSET(F$10,$C$5-1,0,1,1))-MAX(F$10:OFFSET(F$10,$C$5-1,0,1,1)))),"")</f>
        <v/>
      </c>
      <c r="G119" s="221" t="str">
        <f ca="1">IF(AND(ISNUMBER($B119),(ISNUMBER(G$5))),IF(G$7=1,(G63-MIN(G$10:OFFSET(G$10,$C$5-1,0,1,1)))/(MAX(G$10:OFFSET(G$10,$C$5-1,0,1,1))-MIN(G$10:OFFSET(G$10,$C$5-1,0,1,1))),(G63-MAX(G$10:OFFSET(G$10,$C$5-1,0,1,1)))/(MIN(G$10:OFFSET(G$10,$C$5-1,0,1,1))-MAX(G$10:OFFSET(G$10,$C$5-1,0,1,1)))),"")</f>
        <v/>
      </c>
      <c r="H119" s="221" t="str">
        <f ca="1">IF(AND(ISNUMBER($B119),(ISNUMBER(H$5))),IF(H$7=1,(H63-MIN(H$10:OFFSET(H$10,$C$5-1,0,1,1)))/(MAX(H$10:OFFSET(H$10,$C$5-1,0,1,1))-MIN(H$10:OFFSET(H$10,$C$5-1,0,1,1))),(H63-MAX(H$10:OFFSET(H$10,$C$5-1,0,1,1)))/(MIN(H$10:OFFSET(H$10,$C$5-1,0,1,1))-MAX(H$10:OFFSET(H$10,$C$5-1,0,1,1)))),"")</f>
        <v/>
      </c>
      <c r="I119" s="221" t="str">
        <f ca="1">IF(AND(ISNUMBER($B119),(ISNUMBER(I$5))),IF(I$7=1,(I63-MIN(I$10:OFFSET(I$10,$C$5-1,0,1,1)))/(MAX(I$10:OFFSET(I$10,$C$5-1,0,1,1))-MIN(I$10:OFFSET(I$10,$C$5-1,0,1,1))),(I63-MAX(I$10:OFFSET(I$10,$C$5-1,0,1,1)))/(MIN(I$10:OFFSET(I$10,$C$5-1,0,1,1))-MAX(I$10:OFFSET(I$10,$C$5-1,0,1,1)))),"")</f>
        <v/>
      </c>
      <c r="J119" s="187"/>
      <c r="K119" s="199"/>
      <c r="L119" s="206" t="str">
        <f t="shared" si="11"/>
        <v/>
      </c>
      <c r="M119" s="220">
        <f t="shared" si="9"/>
        <v>0</v>
      </c>
      <c r="N119" s="221" t="str">
        <f ca="1">IF(AND(ISNUMBER($L119),(ISNUMBER(N$5))),IF(N$7=1,(N63-MIN(N$10:OFFSET(N$10,$M$5-1,0,1,1)))/(MAX(N$10:OFFSET(N$10,$M$5-1,0,1,1))-MIN(N$10:OFFSET(N$10,$M$5-1,0,1,1))),(N63-MAX(N$10:OFFSET(N$10,$M$5-1,0,1,1)))/(MIN(N$10:OFFSET(N$10,$M$5-1,0,1,1))-MAX(N$10:OFFSET(N$10,$M$5-1,0,1,1)))),"")</f>
        <v/>
      </c>
      <c r="O119" s="221" t="str">
        <f ca="1">IF(AND(ISNUMBER($L119),(ISNUMBER(O$5))),IF(O$7=1,(O63-MIN(O$10:OFFSET(O$10,$M$5-1,0,1,1)))/(MAX(O$10:OFFSET(O$10,$M$5-1,0,1,1))-MIN(O$10:OFFSET(O$10,$M$5-1,0,1,1))),(O63-MAX(O$10:OFFSET(O$10,$M$5-1,0,1,1)))/(MIN(O$10:OFFSET(O$10,$M$5-1,0,1,1))-MAX(O$10:OFFSET(O$10,$M$5-1,0,1,1)))),"")</f>
        <v/>
      </c>
      <c r="P119" s="221" t="str">
        <f ca="1">IF(AND(ISNUMBER($L119),(ISNUMBER(P$5))),IF(P$7=1,(P63-MIN(P$10:OFFSET(P$10,$M$5-1,0,1,1)))/(MAX(P$10:OFFSET(P$10,$M$5-1,0,1,1))-MIN(P$10:OFFSET(P$10,$M$5-1,0,1,1))),(P63-MAX(P$10:OFFSET(P$10,$M$5-1,0,1,1)))/(MIN(P$10:OFFSET(P$10,$M$5-1,0,1,1))-MAX(P$10:OFFSET(P$10,$M$5-1,0,1,1)))),"")</f>
        <v/>
      </c>
      <c r="Q119" s="221" t="str">
        <f ca="1">IF(AND(ISNUMBER($L119),(ISNUMBER(Q$5))),IF(Q$7=1,(Q63-MIN(Q$10:OFFSET(Q$10,$M$5-1,0,1,1)))/(MAX(Q$10:OFFSET(Q$10,$M$5-1,0,1,1))-MIN(Q$10:OFFSET(Q$10,$M$5-1,0,1,1))),(Q63-MAX(Q$10:OFFSET(Q$10,$M$5-1,0,1,1)))/(MIN(Q$10:OFFSET(Q$10,$M$5-1,0,1,1))-MAX(Q$10:OFFSET(Q$10,$M$5-1,0,1,1)))),"")</f>
        <v/>
      </c>
      <c r="R119" s="221" t="str">
        <f ca="1">IF(AND(ISNUMBER($L119),(ISNUMBER(R$5))),IF(R$7=1,(R63-MIN(R$10:OFFSET(R$10,$M$5-1,0,1,1)))/(MAX(R$10:OFFSET(R$10,$M$5-1,0,1,1))-MIN(R$10:OFFSET(R$10,$M$5-1,0,1,1))),(R63-MAX(R$10:OFFSET(R$10,$M$5-1,0,1,1)))/(MIN(R$10:OFFSET(R$10,$M$5-1,0,1,1))-MAX(R$10:OFFSET(R$10,$M$5-1,0,1,1)))),"")</f>
        <v/>
      </c>
      <c r="S119" s="221" t="str">
        <f ca="1">IF(AND(ISNUMBER($L119),(ISNUMBER(S$5))),IF(S$7=1,(S63-MIN(S$10:OFFSET(S$10,$M$5-1,0,1,1)))/(MAX(S$10:OFFSET(S$10,$M$5-1,0,1,1))-MIN(S$10:OFFSET(S$10,$M$5-1,0,1,1))),(S63-MAX(S$10:OFFSET(S$10,$M$5-1,0,1,1)))/(MIN(S$10:OFFSET(S$10,$M$5-1,0,1,1))-MAX(S$10:OFFSET(S$10,$M$5-1,0,1,1)))),"")</f>
        <v/>
      </c>
      <c r="T119" s="187"/>
      <c r="U119" s="199"/>
      <c r="V119" s="206" t="str">
        <f t="shared" si="12"/>
        <v/>
      </c>
      <c r="W119" s="220">
        <f t="shared" si="10"/>
        <v>0</v>
      </c>
      <c r="X119" s="221" t="str">
        <f ca="1">IF(AND(ISNUMBER($V119),(ISNUMBER(X$5))),IF(X$7=1,(X63-MIN(X$10:OFFSET(X$10,$W$5-1,0,1,1)))/(MAX(X$10:OFFSET(X$10,$W$5-1,0,1,1))-MIN(X$10:OFFSET(X$10,$W$5-1,0,1,1))),(X63-MAX(X$10:OFFSET(X$10,$W$5-1,0,1,1)))/(MIN(X$10:OFFSET(X$10,$W$5-1,0,1,1))-MAX(X$10:OFFSET(X$10,$W$5-1,0,1,1)))),"")</f>
        <v/>
      </c>
      <c r="Y119" s="221" t="str">
        <f ca="1">IF(AND(ISNUMBER($V119),(ISNUMBER(Y$5))),IF(Y$7=1,(Y63-MIN(Y$10:OFFSET(Y$10,$W$5-1,0,1,1)))/(MAX(Y$10:OFFSET(Y$10,$W$5-1,0,1,1))-MIN(Y$10:OFFSET(Y$10,$W$5-1,0,1,1))),(Y63-MAX(Y$10:OFFSET(Y$10,$W$5-1,0,1,1)))/(MIN(Y$10:OFFSET(Y$10,$W$5-1,0,1,1))-MAX(Y$10:OFFSET(Y$10,$W$5-1,0,1,1)))),"")</f>
        <v/>
      </c>
      <c r="Z119" s="221" t="str">
        <f ca="1">IF(AND(ISNUMBER($V119),(ISNUMBER(Z$5))),IF(Z$7=1,(Z63-MIN(Z$10:OFFSET(Z$10,$W$5-1,0,1,1)))/(MAX(Z$10:OFFSET(Z$10,$W$5-1,0,1,1))-MIN(Z$10:OFFSET(Z$10,$W$5-1,0,1,1))),(Z63-MAX(Z$10:OFFSET(Z$10,$W$5-1,0,1,1)))/(MIN(Z$10:OFFSET(Z$10,$W$5-1,0,1,1))-MAX(Z$10:OFFSET(Z$10,$W$5-1,0,1,1)))),"")</f>
        <v/>
      </c>
      <c r="AA119" s="221" t="str">
        <f ca="1">IF(AND(ISNUMBER($V119),(ISNUMBER(AA$5))),IF(AA$7=1,(AA63-MIN(AA$10:OFFSET(AA$10,$W$5-1,0,1,1)))/(MAX(AA$10:OFFSET(AA$10,$W$5-1,0,1,1))-MIN(AA$10:OFFSET(AA$10,$W$5-1,0,1,1))),(AA63-MAX(AA$10:OFFSET(AA$10,$W$5-1,0,1,1)))/(MIN(AA$10:OFFSET(AA$10,$W$5-1,0,1,1))-MAX(AA$10:OFFSET(AA$10,$W$5-1,0,1,1)))),"")</f>
        <v/>
      </c>
      <c r="AB119" s="221" t="str">
        <f ca="1">IF(AND(ISNUMBER($V119),(ISNUMBER(AB$5))),IF(AB$7=1,(AB63-MIN(AB$10:OFFSET(AB$10,$W$5-1,0,1,1)))/(MAX(AB$10:OFFSET(AB$10,$W$5-1,0,1,1))-MIN(AB$10:OFFSET(AB$10,$W$5-1,0,1,1))),(AB63-MAX(AB$10:OFFSET(AB$10,$W$5-1,0,1,1)))/(MIN(AB$10:OFFSET(AB$10,$W$5-1,0,1,1))-MAX(AB$10:OFFSET(AB$10,$W$5-1,0,1,1)))),"")</f>
        <v/>
      </c>
      <c r="AC119" s="221" t="str">
        <f ca="1">IF(AND(ISNUMBER($V119),(ISNUMBER(AC$5))),IF(AC$7=1,(AC63-MIN(AC$10:OFFSET(AC$10,$W$5-1,0,1,1)))/(MAX(AC$10:OFFSET(AC$10,$W$5-1,0,1,1))-MIN(AC$10:OFFSET(AC$10,$W$5-1,0,1,1))),(AC63-MAX(AC$10:OFFSET(AC$10,$W$5-1,0,1,1)))/(MIN(AC$10:OFFSET(AC$10,$W$5-1,0,1,1))-MAX(AC$10:OFFSET(AC$10,$W$5-1,0,1,1)))),"")</f>
        <v/>
      </c>
    </row>
    <row r="120" spans="1:30" ht="15" customHeight="1" thickBot="1">
      <c r="A120" s="187"/>
      <c r="B120" s="187"/>
      <c r="C120" s="187"/>
      <c r="D120" s="187"/>
      <c r="E120" s="187"/>
      <c r="F120" s="187"/>
      <c r="G120" s="187"/>
      <c r="H120" s="187"/>
      <c r="I120" s="187"/>
      <c r="J120" s="187"/>
      <c r="K120" s="187"/>
      <c r="L120" s="187"/>
      <c r="M120" s="187"/>
      <c r="N120" s="187"/>
      <c r="O120" s="187"/>
      <c r="P120" s="187"/>
      <c r="Q120" s="187"/>
      <c r="R120" s="187"/>
      <c r="S120" s="187"/>
      <c r="T120" s="187"/>
      <c r="U120" s="187"/>
      <c r="V120" s="187"/>
      <c r="W120" s="187"/>
      <c r="X120" s="187"/>
      <c r="Y120" s="187"/>
      <c r="Z120" s="187"/>
      <c r="AA120" s="187"/>
      <c r="AB120" s="187"/>
      <c r="AC120" s="187"/>
    </row>
    <row r="121" spans="1:30" ht="15" customHeight="1" thickBot="1">
      <c r="A121" s="204"/>
      <c r="B121" s="308" t="s">
        <v>169</v>
      </c>
      <c r="C121" s="308"/>
      <c r="D121" s="224">
        <f ca="1">'5.a'!D5</f>
        <v>0.20434907728812768</v>
      </c>
      <c r="E121" s="224">
        <f ca="1">'5.a'!E5</f>
        <v>0.39916783249767129</v>
      </c>
      <c r="F121" s="224">
        <f ca="1">'5.a'!F5</f>
        <v>0.10372749664548138</v>
      </c>
      <c r="G121" s="224">
        <f ca="1">'5.a'!G5</f>
        <v>0.13544995782874866</v>
      </c>
      <c r="H121" s="224">
        <f ca="1">'5.a'!H5</f>
        <v>9.1417529714349868E-2</v>
      </c>
      <c r="I121" s="224">
        <f ca="1">'5.a'!I5</f>
        <v>6.588810602562109E-2</v>
      </c>
      <c r="J121" s="187"/>
      <c r="K121" s="204"/>
      <c r="L121" s="308" t="s">
        <v>169</v>
      </c>
      <c r="M121" s="308"/>
      <c r="N121" s="224">
        <f ca="1">'5.a'!D6</f>
        <v>0.21796568197014837</v>
      </c>
      <c r="O121" s="224">
        <f ca="1">'5.a'!E6</f>
        <v>0.37170591595951402</v>
      </c>
      <c r="P121" s="224">
        <f ca="1">'5.a'!F6</f>
        <v>9.7535375137318914E-2</v>
      </c>
      <c r="Q121" s="224">
        <f ca="1">'5.a'!G6</f>
        <v>0.12553222051918292</v>
      </c>
      <c r="R121" s="224">
        <f ca="1">'5.a'!H6</f>
        <v>0.12283802160317142</v>
      </c>
      <c r="S121" s="224">
        <f ca="1">'5.a'!I6</f>
        <v>6.4422784810664324E-2</v>
      </c>
      <c r="T121" s="187"/>
      <c r="U121" s="204"/>
      <c r="V121" s="225" t="s">
        <v>169</v>
      </c>
      <c r="W121" s="225"/>
      <c r="X121" s="224">
        <f ca="1">'5.a'!D7</f>
        <v>0.21387055978147676</v>
      </c>
      <c r="Y121" s="224">
        <f ca="1">'5.a'!E7</f>
        <v>0.388060939660478</v>
      </c>
      <c r="Z121" s="224">
        <f ca="1">'5.a'!F7</f>
        <v>9.7365695220294382E-2</v>
      </c>
      <c r="AA121" s="224">
        <f ca="1">'5.a'!G7</f>
        <v>0.13034225914511893</v>
      </c>
      <c r="AB121" s="224">
        <f ca="1">'5.a'!H7</f>
        <v>0.10351567818666836</v>
      </c>
      <c r="AC121" s="224">
        <f ca="1">'5.a'!I7</f>
        <v>6.6844868005963565E-2</v>
      </c>
    </row>
    <row r="122" spans="1:30" ht="15" customHeight="1" thickBot="1">
      <c r="A122" s="204"/>
      <c r="B122" s="294" t="s">
        <v>167</v>
      </c>
      <c r="C122" s="294"/>
      <c r="D122" s="294"/>
      <c r="E122" s="294"/>
      <c r="F122" s="294"/>
      <c r="G122" s="294"/>
      <c r="H122" s="294"/>
      <c r="I122" s="294"/>
      <c r="J122" s="187"/>
      <c r="K122" s="204"/>
      <c r="L122" s="294" t="s">
        <v>167</v>
      </c>
      <c r="M122" s="294"/>
      <c r="N122" s="294"/>
      <c r="O122" s="294"/>
      <c r="P122" s="294"/>
      <c r="Q122" s="294"/>
      <c r="R122" s="294"/>
      <c r="S122" s="294"/>
      <c r="T122" s="187"/>
      <c r="U122" s="204"/>
      <c r="V122" s="218" t="s">
        <v>167</v>
      </c>
      <c r="W122" s="218"/>
      <c r="X122" s="218"/>
      <c r="Y122" s="218"/>
      <c r="Z122" s="218"/>
      <c r="AA122" s="218"/>
      <c r="AB122" s="218"/>
      <c r="AC122" s="218"/>
    </row>
    <row r="123" spans="1:30" ht="15" customHeight="1">
      <c r="A123" s="302" t="s">
        <v>168</v>
      </c>
      <c r="B123" s="200"/>
      <c r="C123" s="205" t="str">
        <f t="shared" ref="C123:I138" si="13">C65</f>
        <v>Country</v>
      </c>
      <c r="D123" s="205" t="str">
        <f t="shared" si="13"/>
        <v>PR</v>
      </c>
      <c r="E123" s="205" t="str">
        <f t="shared" si="13"/>
        <v>DR</v>
      </c>
      <c r="F123" s="205" t="str">
        <f t="shared" si="13"/>
        <v>RR</v>
      </c>
      <c r="G123" s="205" t="str">
        <f t="shared" si="13"/>
        <v>HS</v>
      </c>
      <c r="H123" s="205" t="str">
        <f t="shared" si="13"/>
        <v>CA</v>
      </c>
      <c r="I123" s="205" t="str">
        <f t="shared" si="13"/>
        <v>RE</v>
      </c>
      <c r="J123" s="205" t="s">
        <v>168</v>
      </c>
      <c r="K123" s="302" t="s">
        <v>168</v>
      </c>
      <c r="L123" s="200"/>
      <c r="M123" s="205" t="str">
        <f t="shared" ref="M123:S123" si="14">M65</f>
        <v>Country</v>
      </c>
      <c r="N123" s="205" t="str">
        <f t="shared" si="14"/>
        <v>PR</v>
      </c>
      <c r="O123" s="205" t="str">
        <f t="shared" si="14"/>
        <v>DR</v>
      </c>
      <c r="P123" s="205" t="str">
        <f t="shared" si="14"/>
        <v>RR</v>
      </c>
      <c r="Q123" s="205" t="str">
        <f t="shared" si="14"/>
        <v>HS</v>
      </c>
      <c r="R123" s="205" t="str">
        <f t="shared" si="14"/>
        <v>CA</v>
      </c>
      <c r="S123" s="205" t="str">
        <f t="shared" si="14"/>
        <v>RE</v>
      </c>
      <c r="T123" s="205" t="s">
        <v>168</v>
      </c>
      <c r="U123" s="219" t="s">
        <v>168</v>
      </c>
      <c r="V123" s="200"/>
      <c r="W123" s="205" t="str">
        <f t="shared" ref="W123:AC123" si="15">W65</f>
        <v>Country</v>
      </c>
      <c r="X123" s="205" t="str">
        <f t="shared" si="15"/>
        <v>PR</v>
      </c>
      <c r="Y123" s="205" t="str">
        <f t="shared" si="15"/>
        <v>DR</v>
      </c>
      <c r="Z123" s="205" t="str">
        <f t="shared" si="15"/>
        <v>RR</v>
      </c>
      <c r="AA123" s="205" t="str">
        <f t="shared" si="15"/>
        <v>HS</v>
      </c>
      <c r="AB123" s="205" t="str">
        <f t="shared" si="15"/>
        <v>CA</v>
      </c>
      <c r="AC123" s="205" t="str">
        <f t="shared" si="15"/>
        <v>RE</v>
      </c>
      <c r="AD123" s="20" t="s">
        <v>168</v>
      </c>
    </row>
    <row r="124" spans="1:30" ht="15" customHeight="1">
      <c r="A124" s="296"/>
      <c r="B124" s="206">
        <v>1</v>
      </c>
      <c r="C124" s="207" t="str">
        <f t="shared" si="13"/>
        <v>Albania</v>
      </c>
      <c r="D124" s="226">
        <f ca="1">IF(AND(ISNUMBER($B124),ISNUMBER(D$5)),D$121*D66,"")</f>
        <v>0.10444508394726525</v>
      </c>
      <c r="E124" s="226">
        <f t="shared" ref="E124:I124" ca="1" si="16">IF(AND(ISNUMBER($B124),ISNUMBER(E$5)),E$121*E66,"")</f>
        <v>0.26246651999846876</v>
      </c>
      <c r="F124" s="226">
        <f t="shared" ca="1" si="16"/>
        <v>3.481265298375745E-2</v>
      </c>
      <c r="G124" s="226">
        <f t="shared" ca="1" si="16"/>
        <v>5.9812555635269202E-2</v>
      </c>
      <c r="H124" s="226">
        <f t="shared" ca="1" si="16"/>
        <v>5.3641690989411898E-2</v>
      </c>
      <c r="I124" s="226">
        <f t="shared" ca="1" si="16"/>
        <v>1.5034869831349783E-2</v>
      </c>
      <c r="J124" s="226">
        <f ca="1">SUM(D124:I124)</f>
        <v>0.53021337338552244</v>
      </c>
      <c r="K124" s="296"/>
      <c r="L124" s="206">
        <v>1</v>
      </c>
      <c r="M124" s="207" t="str">
        <f t="shared" ref="M124:M150" si="17">M66</f>
        <v>Albania</v>
      </c>
      <c r="N124" s="226">
        <f t="shared" ref="N124:S133" ca="1" si="18">IF(AND(ISNUMBER($L124),ISNUMBER(N$5)),N$121*N66,"")</f>
        <v>0.10473281376002952</v>
      </c>
      <c r="O124" s="226">
        <f t="shared" ca="1" si="18"/>
        <v>0.20481754552871184</v>
      </c>
      <c r="P124" s="226">
        <f t="shared" ca="1" si="18"/>
        <v>3.6886928416201809E-2</v>
      </c>
      <c r="Q124" s="226">
        <f t="shared" ca="1" si="18"/>
        <v>7.593631486982709E-2</v>
      </c>
      <c r="R124" s="226">
        <f t="shared" ca="1" si="18"/>
        <v>8.0840041885091057E-2</v>
      </c>
      <c r="S124" s="226">
        <f t="shared" ca="1" si="18"/>
        <v>5.9396893797066374E-3</v>
      </c>
      <c r="T124" s="226">
        <f t="shared" ref="T124:T150" ca="1" si="19">SUM(N124:S124)</f>
        <v>0.50915333383956807</v>
      </c>
      <c r="U124" s="222"/>
      <c r="V124" s="206">
        <v>1</v>
      </c>
      <c r="W124" s="207" t="str">
        <f t="shared" ref="W124:W150" si="20">W66</f>
        <v>Albania</v>
      </c>
      <c r="X124" s="226">
        <f t="shared" ref="X124:AC133" ca="1" si="21">IF(AND(ISNUMBER($V124),ISNUMBER(X$5)),X$121*X66,"")</f>
        <v>0.10593731963332301</v>
      </c>
      <c r="Y124" s="226">
        <f t="shared" ca="1" si="21"/>
        <v>0.23616030137113989</v>
      </c>
      <c r="Z124" s="226">
        <f t="shared" ca="1" si="21"/>
        <v>3.2296332196694956E-2</v>
      </c>
      <c r="AA124" s="226">
        <f t="shared" ca="1" si="21"/>
        <v>6.8448594502707516E-2</v>
      </c>
      <c r="AB124" s="226">
        <f t="shared" ca="1" si="21"/>
        <v>6.9347636743946117E-2</v>
      </c>
      <c r="AC124" s="226">
        <f t="shared" ca="1" si="21"/>
        <v>1.0509713351226649E-2</v>
      </c>
      <c r="AD124" s="17">
        <f t="shared" ref="AD124:AD150" ca="1" si="22">SUM(X124:AC124)</f>
        <v>0.52269989779903814</v>
      </c>
    </row>
    <row r="125" spans="1:30" ht="15" customHeight="1">
      <c r="A125" s="296"/>
      <c r="B125" s="206">
        <f t="shared" ref="B125:B150" si="23">IFERROR(IF(OR($B124+1&gt;$C$5,$B124=" ")," ",$B124+1),"")</f>
        <v>2</v>
      </c>
      <c r="C125" s="207" t="str">
        <f t="shared" si="13"/>
        <v>Andorra</v>
      </c>
      <c r="D125" s="226">
        <f t="shared" ref="D125:I140" ca="1" si="24">IF(AND(ISNUMBER($B125),ISNUMBER(D$5)),D$121*D67,"")</f>
        <v>3.4815027982421753E-2</v>
      </c>
      <c r="E125" s="226">
        <f t="shared" ca="1" si="24"/>
        <v>0</v>
      </c>
      <c r="F125" s="226">
        <f t="shared" ca="1" si="24"/>
        <v>1.0893755355461509E-2</v>
      </c>
      <c r="G125" s="226">
        <f t="shared" ca="1" si="24"/>
        <v>0</v>
      </c>
      <c r="H125" s="226">
        <f t="shared" ca="1" si="24"/>
        <v>1.2088268391980145E-2</v>
      </c>
      <c r="I125" s="226">
        <f t="shared" ca="1" si="24"/>
        <v>5.3653849202071766E-2</v>
      </c>
      <c r="J125" s="226">
        <f t="shared" ref="J125:J150" ca="1" si="25">SUM(D125:I125)</f>
        <v>0.11145090093193517</v>
      </c>
      <c r="K125" s="296"/>
      <c r="L125" s="206">
        <f t="shared" ref="L125:L150" si="26">IFERROR(IF(OR($L124+1&gt;$M$5,$L124=" ")," ",$L124+1),"")</f>
        <v>2</v>
      </c>
      <c r="M125" s="207" t="str">
        <f t="shared" si="17"/>
        <v>Andorra</v>
      </c>
      <c r="N125" s="226">
        <f t="shared" ca="1" si="18"/>
        <v>5.9500381150625468E-2</v>
      </c>
      <c r="O125" s="226">
        <f t="shared" ca="1" si="18"/>
        <v>0</v>
      </c>
      <c r="P125" s="226">
        <f t="shared" ca="1" si="18"/>
        <v>4.0055130856857177E-2</v>
      </c>
      <c r="Q125" s="226">
        <f t="shared" ca="1" si="18"/>
        <v>0</v>
      </c>
      <c r="R125" s="226">
        <f t="shared" ca="1" si="18"/>
        <v>5.9234144804691351E-2</v>
      </c>
      <c r="S125" s="226">
        <f t="shared" ca="1" si="18"/>
        <v>5.1477307957457544E-2</v>
      </c>
      <c r="T125" s="226">
        <f t="shared" ca="1" si="19"/>
        <v>0.21026696476963153</v>
      </c>
      <c r="U125" s="222"/>
      <c r="V125" s="206">
        <f t="shared" ref="V125:V150" si="27">IFERROR(IF(OR($V124+1&gt;$W$5,$V124=" ")," ",$V124+1),"")</f>
        <v>2</v>
      </c>
      <c r="W125" s="207" t="str">
        <f t="shared" si="20"/>
        <v>Andorra</v>
      </c>
      <c r="X125" s="226">
        <f t="shared" ca="1" si="21"/>
        <v>4.7748560008642686E-2</v>
      </c>
      <c r="Y125" s="226">
        <f t="shared" ca="1" si="21"/>
        <v>0</v>
      </c>
      <c r="Z125" s="226">
        <f t="shared" ca="1" si="21"/>
        <v>2.1928136989637914E-2</v>
      </c>
      <c r="AA125" s="226">
        <f t="shared" ca="1" si="21"/>
        <v>0</v>
      </c>
      <c r="AB125" s="226">
        <f t="shared" ca="1" si="21"/>
        <v>3.4617620935389636E-2</v>
      </c>
      <c r="AC125" s="226">
        <f t="shared" ca="1" si="21"/>
        <v>5.3862280925036553E-2</v>
      </c>
      <c r="AD125" s="17">
        <f t="shared" ca="1" si="22"/>
        <v>0.15815659885870681</v>
      </c>
    </row>
    <row r="126" spans="1:30" ht="15" customHeight="1" thickBot="1">
      <c r="A126" s="297"/>
      <c r="B126" s="206">
        <f t="shared" si="23"/>
        <v>3</v>
      </c>
      <c r="C126" s="207" t="str">
        <f t="shared" si="13"/>
        <v>Armenia</v>
      </c>
      <c r="D126" s="226">
        <f t="shared" ca="1" si="24"/>
        <v>0.20434907728812768</v>
      </c>
      <c r="E126" s="226">
        <f t="shared" ca="1" si="24"/>
        <v>0.39916783249767129</v>
      </c>
      <c r="F126" s="226">
        <f t="shared" ca="1" si="24"/>
        <v>0.10372749664548138</v>
      </c>
      <c r="G126" s="226">
        <f t="shared" ca="1" si="24"/>
        <v>0.10594600661852618</v>
      </c>
      <c r="H126" s="226">
        <f t="shared" ca="1" si="24"/>
        <v>6.0630221153525433E-2</v>
      </c>
      <c r="I126" s="226">
        <f t="shared" ca="1" si="24"/>
        <v>1.0023246554233181E-2</v>
      </c>
      <c r="J126" s="226">
        <f t="shared" ca="1" si="25"/>
        <v>0.88384388075756515</v>
      </c>
      <c r="K126" s="297"/>
      <c r="L126" s="206">
        <f t="shared" si="26"/>
        <v>3</v>
      </c>
      <c r="M126" s="207" t="str">
        <f t="shared" si="17"/>
        <v>Armenia</v>
      </c>
      <c r="N126" s="226">
        <f t="shared" ca="1" si="18"/>
        <v>0.21796568197014837</v>
      </c>
      <c r="O126" s="226">
        <f t="shared" ca="1" si="18"/>
        <v>0.36520377165701523</v>
      </c>
      <c r="P126" s="226">
        <f t="shared" ca="1" si="18"/>
        <v>7.8073560144721624E-2</v>
      </c>
      <c r="Q126" s="226">
        <f t="shared" ca="1" si="18"/>
        <v>0.10298862704220299</v>
      </c>
      <c r="R126" s="226">
        <f t="shared" ca="1" si="18"/>
        <v>9.8076206971702079E-2</v>
      </c>
      <c r="S126" s="226">
        <f t="shared" ca="1" si="18"/>
        <v>1.3706975491630687E-3</v>
      </c>
      <c r="T126" s="226">
        <f t="shared" ca="1" si="19"/>
        <v>0.86367854533495347</v>
      </c>
      <c r="U126" s="223"/>
      <c r="V126" s="206">
        <f t="shared" si="27"/>
        <v>3</v>
      </c>
      <c r="W126" s="207" t="str">
        <f t="shared" si="20"/>
        <v>Armenia</v>
      </c>
      <c r="X126" s="226">
        <f t="shared" ca="1" si="21"/>
        <v>0.21387055978147676</v>
      </c>
      <c r="Y126" s="226">
        <f t="shared" ca="1" si="21"/>
        <v>0.388060939660478</v>
      </c>
      <c r="Z126" s="226">
        <f t="shared" ca="1" si="21"/>
        <v>8.8665945218970629E-2</v>
      </c>
      <c r="AA126" s="226">
        <f t="shared" ca="1" si="21"/>
        <v>0.10450070873433616</v>
      </c>
      <c r="AB126" s="226">
        <f t="shared" ca="1" si="21"/>
        <v>8.1486283045965863E-2</v>
      </c>
      <c r="AC126" s="226">
        <f t="shared" ca="1" si="21"/>
        <v>5.5639658918258715E-3</v>
      </c>
      <c r="AD126" s="17">
        <f t="shared" ca="1" si="22"/>
        <v>0.88214840233305325</v>
      </c>
    </row>
    <row r="127" spans="1:30" ht="15" customHeight="1">
      <c r="A127" s="203"/>
      <c r="B127" s="206">
        <f t="shared" si="23"/>
        <v>4</v>
      </c>
      <c r="C127" s="207" t="str">
        <f t="shared" si="13"/>
        <v>Azerbaijan</v>
      </c>
      <c r="D127" s="226">
        <f t="shared" ca="1" si="24"/>
        <v>7.5987582813807478E-2</v>
      </c>
      <c r="E127" s="226">
        <f t="shared" ca="1" si="24"/>
        <v>0.11847447083264216</v>
      </c>
      <c r="F127" s="226">
        <f t="shared" ca="1" si="24"/>
        <v>1.0893755355461509E-2</v>
      </c>
      <c r="G127" s="226">
        <f t="shared" ca="1" si="24"/>
        <v>1.6629499773034486E-2</v>
      </c>
      <c r="H127" s="226">
        <f t="shared" ca="1" si="24"/>
        <v>2.1154469685965252E-2</v>
      </c>
      <c r="I127" s="226">
        <f t="shared" ca="1" si="24"/>
        <v>2.1078297900813898E-2</v>
      </c>
      <c r="J127" s="226">
        <f t="shared" ca="1" si="25"/>
        <v>0.26421807636172479</v>
      </c>
      <c r="K127" s="203"/>
      <c r="L127" s="206">
        <f t="shared" si="26"/>
        <v>4</v>
      </c>
      <c r="M127" s="207" t="str">
        <f t="shared" si="17"/>
        <v>Azerbaijan</v>
      </c>
      <c r="N127" s="226">
        <f t="shared" ca="1" si="18"/>
        <v>7.6196916677586699E-2</v>
      </c>
      <c r="O127" s="226">
        <f t="shared" ca="1" si="18"/>
        <v>0.10565984491560532</v>
      </c>
      <c r="P127" s="226">
        <f t="shared" ca="1" si="18"/>
        <v>2.3987818479247799E-2</v>
      </c>
      <c r="Q127" s="226">
        <f t="shared" ca="1" si="18"/>
        <v>2.0645185605234245E-2</v>
      </c>
      <c r="R127" s="226">
        <f t="shared" ca="1" si="18"/>
        <v>4.7581526154588126E-2</v>
      </c>
      <c r="S127" s="226">
        <f t="shared" ca="1" si="18"/>
        <v>1.9189765688282984E-2</v>
      </c>
      <c r="T127" s="226">
        <f t="shared" ca="1" si="19"/>
        <v>0.29326105752054521</v>
      </c>
      <c r="U127" s="203"/>
      <c r="V127" s="206">
        <f t="shared" si="27"/>
        <v>4</v>
      </c>
      <c r="W127" s="207" t="str">
        <f t="shared" si="20"/>
        <v>Azerbaijan</v>
      </c>
      <c r="X127" s="226">
        <f t="shared" ca="1" si="21"/>
        <v>7.7073238341924866E-2</v>
      </c>
      <c r="Y127" s="226">
        <f t="shared" ca="1" si="21"/>
        <v>0.11370681177128956</v>
      </c>
      <c r="Z127" s="226">
        <f t="shared" ca="1" si="21"/>
        <v>1.3466736303418929E-2</v>
      </c>
      <c r="AA127" s="226">
        <f t="shared" ca="1" si="21"/>
        <v>1.8782395176617714E-2</v>
      </c>
      <c r="AB127" s="226">
        <f t="shared" ca="1" si="21"/>
        <v>3.4617620935389615E-2</v>
      </c>
      <c r="AC127" s="226">
        <f t="shared" ca="1" si="21"/>
        <v>2.0401208270028184E-2</v>
      </c>
      <c r="AD127" s="17">
        <f t="shared" ca="1" si="22"/>
        <v>0.27804801079866887</v>
      </c>
    </row>
    <row r="128" spans="1:30" ht="15" customHeight="1">
      <c r="A128" s="203"/>
      <c r="B128" s="206">
        <f t="shared" si="23"/>
        <v>5</v>
      </c>
      <c r="C128" s="207" t="str">
        <f t="shared" si="13"/>
        <v>Belarus</v>
      </c>
      <c r="D128" s="226">
        <f t="shared" ca="1" si="24"/>
        <v>7.1749231581164821E-2</v>
      </c>
      <c r="E128" s="226">
        <f t="shared" ca="1" si="24"/>
        <v>0.14520717194359734</v>
      </c>
      <c r="F128" s="226">
        <f t="shared" ca="1" si="24"/>
        <v>4.8785078330979822E-2</v>
      </c>
      <c r="G128" s="226">
        <f t="shared" ca="1" si="24"/>
        <v>7.4564531240380441E-2</v>
      </c>
      <c r="H128" s="226">
        <f t="shared" ca="1" si="24"/>
        <v>3.7964717918562658E-2</v>
      </c>
      <c r="I128" s="226">
        <f t="shared" ca="1" si="24"/>
        <v>1.5182270515970851E-2</v>
      </c>
      <c r="J128" s="226">
        <f t="shared" ca="1" si="25"/>
        <v>0.39345300153065593</v>
      </c>
      <c r="K128" s="203"/>
      <c r="L128" s="206">
        <f t="shared" si="26"/>
        <v>5</v>
      </c>
      <c r="M128" s="207" t="str">
        <f t="shared" si="17"/>
        <v>Belarus</v>
      </c>
      <c r="N128" s="226">
        <f t="shared" ca="1" si="18"/>
        <v>8.0446943902631365E-2</v>
      </c>
      <c r="O128" s="226">
        <f t="shared" ca="1" si="18"/>
        <v>0.17447420545038411</v>
      </c>
      <c r="P128" s="226">
        <f t="shared" ca="1" si="18"/>
        <v>4.6165235563835401E-2</v>
      </c>
      <c r="Q128" s="226">
        <f t="shared" ca="1" si="18"/>
        <v>7.1902198142367549E-2</v>
      </c>
      <c r="R128" s="226">
        <f t="shared" ca="1" si="18"/>
        <v>8.933674298412464E-2</v>
      </c>
      <c r="S128" s="226">
        <f t="shared" ca="1" si="18"/>
        <v>7.4626866565544944E-3</v>
      </c>
      <c r="T128" s="226">
        <f t="shared" ca="1" si="19"/>
        <v>0.46978801269989751</v>
      </c>
      <c r="U128" s="203"/>
      <c r="V128" s="206">
        <f t="shared" si="27"/>
        <v>5</v>
      </c>
      <c r="W128" s="207" t="str">
        <f t="shared" si="20"/>
        <v>Belarus</v>
      </c>
      <c r="X128" s="226">
        <f t="shared" ca="1" si="21"/>
        <v>7.7073238341924866E-2</v>
      </c>
      <c r="Y128" s="226">
        <f t="shared" ca="1" si="21"/>
        <v>0.16356287539408579</v>
      </c>
      <c r="Z128" s="226">
        <f t="shared" ca="1" si="21"/>
        <v>4.4213797951932948E-2</v>
      </c>
      <c r="AA128" s="226">
        <f t="shared" ca="1" si="21"/>
        <v>7.3238735554462364E-2</v>
      </c>
      <c r="AB128" s="226">
        <f t="shared" ca="1" si="21"/>
        <v>6.3952682831937349E-2</v>
      </c>
      <c r="AC128" s="226">
        <f t="shared" ca="1" si="21"/>
        <v>1.1359763695811152E-2</v>
      </c>
      <c r="AD128" s="17">
        <f t="shared" ca="1" si="22"/>
        <v>0.43340109377015446</v>
      </c>
    </row>
    <row r="129" spans="1:30" ht="15" customHeight="1">
      <c r="A129" s="199"/>
      <c r="B129" s="206">
        <f t="shared" si="23"/>
        <v>6</v>
      </c>
      <c r="C129" s="207" t="str">
        <f t="shared" si="13"/>
        <v>Bosnia and Hercegovina</v>
      </c>
      <c r="D129" s="226">
        <f t="shared" ca="1" si="24"/>
        <v>8.2042370289011263E-2</v>
      </c>
      <c r="E129" s="226">
        <f t="shared" ca="1" si="24"/>
        <v>6.7439314166273245E-2</v>
      </c>
      <c r="F129" s="226">
        <f t="shared" ca="1" si="24"/>
        <v>1.705109533898324E-2</v>
      </c>
      <c r="G129" s="226">
        <f t="shared" ca="1" si="24"/>
        <v>6.383582170939045E-2</v>
      </c>
      <c r="H129" s="226">
        <f t="shared" ca="1" si="24"/>
        <v>3.532040920781699E-2</v>
      </c>
      <c r="I129" s="226">
        <f t="shared" ca="1" si="24"/>
        <v>9.4336438157488784E-3</v>
      </c>
      <c r="J129" s="226">
        <f t="shared" ca="1" si="25"/>
        <v>0.27512265452722412</v>
      </c>
      <c r="K129" s="199"/>
      <c r="L129" s="206">
        <f t="shared" si="26"/>
        <v>6</v>
      </c>
      <c r="M129" s="207" t="str">
        <f t="shared" si="17"/>
        <v>Bosnia and Hercegovina</v>
      </c>
      <c r="N129" s="226">
        <f t="shared" ca="1" si="18"/>
        <v>6.9518302466802198E-2</v>
      </c>
      <c r="O129" s="226">
        <f t="shared" ca="1" si="18"/>
        <v>6.3395906949363187E-2</v>
      </c>
      <c r="P129" s="226">
        <f t="shared" ca="1" si="18"/>
        <v>3.3718725975546447E-2</v>
      </c>
      <c r="Q129" s="226">
        <f t="shared" ca="1" si="18"/>
        <v>6.2410158783639154E-2</v>
      </c>
      <c r="R129" s="226">
        <f t="shared" ca="1" si="18"/>
        <v>4.879534059730721E-2</v>
      </c>
      <c r="S129" s="226">
        <f t="shared" ca="1" si="18"/>
        <v>6.0919891073914264E-3</v>
      </c>
      <c r="T129" s="226">
        <f t="shared" ca="1" si="19"/>
        <v>0.28393042388004963</v>
      </c>
      <c r="U129" s="199"/>
      <c r="V129" s="206">
        <f t="shared" si="27"/>
        <v>6</v>
      </c>
      <c r="W129" s="207" t="str">
        <f t="shared" si="20"/>
        <v>Bosnia and Hercegovina</v>
      </c>
      <c r="X129" s="226">
        <f t="shared" ca="1" si="21"/>
        <v>7.6766173647335512E-2</v>
      </c>
      <c r="Y129" s="226">
        <f t="shared" ca="1" si="21"/>
        <v>6.6474751497061613E-2</v>
      </c>
      <c r="Z129" s="226">
        <f t="shared" ca="1" si="21"/>
        <v>2.168978767453315E-2</v>
      </c>
      <c r="AA129" s="226">
        <f t="shared" ca="1" si="21"/>
        <v>6.3154228077083735E-2</v>
      </c>
      <c r="AB129" s="226">
        <f t="shared" ca="1" si="21"/>
        <v>4.3609210788737578E-2</v>
      </c>
      <c r="AC129" s="226">
        <f t="shared" ca="1" si="21"/>
        <v>7.6504531012605639E-3</v>
      </c>
      <c r="AD129" s="17">
        <f t="shared" ca="1" si="22"/>
        <v>0.27934460478601214</v>
      </c>
    </row>
    <row r="130" spans="1:30" ht="15" customHeight="1">
      <c r="A130" s="199"/>
      <c r="B130" s="206">
        <f t="shared" si="23"/>
        <v>7</v>
      </c>
      <c r="C130" s="207" t="str">
        <f t="shared" si="13"/>
        <v>Georgia</v>
      </c>
      <c r="D130" s="226">
        <f t="shared" ca="1" si="24"/>
        <v>0.13199436695944247</v>
      </c>
      <c r="E130" s="226">
        <f t="shared" ca="1" si="24"/>
        <v>0.29952776472047477</v>
      </c>
      <c r="F130" s="226">
        <f t="shared" ca="1" si="24"/>
        <v>3.5523115289548407E-2</v>
      </c>
      <c r="G130" s="226">
        <f t="shared" ca="1" si="24"/>
        <v>2.0920983585430489E-2</v>
      </c>
      <c r="H130" s="226">
        <f t="shared" ca="1" si="24"/>
        <v>7.7251590192498137E-2</v>
      </c>
      <c r="I130" s="226">
        <f t="shared" ca="1" si="24"/>
        <v>1.2529058192791482E-2</v>
      </c>
      <c r="J130" s="226">
        <f t="shared" ca="1" si="25"/>
        <v>0.57774687894018584</v>
      </c>
      <c r="K130" s="199"/>
      <c r="L130" s="206">
        <f t="shared" si="26"/>
        <v>7</v>
      </c>
      <c r="M130" s="207" t="str">
        <f t="shared" si="17"/>
        <v>Georgia</v>
      </c>
      <c r="N130" s="226">
        <f t="shared" ca="1" si="18"/>
        <v>0.14480449902473647</v>
      </c>
      <c r="O130" s="226">
        <f t="shared" ca="1" si="18"/>
        <v>0.34082073052264478</v>
      </c>
      <c r="P130" s="226">
        <f t="shared" ca="1" si="18"/>
        <v>5.499094236280392E-2</v>
      </c>
      <c r="Q130" s="226">
        <f t="shared" ca="1" si="18"/>
        <v>4.3426080066182378E-2</v>
      </c>
      <c r="R130" s="226">
        <f t="shared" ca="1" si="18"/>
        <v>0.10948606273326145</v>
      </c>
      <c r="S130" s="226">
        <f t="shared" ca="1" si="18"/>
        <v>7.4626866565544944E-3</v>
      </c>
      <c r="T130" s="226">
        <f t="shared" ca="1" si="19"/>
        <v>0.70099100136618353</v>
      </c>
      <c r="U130" s="199"/>
      <c r="V130" s="206">
        <f t="shared" si="27"/>
        <v>7</v>
      </c>
      <c r="W130" s="207" t="str">
        <f t="shared" si="20"/>
        <v>Georgia</v>
      </c>
      <c r="X130" s="226">
        <f t="shared" ca="1" si="21"/>
        <v>0.14017503308003468</v>
      </c>
      <c r="Y130" s="226">
        <f t="shared" ca="1" si="21"/>
        <v>0.32712575078817152</v>
      </c>
      <c r="Z130" s="226">
        <f t="shared" ca="1" si="21"/>
        <v>4.2187828773542498E-2</v>
      </c>
      <c r="AA130" s="226">
        <f t="shared" ca="1" si="21"/>
        <v>3.290070564494782E-2</v>
      </c>
      <c r="AB130" s="226">
        <f t="shared" ca="1" si="21"/>
        <v>9.6659590923490551E-2</v>
      </c>
      <c r="AC130" s="226">
        <f t="shared" ca="1" si="21"/>
        <v>9.9687722228546764E-3</v>
      </c>
      <c r="AD130" s="17">
        <f t="shared" ca="1" si="22"/>
        <v>0.64901768143304173</v>
      </c>
    </row>
    <row r="131" spans="1:30" ht="15" customHeight="1">
      <c r="A131" s="199"/>
      <c r="B131" s="206">
        <f t="shared" si="23"/>
        <v>8</v>
      </c>
      <c r="C131" s="207" t="str">
        <f t="shared" si="13"/>
        <v>Iceland</v>
      </c>
      <c r="D131" s="226">
        <f t="shared" ca="1" si="24"/>
        <v>7.780401905636862E-2</v>
      </c>
      <c r="E131" s="226">
        <f t="shared" ca="1" si="24"/>
        <v>0.18226841666560334</v>
      </c>
      <c r="F131" s="226">
        <f t="shared" ca="1" si="24"/>
        <v>3.7891322975518303E-2</v>
      </c>
      <c r="G131" s="226">
        <f t="shared" ca="1" si="24"/>
        <v>8.5829676247919942E-2</v>
      </c>
      <c r="H131" s="226">
        <f t="shared" ca="1" si="24"/>
        <v>3.8342476305812029E-2</v>
      </c>
      <c r="I131" s="226">
        <f t="shared" ca="1" si="24"/>
        <v>5.4833054679040372E-2</v>
      </c>
      <c r="J131" s="226">
        <f t="shared" ca="1" si="25"/>
        <v>0.47696896593026256</v>
      </c>
      <c r="K131" s="199"/>
      <c r="L131" s="206">
        <f t="shared" si="26"/>
        <v>8</v>
      </c>
      <c r="M131" s="207" t="str">
        <f t="shared" si="17"/>
        <v>Iceland</v>
      </c>
      <c r="N131" s="226">
        <f t="shared" ca="1" si="18"/>
        <v>9.8661346295679977E-2</v>
      </c>
      <c r="O131" s="226">
        <f t="shared" ca="1" si="18"/>
        <v>0.18531111262121544</v>
      </c>
      <c r="P131" s="226">
        <f t="shared" ca="1" si="18"/>
        <v>5.90643455007894E-2</v>
      </c>
      <c r="Q131" s="226">
        <f t="shared" ca="1" si="18"/>
        <v>8.7326762100301172E-2</v>
      </c>
      <c r="R131" s="226">
        <f t="shared" ca="1" si="18"/>
        <v>3.7871010612835446E-2</v>
      </c>
      <c r="S131" s="226">
        <f t="shared" ca="1" si="18"/>
        <v>5.0563509591348837E-2</v>
      </c>
      <c r="T131" s="226">
        <f t="shared" ca="1" si="19"/>
        <v>0.5187980867221702</v>
      </c>
      <c r="U131" s="199"/>
      <c r="V131" s="206">
        <f t="shared" si="27"/>
        <v>8</v>
      </c>
      <c r="W131" s="207" t="str">
        <f t="shared" si="20"/>
        <v>Iceland</v>
      </c>
      <c r="X131" s="226">
        <f t="shared" ca="1" si="21"/>
        <v>8.9355826125498541E-2</v>
      </c>
      <c r="Y131" s="226">
        <f t="shared" ca="1" si="21"/>
        <v>0.18717890553119973</v>
      </c>
      <c r="Z131" s="226">
        <f t="shared" ca="1" si="21"/>
        <v>4.5524719185009117E-2</v>
      </c>
      <c r="AA131" s="226">
        <f t="shared" ca="1" si="21"/>
        <v>8.6726764305456325E-2</v>
      </c>
      <c r="AB131" s="226">
        <f t="shared" ca="1" si="21"/>
        <v>4.0349759466898956E-2</v>
      </c>
      <c r="AC131" s="226">
        <f t="shared" ca="1" si="21"/>
        <v>5.4016835533142835E-2</v>
      </c>
      <c r="AD131" s="17">
        <f t="shared" ca="1" si="22"/>
        <v>0.50315281014720548</v>
      </c>
    </row>
    <row r="132" spans="1:30" ht="15" customHeight="1">
      <c r="A132" s="199"/>
      <c r="B132" s="206">
        <f t="shared" si="23"/>
        <v>9</v>
      </c>
      <c r="C132" s="207" t="str">
        <f t="shared" si="13"/>
        <v>Israel</v>
      </c>
      <c r="D132" s="226">
        <f t="shared" ca="1" si="24"/>
        <v>0.1032341264522245</v>
      </c>
      <c r="E132" s="226">
        <f t="shared" ca="1" si="24"/>
        <v>0.24970773083187653</v>
      </c>
      <c r="F132" s="226">
        <f t="shared" ca="1" si="24"/>
        <v>5.6363342926083491E-2</v>
      </c>
      <c r="G132" s="226">
        <f t="shared" ca="1" si="24"/>
        <v>0.10004521637648169</v>
      </c>
      <c r="H132" s="226">
        <f t="shared" ca="1" si="24"/>
        <v>3.1731704528947885E-2</v>
      </c>
      <c r="I132" s="226">
        <f t="shared" ca="1" si="24"/>
        <v>3.9650784163069525E-2</v>
      </c>
      <c r="J132" s="226">
        <f t="shared" ca="1" si="25"/>
        <v>0.58073290527868371</v>
      </c>
      <c r="K132" s="199"/>
      <c r="L132" s="206">
        <f t="shared" si="26"/>
        <v>9</v>
      </c>
      <c r="M132" s="207" t="str">
        <f t="shared" si="17"/>
        <v>Israel</v>
      </c>
      <c r="N132" s="226">
        <f t="shared" ca="1" si="18"/>
        <v>0.10351852026715962</v>
      </c>
      <c r="O132" s="226">
        <f t="shared" ca="1" si="18"/>
        <v>0.24112118455099671</v>
      </c>
      <c r="P132" s="226">
        <f t="shared" ca="1" si="18"/>
        <v>5.1143839399150973E-2</v>
      </c>
      <c r="Q132" s="226">
        <f t="shared" ca="1" si="18"/>
        <v>9.4445791619347463E-2</v>
      </c>
      <c r="R132" s="226">
        <f t="shared" ca="1" si="18"/>
        <v>2.9374309513801853E-2</v>
      </c>
      <c r="S132" s="226">
        <f t="shared" ca="1" si="18"/>
        <v>2.6652452344837489E-2</v>
      </c>
      <c r="T132" s="226">
        <f t="shared" ca="1" si="19"/>
        <v>0.54625609769529404</v>
      </c>
      <c r="U132" s="199"/>
      <c r="V132" s="206">
        <f t="shared" si="27"/>
        <v>9</v>
      </c>
      <c r="W132" s="207" t="str">
        <f t="shared" si="20"/>
        <v>Israel</v>
      </c>
      <c r="X132" s="226">
        <f t="shared" ca="1" si="21"/>
        <v>0.10470906085496565</v>
      </c>
      <c r="Y132" s="226">
        <f t="shared" ca="1" si="21"/>
        <v>0.24957187404159967</v>
      </c>
      <c r="Z132" s="226">
        <f t="shared" ca="1" si="21"/>
        <v>5.0649229459761469E-2</v>
      </c>
      <c r="AA132" s="226">
        <f t="shared" ca="1" si="21"/>
        <v>9.7189440813236647E-2</v>
      </c>
      <c r="AB132" s="226">
        <f t="shared" ca="1" si="21"/>
        <v>3.2482118345219489E-2</v>
      </c>
      <c r="AC132" s="226">
        <f t="shared" ca="1" si="21"/>
        <v>3.39247364793272E-2</v>
      </c>
      <c r="AD132" s="17">
        <f t="shared" ca="1" si="22"/>
        <v>0.56852645999411022</v>
      </c>
    </row>
    <row r="133" spans="1:30" ht="15" customHeight="1">
      <c r="A133" s="199"/>
      <c r="B133" s="206">
        <f t="shared" si="23"/>
        <v>10</v>
      </c>
      <c r="C133" s="207" t="str">
        <f t="shared" si="13"/>
        <v>Kazakhstan</v>
      </c>
      <c r="D133" s="226">
        <f t="shared" ca="1" si="24"/>
        <v>0.14380120253608986</v>
      </c>
      <c r="E133" s="226">
        <f t="shared" ca="1" si="24"/>
        <v>0.12272740055483956</v>
      </c>
      <c r="F133" s="226">
        <f t="shared" ca="1" si="24"/>
        <v>2.5813463777071857E-2</v>
      </c>
      <c r="G133" s="226">
        <f t="shared" ca="1" si="24"/>
        <v>4.5060580030157969E-2</v>
      </c>
      <c r="H133" s="226">
        <f t="shared" ca="1" si="24"/>
        <v>6.0630221153525433E-2</v>
      </c>
      <c r="I133" s="226">
        <f t="shared" ca="1" si="24"/>
        <v>2.5058116385582963E-2</v>
      </c>
      <c r="J133" s="226">
        <f t="shared" ca="1" si="25"/>
        <v>0.42309098443726761</v>
      </c>
      <c r="K133" s="199"/>
      <c r="L133" s="206">
        <f t="shared" si="26"/>
        <v>10</v>
      </c>
      <c r="M133" s="207" t="str">
        <f t="shared" si="17"/>
        <v>Kazakhstan</v>
      </c>
      <c r="N133" s="226">
        <f t="shared" ca="1" si="18"/>
        <v>0.14389377890508404</v>
      </c>
      <c r="O133" s="226">
        <f t="shared" ca="1" si="18"/>
        <v>0.14629824680622272</v>
      </c>
      <c r="P133" s="226">
        <f t="shared" ca="1" si="18"/>
        <v>3.3266125626881388E-2</v>
      </c>
      <c r="Q133" s="226">
        <f t="shared" ca="1" si="18"/>
        <v>4.5561788921896267E-2</v>
      </c>
      <c r="R133" s="226">
        <f t="shared" ca="1" si="18"/>
        <v>9.6862392528983002E-2</v>
      </c>
      <c r="S133" s="226">
        <f t="shared" ca="1" si="18"/>
        <v>2.467255588493527E-2</v>
      </c>
      <c r="T133" s="226">
        <f t="shared" ca="1" si="19"/>
        <v>0.49055488867400265</v>
      </c>
      <c r="U133" s="199"/>
      <c r="V133" s="206">
        <f t="shared" si="27"/>
        <v>10</v>
      </c>
      <c r="W133" s="207" t="str">
        <f t="shared" si="20"/>
        <v>Kazakhstan</v>
      </c>
      <c r="X133" s="226">
        <f t="shared" ca="1" si="21"/>
        <v>0.1457021975826428</v>
      </c>
      <c r="Y133" s="226">
        <f t="shared" ca="1" si="21"/>
        <v>0.13761439783602225</v>
      </c>
      <c r="Z133" s="226">
        <f t="shared" ca="1" si="21"/>
        <v>2.5860900688866446E-2</v>
      </c>
      <c r="AA133" s="226">
        <f t="shared" ca="1" si="21"/>
        <v>4.5380283648203894E-2</v>
      </c>
      <c r="AB133" s="226">
        <f t="shared" ca="1" si="21"/>
        <v>8.0924308680131618E-2</v>
      </c>
      <c r="AC133" s="226">
        <f t="shared" ca="1" si="21"/>
        <v>2.5269678425375829E-2</v>
      </c>
      <c r="AD133" s="17">
        <f t="shared" ca="1" si="22"/>
        <v>0.46075176686124281</v>
      </c>
    </row>
    <row r="134" spans="1:30" ht="15" customHeight="1">
      <c r="A134" s="199"/>
      <c r="B134" s="206">
        <f t="shared" si="23"/>
        <v>11</v>
      </c>
      <c r="C134" s="207" t="str">
        <f t="shared" si="13"/>
        <v>Kyrgyz Republic</v>
      </c>
      <c r="D134" s="226">
        <f t="shared" ca="1" si="24"/>
        <v>6.0547874752037829E-2</v>
      </c>
      <c r="E134" s="226">
        <f t="shared" ca="1" si="24"/>
        <v>0.14885254027690939</v>
      </c>
      <c r="F134" s="226">
        <f t="shared" ca="1" si="24"/>
        <v>1.8235199181968188E-2</v>
      </c>
      <c r="G134" s="226">
        <f t="shared" ca="1" si="24"/>
        <v>6.7054434568687454E-2</v>
      </c>
      <c r="H134" s="226">
        <f t="shared" ca="1" si="24"/>
        <v>7.630719422437468E-2</v>
      </c>
      <c r="I134" s="226">
        <f t="shared" ca="1" si="24"/>
        <v>2.446851364709866E-2</v>
      </c>
      <c r="J134" s="226">
        <f t="shared" ca="1" si="25"/>
        <v>0.39546575665107619</v>
      </c>
      <c r="K134" s="199"/>
      <c r="L134" s="206">
        <f t="shared" si="26"/>
        <v>11</v>
      </c>
      <c r="M134" s="207" t="str">
        <f t="shared" si="17"/>
        <v>Kyrgyz Republic</v>
      </c>
      <c r="N134" s="226">
        <f t="shared" ref="N134:S143" ca="1" si="28">IF(AND(ISNUMBER($L134),ISNUMBER(N$5)),N$121*N76,"")</f>
        <v>6.1625394763147802E-2</v>
      </c>
      <c r="O134" s="226">
        <f t="shared" ca="1" si="28"/>
        <v>0.1327521128426836</v>
      </c>
      <c r="P134" s="226">
        <f t="shared" ca="1" si="28"/>
        <v>2.4893019176577897E-2</v>
      </c>
      <c r="Q134" s="226">
        <f t="shared" ca="1" si="28"/>
        <v>5.9325245992052418E-2</v>
      </c>
      <c r="R134" s="226">
        <f t="shared" ca="1" si="28"/>
        <v>0.11482684628122544</v>
      </c>
      <c r="S134" s="226">
        <f t="shared" ca="1" si="28"/>
        <v>2.0865062692815628E-2</v>
      </c>
      <c r="T134" s="226">
        <f t="shared" ca="1" si="19"/>
        <v>0.41428768174850283</v>
      </c>
      <c r="U134" s="199"/>
      <c r="V134" s="206">
        <f t="shared" si="27"/>
        <v>11</v>
      </c>
      <c r="W134" s="207" t="str">
        <f t="shared" si="20"/>
        <v>Kyrgyz Republic</v>
      </c>
      <c r="X134" s="226">
        <f t="shared" ref="X134:AC143" ca="1" si="29">IF(AND(ISNUMBER($V134),ISNUMBER(X$5)),X$121*X76,"")</f>
        <v>6.1873535959752417E-2</v>
      </c>
      <c r="Y134" s="226">
        <f t="shared" ca="1" si="29"/>
        <v>0.14286240453315871</v>
      </c>
      <c r="Z134" s="226">
        <f t="shared" ca="1" si="29"/>
        <v>1.7637849317752224E-2</v>
      </c>
      <c r="AA134" s="226">
        <f t="shared" ca="1" si="29"/>
        <v>6.3028171733616509E-2</v>
      </c>
      <c r="AB134" s="226">
        <f t="shared" ca="1" si="29"/>
        <v>9.8570303767326978E-2</v>
      </c>
      <c r="AC134" s="226">
        <f t="shared" ca="1" si="29"/>
        <v>2.302863660783485E-2</v>
      </c>
      <c r="AD134" s="17">
        <f t="shared" ca="1" si="22"/>
        <v>0.40700090191944172</v>
      </c>
    </row>
    <row r="135" spans="1:30" ht="15" customHeight="1">
      <c r="A135" s="199"/>
      <c r="B135" s="206">
        <f t="shared" si="23"/>
        <v>12</v>
      </c>
      <c r="C135" s="207" t="str">
        <f t="shared" si="13"/>
        <v>Liechtenstein</v>
      </c>
      <c r="D135" s="226">
        <f t="shared" ca="1" si="24"/>
        <v>7.6593061561327849E-2</v>
      </c>
      <c r="E135" s="226">
        <f t="shared" ca="1" si="24"/>
        <v>9.0526646943916322E-2</v>
      </c>
      <c r="F135" s="226">
        <f t="shared" ca="1" si="24"/>
        <v>3.3391728372175508E-2</v>
      </c>
      <c r="G135" s="226">
        <f t="shared" ca="1" si="24"/>
        <v>7.7246708623127949E-2</v>
      </c>
      <c r="H135" s="226">
        <f t="shared" ca="1" si="24"/>
        <v>4.4197731308177418E-2</v>
      </c>
      <c r="I135" s="226">
        <f t="shared" ca="1" si="24"/>
        <v>5.837067110994619E-2</v>
      </c>
      <c r="J135" s="226">
        <f t="shared" ca="1" si="25"/>
        <v>0.38032654791867126</v>
      </c>
      <c r="K135" s="199"/>
      <c r="L135" s="206">
        <f t="shared" si="26"/>
        <v>12</v>
      </c>
      <c r="M135" s="207" t="str">
        <f t="shared" si="17"/>
        <v>Liechtenstein</v>
      </c>
      <c r="N135" s="226">
        <f t="shared" ca="1" si="28"/>
        <v>0.10230422677428971</v>
      </c>
      <c r="O135" s="226">
        <f t="shared" ca="1" si="28"/>
        <v>8.0734958422693306E-2</v>
      </c>
      <c r="P135" s="226">
        <f t="shared" ca="1" si="28"/>
        <v>3.598172771887171E-2</v>
      </c>
      <c r="Q135" s="226">
        <f t="shared" ca="1" si="28"/>
        <v>7.4037906998081424E-2</v>
      </c>
      <c r="R135" s="226">
        <f t="shared" ca="1" si="28"/>
        <v>7.9140701665284335E-2</v>
      </c>
      <c r="S135" s="226">
        <f t="shared" ca="1" si="28"/>
        <v>5.7416997337164197E-2</v>
      </c>
      <c r="T135" s="226">
        <f t="shared" ca="1" si="19"/>
        <v>0.42961651891638475</v>
      </c>
      <c r="U135" s="199"/>
      <c r="V135" s="206">
        <f t="shared" si="27"/>
        <v>12</v>
      </c>
      <c r="W135" s="207" t="str">
        <f t="shared" si="20"/>
        <v>Liechtenstein</v>
      </c>
      <c r="X135" s="226">
        <f t="shared" ca="1" si="29"/>
        <v>9.0584084903855902E-2</v>
      </c>
      <c r="Y135" s="226">
        <f t="shared" ca="1" si="29"/>
        <v>8.6883666430370002E-2</v>
      </c>
      <c r="Z135" s="226">
        <f t="shared" ca="1" si="29"/>
        <v>3.1104585621171153E-2</v>
      </c>
      <c r="AA135" s="226">
        <f t="shared" ca="1" si="29"/>
        <v>7.5633806080339816E-2</v>
      </c>
      <c r="AB135" s="226">
        <f t="shared" ca="1" si="29"/>
        <v>6.2941128973435706E-2</v>
      </c>
      <c r="AC135" s="226">
        <f t="shared" ca="1" si="29"/>
        <v>5.9348969512809276E-2</v>
      </c>
      <c r="AD135" s="17">
        <f t="shared" ca="1" si="22"/>
        <v>0.40649624152198188</v>
      </c>
    </row>
    <row r="136" spans="1:30" ht="15" customHeight="1">
      <c r="A136" s="199"/>
      <c r="B136" s="206">
        <f t="shared" si="23"/>
        <v>13</v>
      </c>
      <c r="C136" s="207" t="str">
        <f t="shared" si="13"/>
        <v>Moldova</v>
      </c>
      <c r="D136" s="226">
        <f t="shared" ca="1" si="24"/>
        <v>9.0216333380536348E-2</v>
      </c>
      <c r="E136" s="226">
        <f t="shared" ca="1" si="24"/>
        <v>0.1944196444433102</v>
      </c>
      <c r="F136" s="226">
        <f t="shared" ca="1" si="24"/>
        <v>2.6523926082862817E-2</v>
      </c>
      <c r="G136" s="226">
        <f t="shared" ca="1" si="24"/>
        <v>8.3952152079996692E-2</v>
      </c>
      <c r="H136" s="226">
        <f t="shared" ca="1" si="24"/>
        <v>2.3232140815836841E-2</v>
      </c>
      <c r="I136" s="226">
        <f t="shared" ca="1" si="24"/>
        <v>5.8960273848430497E-3</v>
      </c>
      <c r="J136" s="226">
        <f t="shared" ca="1" si="25"/>
        <v>0.42424022418738594</v>
      </c>
      <c r="K136" s="199"/>
      <c r="L136" s="206">
        <f t="shared" si="26"/>
        <v>13</v>
      </c>
      <c r="M136" s="207" t="str">
        <f t="shared" si="17"/>
        <v>Moldova</v>
      </c>
      <c r="N136" s="226">
        <f t="shared" ca="1" si="28"/>
        <v>0.10351852026715962</v>
      </c>
      <c r="O136" s="226">
        <f t="shared" ca="1" si="28"/>
        <v>0.17339051473330103</v>
      </c>
      <c r="P136" s="226">
        <f t="shared" ca="1" si="28"/>
        <v>3.1455724232221177E-2</v>
      </c>
      <c r="Q136" s="226">
        <f t="shared" ca="1" si="28"/>
        <v>7.8072023725540979E-2</v>
      </c>
      <c r="R136" s="226">
        <f t="shared" ca="1" si="28"/>
        <v>4.879534059730721E-2</v>
      </c>
      <c r="S136" s="226">
        <f t="shared" ca="1" si="28"/>
        <v>1.2183978214782808E-3</v>
      </c>
      <c r="T136" s="226">
        <f t="shared" ca="1" si="19"/>
        <v>0.43645052137700829</v>
      </c>
      <c r="U136" s="199"/>
      <c r="V136" s="206">
        <f t="shared" si="27"/>
        <v>13</v>
      </c>
      <c r="W136" s="207" t="str">
        <f t="shared" si="20"/>
        <v>Moldova</v>
      </c>
      <c r="X136" s="226">
        <f t="shared" ca="1" si="29"/>
        <v>9.8107169921294798E-2</v>
      </c>
      <c r="Y136" s="226">
        <f t="shared" ca="1" si="29"/>
        <v>0.18659579367596238</v>
      </c>
      <c r="Z136" s="226">
        <f t="shared" ca="1" si="29"/>
        <v>2.5265027401104548E-2</v>
      </c>
      <c r="AA136" s="226">
        <f t="shared" ca="1" si="29"/>
        <v>8.0928172505963569E-2</v>
      </c>
      <c r="AB136" s="226">
        <f t="shared" ca="1" si="29"/>
        <v>3.6415938906059223E-2</v>
      </c>
      <c r="AC136" s="226">
        <f t="shared" ca="1" si="29"/>
        <v>3.3229240742848921E-3</v>
      </c>
      <c r="AD136" s="17">
        <f t="shared" ca="1" si="22"/>
        <v>0.43063502648466939</v>
      </c>
    </row>
    <row r="137" spans="1:30" ht="15" customHeight="1">
      <c r="A137" s="199"/>
      <c r="B137" s="206">
        <f t="shared" si="23"/>
        <v>14</v>
      </c>
      <c r="C137" s="207" t="str">
        <f t="shared" si="13"/>
        <v>Monaco</v>
      </c>
      <c r="D137" s="226">
        <f t="shared" ca="1" si="24"/>
        <v>0</v>
      </c>
      <c r="E137" s="226">
        <f t="shared" ca="1" si="24"/>
        <v>0.11179129555490339</v>
      </c>
      <c r="F137" s="226">
        <f t="shared" ca="1" si="24"/>
        <v>4.7364153719397896E-3</v>
      </c>
      <c r="G137" s="226">
        <f t="shared" ca="1" si="24"/>
        <v>6.812730552178646E-2</v>
      </c>
      <c r="H137" s="226">
        <f t="shared" ca="1" si="24"/>
        <v>5.6663758087406406E-4</v>
      </c>
      <c r="I137" s="226">
        <f t="shared" ca="1" si="24"/>
        <v>4.7905222501849788E-2</v>
      </c>
      <c r="J137" s="226">
        <f t="shared" ca="1" si="25"/>
        <v>0.23312687653135347</v>
      </c>
      <c r="K137" s="199"/>
      <c r="L137" s="206">
        <f t="shared" si="26"/>
        <v>14</v>
      </c>
      <c r="M137" s="207" t="str">
        <f t="shared" si="17"/>
        <v>Monaco</v>
      </c>
      <c r="N137" s="226">
        <f t="shared" ca="1" si="28"/>
        <v>0</v>
      </c>
      <c r="O137" s="226">
        <f t="shared" ca="1" si="28"/>
        <v>9.9699545971648096E-2</v>
      </c>
      <c r="P137" s="226">
        <f t="shared" ca="1" si="28"/>
        <v>3.1229424057888651E-2</v>
      </c>
      <c r="Q137" s="226">
        <f t="shared" ca="1" si="28"/>
        <v>6.0511750911893467E-2</v>
      </c>
      <c r="R137" s="226">
        <f t="shared" ca="1" si="28"/>
        <v>7.2828866563145274E-4</v>
      </c>
      <c r="S137" s="226">
        <f t="shared" ca="1" si="28"/>
        <v>4.4623820211642191E-2</v>
      </c>
      <c r="T137" s="226">
        <f t="shared" ca="1" si="19"/>
        <v>0.23679282981870386</v>
      </c>
      <c r="U137" s="199"/>
      <c r="V137" s="206">
        <f t="shared" si="27"/>
        <v>14</v>
      </c>
      <c r="W137" s="207" t="str">
        <f t="shared" si="20"/>
        <v>Monaco</v>
      </c>
      <c r="X137" s="226">
        <f t="shared" ca="1" si="29"/>
        <v>0</v>
      </c>
      <c r="Y137" s="226">
        <f t="shared" ca="1" si="29"/>
        <v>0.10729258136367839</v>
      </c>
      <c r="Z137" s="226">
        <f t="shared" ca="1" si="29"/>
        <v>1.4181784248733216E-2</v>
      </c>
      <c r="AA137" s="226">
        <f t="shared" ca="1" si="29"/>
        <v>6.4162678824821601E-2</v>
      </c>
      <c r="AB137" s="226">
        <f t="shared" ca="1" si="29"/>
        <v>6.7436923900109048E-4</v>
      </c>
      <c r="AC137" s="226">
        <f t="shared" ca="1" si="29"/>
        <v>4.7370987384573023E-2</v>
      </c>
      <c r="AD137" s="17">
        <f t="shared" ca="1" si="22"/>
        <v>0.23368240106080732</v>
      </c>
    </row>
    <row r="138" spans="1:30" ht="15" customHeight="1">
      <c r="A138" s="199"/>
      <c r="B138" s="206">
        <f t="shared" si="23"/>
        <v>15</v>
      </c>
      <c r="C138" s="207" t="str">
        <f t="shared" si="13"/>
        <v>Montenegro</v>
      </c>
      <c r="D138" s="226">
        <f t="shared" ca="1" si="24"/>
        <v>8.7188939642934477E-2</v>
      </c>
      <c r="E138" s="226">
        <f t="shared" ca="1" si="24"/>
        <v>9.2956892499457697E-2</v>
      </c>
      <c r="F138" s="226">
        <f t="shared" ca="1" si="24"/>
        <v>3.1970803760593573E-2</v>
      </c>
      <c r="G138" s="226">
        <f t="shared" ca="1" si="24"/>
        <v>5.766681372907121E-2</v>
      </c>
      <c r="H138" s="226">
        <f t="shared" ca="1" si="24"/>
        <v>5.1752899053165005E-2</v>
      </c>
      <c r="I138" s="226">
        <f t="shared" ca="1" si="24"/>
        <v>2.0783496531571754E-2</v>
      </c>
      <c r="J138" s="226">
        <f t="shared" ca="1" si="25"/>
        <v>0.34231984521679371</v>
      </c>
      <c r="K138" s="199"/>
      <c r="L138" s="206">
        <f t="shared" si="26"/>
        <v>15</v>
      </c>
      <c r="M138" s="207" t="str">
        <f t="shared" si="17"/>
        <v>Montenegro</v>
      </c>
      <c r="N138" s="226">
        <f t="shared" ca="1" si="28"/>
        <v>7.9839797156196407E-2</v>
      </c>
      <c r="O138" s="226">
        <f t="shared" ca="1" si="28"/>
        <v>0.16201176220392816</v>
      </c>
      <c r="P138" s="226">
        <f t="shared" ca="1" si="28"/>
        <v>4.0507731205522236E-2</v>
      </c>
      <c r="Q138" s="226">
        <f t="shared" ca="1" si="28"/>
        <v>6.2410158783639154E-2</v>
      </c>
      <c r="R138" s="226">
        <f t="shared" ca="1" si="28"/>
        <v>9.8076206971702079E-2</v>
      </c>
      <c r="S138" s="226">
        <f t="shared" ca="1" si="28"/>
        <v>1.7057569500695986E-2</v>
      </c>
      <c r="T138" s="226">
        <f t="shared" ca="1" si="19"/>
        <v>0.45990322582168403</v>
      </c>
      <c r="U138" s="199"/>
      <c r="V138" s="206">
        <f t="shared" si="27"/>
        <v>15</v>
      </c>
      <c r="W138" s="207" t="str">
        <f t="shared" si="20"/>
        <v>Montenegro</v>
      </c>
      <c r="X138" s="226">
        <f t="shared" ca="1" si="29"/>
        <v>8.4596323359363734E-2</v>
      </c>
      <c r="Y138" s="226">
        <f t="shared" ca="1" si="29"/>
        <v>0.13178327928364844</v>
      </c>
      <c r="Z138" s="226">
        <f t="shared" ca="1" si="29"/>
        <v>3.2773030826904477E-2</v>
      </c>
      <c r="AA138" s="226">
        <f t="shared" ca="1" si="29"/>
        <v>6.0254932177337378E-2</v>
      </c>
      <c r="AB138" s="226">
        <f t="shared" ca="1" si="29"/>
        <v>7.6203724007123941E-2</v>
      </c>
      <c r="AC138" s="226">
        <f t="shared" ca="1" si="29"/>
        <v>1.9164771405177996E-2</v>
      </c>
      <c r="AD138" s="17">
        <f t="shared" ca="1" si="22"/>
        <v>0.40477606105955594</v>
      </c>
    </row>
    <row r="139" spans="1:30" ht="15" customHeight="1">
      <c r="A139" s="199"/>
      <c r="B139" s="206">
        <f t="shared" si="23"/>
        <v>16</v>
      </c>
      <c r="C139" s="207" t="str">
        <f t="shared" ref="C139:C150" si="30">C81</f>
        <v>North Macedonia</v>
      </c>
      <c r="D139" s="226">
        <f t="shared" ca="1" si="24"/>
        <v>9.8087557098301276E-2</v>
      </c>
      <c r="E139" s="226">
        <f t="shared" ca="1" si="24"/>
        <v>0.17376255722120851</v>
      </c>
      <c r="F139" s="226">
        <f t="shared" ca="1" si="24"/>
        <v>2.6997567620056801E-2</v>
      </c>
      <c r="G139" s="226">
        <f t="shared" ca="1" si="24"/>
        <v>3.5672959190541725E-2</v>
      </c>
      <c r="H139" s="226">
        <f t="shared" ca="1" si="24"/>
        <v>3.1353946141698508E-2</v>
      </c>
      <c r="I139" s="226">
        <f t="shared" ca="1" si="24"/>
        <v>2.0783496531571754E-2</v>
      </c>
      <c r="J139" s="226">
        <f t="shared" ca="1" si="25"/>
        <v>0.38665808380337852</v>
      </c>
      <c r="K139" s="199"/>
      <c r="L139" s="206">
        <f t="shared" si="26"/>
        <v>16</v>
      </c>
      <c r="M139" s="207" t="str">
        <f t="shared" si="17"/>
        <v>North Macedonia</v>
      </c>
      <c r="N139" s="226">
        <f t="shared" ca="1" si="28"/>
        <v>8.5607691247328477E-2</v>
      </c>
      <c r="O139" s="226">
        <f t="shared" ca="1" si="28"/>
        <v>0.18910403013100643</v>
      </c>
      <c r="P139" s="226">
        <f t="shared" ca="1" si="28"/>
        <v>3.0324223360558549E-2</v>
      </c>
      <c r="Q139" s="226">
        <f t="shared" ca="1" si="28"/>
        <v>5.4341925328720009E-2</v>
      </c>
      <c r="R139" s="226">
        <f t="shared" ca="1" si="28"/>
        <v>6.9430186123531648E-2</v>
      </c>
      <c r="S139" s="226">
        <f t="shared" ca="1" si="28"/>
        <v>1.9798964599022133E-2</v>
      </c>
      <c r="T139" s="226">
        <f t="shared" ca="1" si="19"/>
        <v>0.44860702079016723</v>
      </c>
      <c r="U139" s="199"/>
      <c r="V139" s="206">
        <f t="shared" si="27"/>
        <v>16</v>
      </c>
      <c r="W139" s="207" t="str">
        <f t="shared" si="20"/>
        <v>North Macedonia</v>
      </c>
      <c r="X139" s="226">
        <f t="shared" ca="1" si="29"/>
        <v>9.3040602460570623E-2</v>
      </c>
      <c r="Y139" s="226">
        <f t="shared" ca="1" si="29"/>
        <v>0.18513801403786895</v>
      </c>
      <c r="Z139" s="226">
        <f t="shared" ca="1" si="29"/>
        <v>2.490750342844741E-2</v>
      </c>
      <c r="AA139" s="226">
        <f t="shared" ca="1" si="29"/>
        <v>4.5632396335138339E-2</v>
      </c>
      <c r="AB139" s="226">
        <f t="shared" ca="1" si="29"/>
        <v>5.0802482671415947E-2</v>
      </c>
      <c r="AC139" s="226">
        <f t="shared" ca="1" si="29"/>
        <v>2.055576287813447E-2</v>
      </c>
      <c r="AD139" s="17">
        <f t="shared" ca="1" si="22"/>
        <v>0.42007676181157572</v>
      </c>
    </row>
    <row r="140" spans="1:30" ht="15" customHeight="1">
      <c r="A140" s="199"/>
      <c r="B140" s="206">
        <f t="shared" si="23"/>
        <v>17</v>
      </c>
      <c r="C140" s="207" t="str">
        <f t="shared" si="30"/>
        <v>Norway</v>
      </c>
      <c r="D140" s="226">
        <f t="shared" ca="1" si="24"/>
        <v>0.12745327635303966</v>
      </c>
      <c r="E140" s="226">
        <f t="shared" ca="1" si="24"/>
        <v>0.30560337860932824</v>
      </c>
      <c r="F140" s="226">
        <f t="shared" ca="1" si="24"/>
        <v>9.3070562058616857E-2</v>
      </c>
      <c r="G140" s="226">
        <f t="shared" ca="1" si="24"/>
        <v>7.9392450529325961E-2</v>
      </c>
      <c r="H140" s="226">
        <f t="shared" ca="1" si="24"/>
        <v>7.2151851964631503E-2</v>
      </c>
      <c r="I140" s="226">
        <f t="shared" ca="1" si="24"/>
        <v>6.588810602562109E-2</v>
      </c>
      <c r="J140" s="226">
        <f t="shared" ca="1" si="25"/>
        <v>0.74355962554056332</v>
      </c>
      <c r="K140" s="199"/>
      <c r="L140" s="206">
        <f t="shared" si="26"/>
        <v>17</v>
      </c>
      <c r="M140" s="207" t="str">
        <f t="shared" si="17"/>
        <v>Norway</v>
      </c>
      <c r="N140" s="226">
        <f t="shared" ca="1" si="28"/>
        <v>0.14055447179969177</v>
      </c>
      <c r="O140" s="226">
        <f t="shared" ca="1" si="28"/>
        <v>0.23895380311683043</v>
      </c>
      <c r="P140" s="226">
        <f t="shared" ca="1" si="28"/>
        <v>8.0789162236711939E-2</v>
      </c>
      <c r="Q140" s="226">
        <f t="shared" ca="1" si="28"/>
        <v>7.0241091254590063E-2</v>
      </c>
      <c r="R140" s="226">
        <f t="shared" ca="1" si="28"/>
        <v>0.12283802160317142</v>
      </c>
      <c r="S140" s="226">
        <f t="shared" ca="1" si="28"/>
        <v>6.4422784810664324E-2</v>
      </c>
      <c r="T140" s="226">
        <f t="shared" ca="1" si="19"/>
        <v>0.71779933482165992</v>
      </c>
      <c r="U140" s="199"/>
      <c r="V140" s="206">
        <f t="shared" si="27"/>
        <v>17</v>
      </c>
      <c r="W140" s="207" t="str">
        <f t="shared" si="20"/>
        <v>Norway</v>
      </c>
      <c r="X140" s="226">
        <f t="shared" ca="1" si="29"/>
        <v>0.13572259500848921</v>
      </c>
      <c r="Y140" s="226">
        <f t="shared" ca="1" si="29"/>
        <v>0.2752287956720445</v>
      </c>
      <c r="Z140" s="226">
        <f t="shared" ca="1" si="29"/>
        <v>8.4733181519742115E-2</v>
      </c>
      <c r="AA140" s="226">
        <f t="shared" ca="1" si="29"/>
        <v>7.4625355332601923E-2</v>
      </c>
      <c r="AB140" s="226">
        <f t="shared" ca="1" si="29"/>
        <v>9.9806647372162313E-2</v>
      </c>
      <c r="AC140" s="226">
        <f t="shared" ca="1" si="29"/>
        <v>6.6844868005963565E-2</v>
      </c>
      <c r="AD140" s="17">
        <f t="shared" ca="1" si="22"/>
        <v>0.73696144291100363</v>
      </c>
    </row>
    <row r="141" spans="1:30" ht="15" customHeight="1">
      <c r="A141" s="199"/>
      <c r="B141" s="206">
        <f t="shared" si="23"/>
        <v>18</v>
      </c>
      <c r="C141" s="207" t="str">
        <f t="shared" si="30"/>
        <v>Russia</v>
      </c>
      <c r="D141" s="226">
        <f t="shared" ref="D141:I150" ca="1" si="31">IF(AND(ISNUMBER($B141),ISNUMBER(D$5)),D$121*D83,"")</f>
        <v>0.10474782332102545</v>
      </c>
      <c r="E141" s="226">
        <f t="shared" ca="1" si="31"/>
        <v>0.20110281972104899</v>
      </c>
      <c r="F141" s="226">
        <f t="shared" ca="1" si="31"/>
        <v>6.1336579066620281E-2</v>
      </c>
      <c r="G141" s="226">
        <f t="shared" ca="1" si="31"/>
        <v>9.1462248751689693E-2</v>
      </c>
      <c r="H141" s="226">
        <f t="shared" ca="1" si="31"/>
        <v>4.6842040018923066E-2</v>
      </c>
      <c r="I141" s="226">
        <f t="shared" ca="1" si="31"/>
        <v>8.9914417618856546E-3</v>
      </c>
      <c r="J141" s="226">
        <f t="shared" ca="1" si="25"/>
        <v>0.51448295264119315</v>
      </c>
      <c r="K141" s="199"/>
      <c r="L141" s="206">
        <f t="shared" si="26"/>
        <v>18</v>
      </c>
      <c r="M141" s="207" t="str">
        <f t="shared" si="17"/>
        <v>Russia</v>
      </c>
      <c r="N141" s="226">
        <f t="shared" ca="1" si="28"/>
        <v>0.1153578818226412</v>
      </c>
      <c r="O141" s="226">
        <f t="shared" ca="1" si="28"/>
        <v>0.22432397843620819</v>
      </c>
      <c r="P141" s="226">
        <f t="shared" ca="1" si="28"/>
        <v>5.1822739922148565E-2</v>
      </c>
      <c r="Q141" s="226">
        <f t="shared" ca="1" si="28"/>
        <v>0.1032259280261712</v>
      </c>
      <c r="R141" s="226">
        <f t="shared" ca="1" si="28"/>
        <v>7.9140701665284335E-2</v>
      </c>
      <c r="S141" s="226">
        <f t="shared" ca="1" si="28"/>
        <v>5.7873896520218501E-3</v>
      </c>
      <c r="T141" s="226">
        <f t="shared" ca="1" si="19"/>
        <v>0.57965861952447539</v>
      </c>
      <c r="U141" s="199"/>
      <c r="V141" s="206">
        <f t="shared" si="27"/>
        <v>18</v>
      </c>
      <c r="W141" s="207" t="str">
        <f t="shared" si="20"/>
        <v>Russia</v>
      </c>
      <c r="X141" s="226">
        <f t="shared" ca="1" si="29"/>
        <v>0.11146448413593114</v>
      </c>
      <c r="Y141" s="226">
        <f t="shared" ca="1" si="29"/>
        <v>0.21720916607592494</v>
      </c>
      <c r="Z141" s="226">
        <f t="shared" ca="1" si="29"/>
        <v>5.3509421241018588E-2</v>
      </c>
      <c r="AA141" s="226">
        <f t="shared" ca="1" si="29"/>
        <v>9.7819722530572806E-2</v>
      </c>
      <c r="AB141" s="226">
        <f t="shared" ca="1" si="29"/>
        <v>6.4514657197771594E-2</v>
      </c>
      <c r="AC141" s="226">
        <f t="shared" ca="1" si="29"/>
        <v>7.2640665809948794E-3</v>
      </c>
      <c r="AD141" s="17">
        <f t="shared" ca="1" si="22"/>
        <v>0.55178151776221396</v>
      </c>
    </row>
    <row r="142" spans="1:30" ht="15" customHeight="1">
      <c r="A142" s="199"/>
      <c r="B142" s="206">
        <f t="shared" si="23"/>
        <v>19</v>
      </c>
      <c r="C142" s="207" t="str">
        <f t="shared" si="30"/>
        <v>San Marino</v>
      </c>
      <c r="D142" s="226">
        <f t="shared" ca="1" si="31"/>
        <v>2.9971198002258722E-2</v>
      </c>
      <c r="E142" s="226">
        <f t="shared" ca="1" si="31"/>
        <v>9.1134208332801656E-2</v>
      </c>
      <c r="F142" s="226">
        <f t="shared" ca="1" si="31"/>
        <v>0</v>
      </c>
      <c r="G142" s="226">
        <f t="shared" ca="1" si="31"/>
        <v>3.5136523713992229E-2</v>
      </c>
      <c r="H142" s="226">
        <f t="shared" ca="1" si="31"/>
        <v>0</v>
      </c>
      <c r="I142" s="226">
        <f t="shared" ca="1" si="31"/>
        <v>4.5694212232533636E-2</v>
      </c>
      <c r="J142" s="226">
        <f t="shared" ca="1" si="25"/>
        <v>0.20193614228158627</v>
      </c>
      <c r="K142" s="199"/>
      <c r="L142" s="206">
        <f t="shared" si="26"/>
        <v>19</v>
      </c>
      <c r="M142" s="207" t="str">
        <f t="shared" si="17"/>
        <v>San Marino</v>
      </c>
      <c r="N142" s="226">
        <f t="shared" ca="1" si="28"/>
        <v>3.0053763948530203E-2</v>
      </c>
      <c r="O142" s="226">
        <f t="shared" ca="1" si="28"/>
        <v>0.1040343088399806</v>
      </c>
      <c r="P142" s="226">
        <f t="shared" ca="1" si="28"/>
        <v>3.3492425801213914E-2</v>
      </c>
      <c r="Q142" s="226">
        <f t="shared" ca="1" si="28"/>
        <v>3.1323729883803678E-2</v>
      </c>
      <c r="R142" s="226">
        <f t="shared" ca="1" si="28"/>
        <v>0</v>
      </c>
      <c r="S142" s="226">
        <f t="shared" ca="1" si="28"/>
        <v>4.2643923751739983E-2</v>
      </c>
      <c r="T142" s="226">
        <f t="shared" ca="1" si="19"/>
        <v>0.24154815222526838</v>
      </c>
      <c r="U142" s="199"/>
      <c r="V142" s="206">
        <f t="shared" si="27"/>
        <v>19</v>
      </c>
      <c r="W142" s="207" t="str">
        <f t="shared" si="20"/>
        <v>San Marino</v>
      </c>
      <c r="X142" s="226">
        <f t="shared" ca="1" si="29"/>
        <v>3.0399404764344856E-2</v>
      </c>
      <c r="Y142" s="226">
        <f t="shared" ca="1" si="29"/>
        <v>9.9712127245592377E-2</v>
      </c>
      <c r="Z142" s="226">
        <f t="shared" ca="1" si="29"/>
        <v>1.2990037673209418E-2</v>
      </c>
      <c r="AA142" s="226">
        <f t="shared" ca="1" si="29"/>
        <v>3.3152818331882286E-2</v>
      </c>
      <c r="AB142" s="226">
        <f t="shared" ca="1" si="29"/>
        <v>0</v>
      </c>
      <c r="AC142" s="226">
        <f t="shared" ca="1" si="29"/>
        <v>4.5207222871085181E-2</v>
      </c>
      <c r="AD142" s="17">
        <f t="shared" ca="1" si="22"/>
        <v>0.22146161088611416</v>
      </c>
    </row>
    <row r="143" spans="1:30" ht="15" customHeight="1">
      <c r="A143" s="199"/>
      <c r="B143" s="206">
        <f t="shared" si="23"/>
        <v>20</v>
      </c>
      <c r="C143" s="207" t="str">
        <f t="shared" si="30"/>
        <v>Serbia</v>
      </c>
      <c r="D143" s="226">
        <f t="shared" ca="1" si="31"/>
        <v>0.11049987142246905</v>
      </c>
      <c r="E143" s="226">
        <f t="shared" ca="1" si="31"/>
        <v>0.16039620666573096</v>
      </c>
      <c r="F143" s="226">
        <f t="shared" ca="1" si="31"/>
        <v>2.9365775306026697E-2</v>
      </c>
      <c r="G143" s="226">
        <f t="shared" ca="1" si="31"/>
        <v>8.2342845650348204E-2</v>
      </c>
      <c r="H143" s="226">
        <f t="shared" ca="1" si="31"/>
        <v>4.5897644050799616E-2</v>
      </c>
      <c r="I143" s="226">
        <f t="shared" ca="1" si="31"/>
        <v>2.2699705431645741E-2</v>
      </c>
      <c r="J143" s="226">
        <f t="shared" ca="1" si="25"/>
        <v>0.45120204852702023</v>
      </c>
      <c r="K143" s="199"/>
      <c r="L143" s="206">
        <f t="shared" si="26"/>
        <v>20</v>
      </c>
      <c r="M143" s="207" t="str">
        <f t="shared" si="17"/>
        <v>Serbia</v>
      </c>
      <c r="N143" s="226">
        <f t="shared" ca="1" si="28"/>
        <v>0.11080428122437905</v>
      </c>
      <c r="O143" s="226">
        <f t="shared" ca="1" si="28"/>
        <v>0.14304717465497335</v>
      </c>
      <c r="P143" s="226">
        <f t="shared" ca="1" si="28"/>
        <v>3.2813525278216321E-2</v>
      </c>
      <c r="Q143" s="226">
        <f t="shared" ca="1" si="28"/>
        <v>8.4241849308714437E-2</v>
      </c>
      <c r="R143" s="226">
        <f t="shared" ca="1" si="28"/>
        <v>7.9140701665284335E-2</v>
      </c>
      <c r="S143" s="226">
        <f t="shared" ca="1" si="28"/>
        <v>1.7971367866804703E-2</v>
      </c>
      <c r="T143" s="226">
        <f t="shared" ca="1" si="19"/>
        <v>0.46801889999837226</v>
      </c>
      <c r="U143" s="199"/>
      <c r="V143" s="206">
        <f t="shared" si="27"/>
        <v>20</v>
      </c>
      <c r="W143" s="207" t="str">
        <f t="shared" si="20"/>
        <v>Serbia</v>
      </c>
      <c r="X143" s="226">
        <f t="shared" ca="1" si="29"/>
        <v>0.11207861352510987</v>
      </c>
      <c r="Y143" s="226">
        <f t="shared" ca="1" si="29"/>
        <v>0.15394152978266898</v>
      </c>
      <c r="Z143" s="226">
        <f t="shared" ca="1" si="29"/>
        <v>2.7410171237047386E-2</v>
      </c>
      <c r="AA143" s="226">
        <f t="shared" ca="1" si="29"/>
        <v>8.3449299375308233E-2</v>
      </c>
      <c r="AB143" s="226">
        <f t="shared" ca="1" si="29"/>
        <v>6.3952682831937335E-2</v>
      </c>
      <c r="AC143" s="226">
        <f t="shared" ca="1" si="29"/>
        <v>2.0633040182187604E-2</v>
      </c>
      <c r="AD143" s="17">
        <f t="shared" ca="1" si="22"/>
        <v>0.4614653369342594</v>
      </c>
    </row>
    <row r="144" spans="1:30" ht="15" customHeight="1">
      <c r="A144" s="199"/>
      <c r="B144" s="206">
        <f t="shared" si="23"/>
        <v>21</v>
      </c>
      <c r="C144" s="207" t="str">
        <f t="shared" si="30"/>
        <v>Switzerland</v>
      </c>
      <c r="D144" s="226">
        <f t="shared" ca="1" si="31"/>
        <v>0.12926971259560077</v>
      </c>
      <c r="E144" s="226">
        <f t="shared" ca="1" si="31"/>
        <v>0.21932966138760931</v>
      </c>
      <c r="F144" s="226">
        <f t="shared" ca="1" si="31"/>
        <v>0.10064882665372052</v>
      </c>
      <c r="G144" s="226">
        <f t="shared" ca="1" si="31"/>
        <v>9.4949079349261431E-2</v>
      </c>
      <c r="H144" s="226">
        <f t="shared" ca="1" si="31"/>
        <v>7.8384865354246255E-2</v>
      </c>
      <c r="I144" s="226">
        <f t="shared" ca="1" si="31"/>
        <v>5.9549876586914817E-2</v>
      </c>
      <c r="J144" s="226">
        <f t="shared" ca="1" si="25"/>
        <v>0.68213202192735312</v>
      </c>
      <c r="K144" s="199"/>
      <c r="L144" s="206">
        <f t="shared" si="26"/>
        <v>21</v>
      </c>
      <c r="M144" s="207" t="str">
        <f t="shared" si="17"/>
        <v>Switzerland</v>
      </c>
      <c r="N144" s="226">
        <f t="shared" ref="N144:S150" ca="1" si="32">IF(AND(ISNUMBER($L144),ISNUMBER(N$5)),N$121*N86,"")</f>
        <v>0.1296258303638626</v>
      </c>
      <c r="O144" s="226">
        <f t="shared" ca="1" si="32"/>
        <v>0.21836367949225094</v>
      </c>
      <c r="P144" s="226">
        <f t="shared" ca="1" si="32"/>
        <v>9.7535375137318914E-2</v>
      </c>
      <c r="Q144" s="226">
        <f t="shared" ca="1" si="32"/>
        <v>8.4241849308714437E-2</v>
      </c>
      <c r="R144" s="226">
        <f t="shared" ca="1" si="32"/>
        <v>9.929002141442117E-2</v>
      </c>
      <c r="S144" s="226">
        <f t="shared" ca="1" si="32"/>
        <v>5.7721596792533747E-2</v>
      </c>
      <c r="T144" s="226">
        <f t="shared" ca="1" si="19"/>
        <v>0.6867783525091018</v>
      </c>
      <c r="U144" s="199"/>
      <c r="V144" s="206">
        <f t="shared" si="27"/>
        <v>21</v>
      </c>
      <c r="W144" s="207" t="str">
        <f t="shared" si="20"/>
        <v>Switzerland</v>
      </c>
      <c r="X144" s="226">
        <f t="shared" ref="X144:AC150" ca="1" si="33">IF(AND(ISNUMBER($V144),ISNUMBER(X$5)),X$121*X86,"")</f>
        <v>0.13111662458964907</v>
      </c>
      <c r="Y144" s="226">
        <f t="shared" ca="1" si="33"/>
        <v>0.22274872870068008</v>
      </c>
      <c r="Z144" s="226">
        <f t="shared" ca="1" si="33"/>
        <v>9.7365695220294382E-2</v>
      </c>
      <c r="AA144" s="226">
        <f t="shared" ca="1" si="33"/>
        <v>8.9373947518268215E-2</v>
      </c>
      <c r="AB144" s="226">
        <f t="shared" ca="1" si="33"/>
        <v>9.2613375489483951E-2</v>
      </c>
      <c r="AC144" s="226">
        <f t="shared" ca="1" si="33"/>
        <v>6.012174255334065E-2</v>
      </c>
      <c r="AD144" s="17">
        <f t="shared" ca="1" si="22"/>
        <v>0.69334011407171636</v>
      </c>
    </row>
    <row r="145" spans="1:30" ht="15" customHeight="1">
      <c r="A145" s="199"/>
      <c r="B145" s="206">
        <f t="shared" si="23"/>
        <v>22</v>
      </c>
      <c r="C145" s="207" t="str">
        <f t="shared" si="30"/>
        <v>Tajikistan</v>
      </c>
      <c r="D145" s="226">
        <f t="shared" ca="1" si="31"/>
        <v>7.0538274086124078E-2</v>
      </c>
      <c r="E145" s="226">
        <f t="shared" ca="1" si="31"/>
        <v>2.1872209999872397E-2</v>
      </c>
      <c r="F145" s="226">
        <f t="shared" ca="1" si="31"/>
        <v>1.3498783810028397E-2</v>
      </c>
      <c r="G145" s="226">
        <f t="shared" ca="1" si="31"/>
        <v>2.5212467397826479E-2</v>
      </c>
      <c r="H145" s="226">
        <f t="shared" ca="1" si="31"/>
        <v>2.4176536783960291E-2</v>
      </c>
      <c r="I145" s="226">
        <f t="shared" ca="1" si="31"/>
        <v>0</v>
      </c>
      <c r="J145" s="226">
        <f t="shared" ca="1" si="25"/>
        <v>0.15529827207781163</v>
      </c>
      <c r="K145" s="199"/>
      <c r="L145" s="206">
        <f t="shared" si="26"/>
        <v>22</v>
      </c>
      <c r="M145" s="207" t="str">
        <f t="shared" si="17"/>
        <v>Tajikistan</v>
      </c>
      <c r="N145" s="226">
        <f t="shared" ca="1" si="32"/>
        <v>4.4321712489751627E-2</v>
      </c>
      <c r="O145" s="226">
        <f t="shared" ca="1" si="32"/>
        <v>4.5515010117491504E-2</v>
      </c>
      <c r="P145" s="226">
        <f t="shared" ca="1" si="32"/>
        <v>1.6972513074939483E-2</v>
      </c>
      <c r="Q145" s="226">
        <f t="shared" ca="1" si="32"/>
        <v>2.230629249301171E-2</v>
      </c>
      <c r="R145" s="226">
        <f t="shared" ca="1" si="32"/>
        <v>5.4136124145271192E-2</v>
      </c>
      <c r="S145" s="226">
        <f t="shared" ca="1" si="32"/>
        <v>1.9798964599022089E-3</v>
      </c>
      <c r="T145" s="226">
        <f t="shared" ca="1" si="19"/>
        <v>0.18523154878036771</v>
      </c>
      <c r="U145" s="199"/>
      <c r="V145" s="206">
        <f t="shared" si="27"/>
        <v>22</v>
      </c>
      <c r="W145" s="207" t="str">
        <f t="shared" si="20"/>
        <v>Tajikistan</v>
      </c>
      <c r="X145" s="226">
        <f t="shared" ca="1" si="33"/>
        <v>5.8188759624680335E-2</v>
      </c>
      <c r="Y145" s="226">
        <f t="shared" ca="1" si="33"/>
        <v>3.4986711314242941E-2</v>
      </c>
      <c r="Z145" s="226">
        <f t="shared" ca="1" si="33"/>
        <v>1.1083243152371329E-2</v>
      </c>
      <c r="AA145" s="226">
        <f t="shared" ca="1" si="33"/>
        <v>2.3698592571839809E-2</v>
      </c>
      <c r="AB145" s="226">
        <f t="shared" ca="1" si="33"/>
        <v>3.9450600481564159E-2</v>
      </c>
      <c r="AC145" s="226">
        <f t="shared" ca="1" si="33"/>
        <v>6.1821843242509445E-4</v>
      </c>
      <c r="AD145" s="17">
        <f t="shared" ca="1" si="22"/>
        <v>0.16802612557712368</v>
      </c>
    </row>
    <row r="146" spans="1:30" ht="15" customHeight="1">
      <c r="A146" s="199"/>
      <c r="B146" s="206">
        <f t="shared" si="23"/>
        <v>23</v>
      </c>
      <c r="C146" s="207" t="str">
        <f t="shared" si="30"/>
        <v>Turkey</v>
      </c>
      <c r="D146" s="226">
        <f t="shared" ca="1" si="31"/>
        <v>0.12957245196936096</v>
      </c>
      <c r="E146" s="226">
        <f t="shared" ca="1" si="31"/>
        <v>0.19988769694327829</v>
      </c>
      <c r="F146" s="226">
        <f t="shared" ca="1" si="31"/>
        <v>4.1680455273070141E-2</v>
      </c>
      <c r="G146" s="226">
        <f t="shared" ca="1" si="31"/>
        <v>9.0121160060315952E-2</v>
      </c>
      <c r="H146" s="226">
        <f t="shared" ca="1" si="31"/>
        <v>6.2519013089772327E-2</v>
      </c>
      <c r="I146" s="226">
        <f t="shared" ca="1" si="31"/>
        <v>2.1078297900813898E-2</v>
      </c>
      <c r="J146" s="226">
        <f t="shared" ca="1" si="25"/>
        <v>0.54485907523661159</v>
      </c>
      <c r="K146" s="199"/>
      <c r="L146" s="206">
        <f t="shared" si="26"/>
        <v>23</v>
      </c>
      <c r="M146" s="207" t="str">
        <f t="shared" si="17"/>
        <v>Turkey</v>
      </c>
      <c r="N146" s="226">
        <f t="shared" ca="1" si="32"/>
        <v>0.13235799072281992</v>
      </c>
      <c r="O146" s="226">
        <f t="shared" ca="1" si="32"/>
        <v>0.21240338054829372</v>
      </c>
      <c r="P146" s="226">
        <f t="shared" ca="1" si="32"/>
        <v>3.3492425801213914E-2</v>
      </c>
      <c r="Q146" s="226">
        <f t="shared" ca="1" si="32"/>
        <v>9.1360878827760728E-2</v>
      </c>
      <c r="R146" s="226">
        <f t="shared" ca="1" si="32"/>
        <v>9.929002141442117E-2</v>
      </c>
      <c r="S146" s="226">
        <f t="shared" ca="1" si="32"/>
        <v>1.5991471406902494E-2</v>
      </c>
      <c r="T146" s="226">
        <f t="shared" ca="1" si="19"/>
        <v>0.58489616872141192</v>
      </c>
      <c r="U146" s="199"/>
      <c r="V146" s="206">
        <f t="shared" si="27"/>
        <v>23</v>
      </c>
      <c r="W146" s="207" t="str">
        <f t="shared" si="20"/>
        <v>Turkey</v>
      </c>
      <c r="X146" s="226">
        <f t="shared" ca="1" si="33"/>
        <v>0.13265194806259578</v>
      </c>
      <c r="Y146" s="226">
        <f t="shared" ca="1" si="33"/>
        <v>0.21021182381307635</v>
      </c>
      <c r="Z146" s="226">
        <f t="shared" ca="1" si="33"/>
        <v>3.396477740242828E-2</v>
      </c>
      <c r="AA146" s="226">
        <f t="shared" ca="1" si="33"/>
        <v>9.0886623639875E-2</v>
      </c>
      <c r="AB146" s="226">
        <f t="shared" ca="1" si="33"/>
        <v>8.3172206143468611E-2</v>
      </c>
      <c r="AC146" s="226">
        <f t="shared" ca="1" si="33"/>
        <v>1.8778384884912309E-2</v>
      </c>
      <c r="AD146" s="17">
        <f t="shared" ca="1" si="22"/>
        <v>0.56966576394635637</v>
      </c>
    </row>
    <row r="147" spans="1:30" ht="15" customHeight="1">
      <c r="A147" s="199"/>
      <c r="B147" s="206">
        <f t="shared" si="23"/>
        <v>24</v>
      </c>
      <c r="C147" s="207" t="str">
        <f t="shared" si="30"/>
        <v>Turkmenistan</v>
      </c>
      <c r="D147" s="226">
        <f t="shared" ca="1" si="31"/>
        <v>4.3897209195227431E-2</v>
      </c>
      <c r="E147" s="226">
        <f t="shared" ca="1" si="31"/>
        <v>0.15128278583245078</v>
      </c>
      <c r="F147" s="226">
        <f t="shared" ca="1" si="31"/>
        <v>9.2360099752825942E-3</v>
      </c>
      <c r="G147" s="226">
        <f t="shared" ca="1" si="31"/>
        <v>4.211018490913572E-2</v>
      </c>
      <c r="H147" s="226">
        <f t="shared" ca="1" si="31"/>
        <v>2.1532228073214636E-2</v>
      </c>
      <c r="I147" s="226">
        <f t="shared" ca="1" si="31"/>
        <v>7.8122362849170372E-3</v>
      </c>
      <c r="J147" s="226">
        <f t="shared" ca="1" si="25"/>
        <v>0.27587065427022822</v>
      </c>
      <c r="K147" s="199"/>
      <c r="L147" s="206">
        <f t="shared" si="26"/>
        <v>24</v>
      </c>
      <c r="M147" s="207" t="str">
        <f t="shared" si="17"/>
        <v>Turkmenistan</v>
      </c>
      <c r="N147" s="226">
        <f t="shared" ca="1" si="32"/>
        <v>4.4321712489751627E-2</v>
      </c>
      <c r="O147" s="226">
        <f t="shared" ca="1" si="32"/>
        <v>0.1376287210695577</v>
      </c>
      <c r="P147" s="226">
        <f t="shared" ca="1" si="32"/>
        <v>0</v>
      </c>
      <c r="Q147" s="226">
        <f t="shared" ca="1" si="32"/>
        <v>3.6069749563167872E-2</v>
      </c>
      <c r="R147" s="226">
        <f t="shared" ca="1" si="32"/>
        <v>4.6610474600412864E-2</v>
      </c>
      <c r="S147" s="226">
        <f t="shared" ca="1" si="32"/>
        <v>6.7011880181305659E-3</v>
      </c>
      <c r="T147" s="226">
        <f t="shared" ca="1" si="19"/>
        <v>0.27133184574102065</v>
      </c>
      <c r="U147" s="199"/>
      <c r="V147" s="206">
        <f t="shared" si="27"/>
        <v>24</v>
      </c>
      <c r="W147" s="207" t="str">
        <f t="shared" si="20"/>
        <v>Turkmenistan</v>
      </c>
      <c r="X147" s="226">
        <f t="shared" ca="1" si="33"/>
        <v>4.4677913062749271E-2</v>
      </c>
      <c r="Y147" s="226">
        <f t="shared" ca="1" si="33"/>
        <v>0.14665263159220168</v>
      </c>
      <c r="Z147" s="226">
        <f t="shared" ca="1" si="33"/>
        <v>0</v>
      </c>
      <c r="AA147" s="226">
        <f t="shared" ca="1" si="33"/>
        <v>3.8951410131374993E-2</v>
      </c>
      <c r="AB147" s="226">
        <f t="shared" ca="1" si="33"/>
        <v>3.4392831189055936E-2</v>
      </c>
      <c r="AC147" s="226">
        <f t="shared" ca="1" si="33"/>
        <v>7.1095119728886132E-3</v>
      </c>
      <c r="AD147" s="17">
        <f t="shared" ca="1" si="22"/>
        <v>0.27178429794827047</v>
      </c>
    </row>
    <row r="148" spans="1:30" ht="15" customHeight="1">
      <c r="A148" s="199"/>
      <c r="B148" s="206">
        <f t="shared" si="23"/>
        <v>25</v>
      </c>
      <c r="C148" s="207" t="str">
        <f t="shared" si="30"/>
        <v>Ukraine</v>
      </c>
      <c r="D148" s="226">
        <f t="shared" ca="1" si="31"/>
        <v>7.6593061561327849E-2</v>
      </c>
      <c r="E148" s="226">
        <f t="shared" ca="1" si="31"/>
        <v>0.12819545305480767</v>
      </c>
      <c r="F148" s="226">
        <f t="shared" ca="1" si="31"/>
        <v>2.1077048405132068E-2</v>
      </c>
      <c r="G148" s="226">
        <f t="shared" ca="1" si="31"/>
        <v>4.6133450983256982E-2</v>
      </c>
      <c r="H148" s="226">
        <f t="shared" ca="1" si="31"/>
        <v>4.5897644050799616E-2</v>
      </c>
      <c r="I148" s="226">
        <f t="shared" ca="1" si="31"/>
        <v>7.3700342310538121E-4</v>
      </c>
      <c r="J148" s="226">
        <f t="shared" ca="1" si="25"/>
        <v>0.31863366147842959</v>
      </c>
      <c r="K148" s="199"/>
      <c r="L148" s="206">
        <f t="shared" si="26"/>
        <v>25</v>
      </c>
      <c r="M148" s="207" t="str">
        <f t="shared" si="17"/>
        <v>Ukraine</v>
      </c>
      <c r="N148" s="226">
        <f t="shared" ca="1" si="32"/>
        <v>7.2554036198976962E-2</v>
      </c>
      <c r="O148" s="226">
        <f t="shared" ca="1" si="32"/>
        <v>0.16580467971371909</v>
      </c>
      <c r="P148" s="226">
        <f t="shared" ca="1" si="32"/>
        <v>9.730907496298638E-3</v>
      </c>
      <c r="Q148" s="226">
        <f t="shared" ca="1" si="32"/>
        <v>7.9970431597286673E-2</v>
      </c>
      <c r="R148" s="226">
        <f t="shared" ca="1" si="32"/>
        <v>6.8944660346444031E-2</v>
      </c>
      <c r="S148" s="226">
        <f t="shared" ca="1" si="32"/>
        <v>0</v>
      </c>
      <c r="T148" s="226">
        <f t="shared" ca="1" si="19"/>
        <v>0.39700471535272541</v>
      </c>
      <c r="U148" s="199"/>
      <c r="V148" s="206">
        <f t="shared" si="27"/>
        <v>25</v>
      </c>
      <c r="W148" s="207" t="str">
        <f t="shared" si="20"/>
        <v>Ukraine</v>
      </c>
      <c r="X148" s="226">
        <f t="shared" ca="1" si="33"/>
        <v>7.5537914868978123E-2</v>
      </c>
      <c r="Y148" s="226">
        <f t="shared" ca="1" si="33"/>
        <v>0.15073441457886336</v>
      </c>
      <c r="Z148" s="226">
        <f t="shared" ca="1" si="33"/>
        <v>1.1083243152371337E-2</v>
      </c>
      <c r="AA148" s="226">
        <f t="shared" ca="1" si="33"/>
        <v>6.4162678824821615E-2</v>
      </c>
      <c r="AB148" s="226">
        <f t="shared" ca="1" si="33"/>
        <v>5.9232098158929665E-2</v>
      </c>
      <c r="AC148" s="226">
        <f t="shared" ca="1" si="33"/>
        <v>0</v>
      </c>
      <c r="AD148" s="17">
        <f t="shared" ca="1" si="22"/>
        <v>0.36075034958396407</v>
      </c>
    </row>
    <row r="149" spans="1:30" ht="15" customHeight="1">
      <c r="A149" s="199"/>
      <c r="B149" s="206">
        <f t="shared" si="23"/>
        <v>26</v>
      </c>
      <c r="C149" s="207" t="str">
        <f t="shared" si="30"/>
        <v>United Kingdom</v>
      </c>
      <c r="D149" s="226">
        <f t="shared" ca="1" si="31"/>
        <v>0.16892857055818555</v>
      </c>
      <c r="E149" s="226">
        <f t="shared" ca="1" si="31"/>
        <v>0.36635951749786266</v>
      </c>
      <c r="F149" s="226">
        <f t="shared" ca="1" si="31"/>
        <v>9.3070562058616857E-2</v>
      </c>
      <c r="G149" s="226">
        <f t="shared" ca="1" si="31"/>
        <v>0.13544995782874866</v>
      </c>
      <c r="H149" s="226">
        <f t="shared" ca="1" si="31"/>
        <v>9.1417529714349868E-2</v>
      </c>
      <c r="I149" s="226">
        <f t="shared" ca="1" si="31"/>
        <v>4.643121565563902E-2</v>
      </c>
      <c r="J149" s="226">
        <f t="shared" ca="1" si="25"/>
        <v>0.90165735331340269</v>
      </c>
      <c r="K149" s="199"/>
      <c r="L149" s="206">
        <f t="shared" si="26"/>
        <v>26</v>
      </c>
      <c r="M149" s="207" t="str">
        <f t="shared" si="17"/>
        <v>United Kingdom</v>
      </c>
      <c r="N149" s="226">
        <f t="shared" ca="1" si="32"/>
        <v>0.17000108900178704</v>
      </c>
      <c r="O149" s="226">
        <f t="shared" ca="1" si="32"/>
        <v>0.37170591595951402</v>
      </c>
      <c r="P149" s="226">
        <f t="shared" ca="1" si="32"/>
        <v>9.7309074962986367E-2</v>
      </c>
      <c r="Q149" s="226">
        <f t="shared" ca="1" si="32"/>
        <v>0.12553222051918292</v>
      </c>
      <c r="R149" s="226">
        <f t="shared" ca="1" si="32"/>
        <v>0.10608738229364803</v>
      </c>
      <c r="S149" s="226">
        <f t="shared" ca="1" si="32"/>
        <v>4.0054828381098626E-2</v>
      </c>
      <c r="T149" s="226">
        <f t="shared" ca="1" si="19"/>
        <v>0.91069051111821697</v>
      </c>
      <c r="U149" s="199"/>
      <c r="V149" s="206">
        <f t="shared" si="27"/>
        <v>26</v>
      </c>
      <c r="W149" s="207" t="str">
        <f t="shared" si="20"/>
        <v>United Kingdom</v>
      </c>
      <c r="X149" s="226">
        <f t="shared" ca="1" si="33"/>
        <v>0.17164916427544219</v>
      </c>
      <c r="Y149" s="226">
        <f t="shared" ca="1" si="33"/>
        <v>0.37581559070049303</v>
      </c>
      <c r="Z149" s="226">
        <f t="shared" ca="1" si="33"/>
        <v>9.343293152106584E-2</v>
      </c>
      <c r="AA149" s="226">
        <f t="shared" ca="1" si="33"/>
        <v>0.13034225914511893</v>
      </c>
      <c r="AB149" s="226">
        <f t="shared" ca="1" si="33"/>
        <v>0.10351567818666836</v>
      </c>
      <c r="AC149" s="226">
        <f t="shared" ca="1" si="33"/>
        <v>4.4279895222447546E-2</v>
      </c>
      <c r="AD149" s="17">
        <f t="shared" ca="1" si="22"/>
        <v>0.91903551905123593</v>
      </c>
    </row>
    <row r="150" spans="1:30" ht="15" customHeight="1">
      <c r="A150" s="199"/>
      <c r="B150" s="206">
        <f t="shared" si="23"/>
        <v>27</v>
      </c>
      <c r="C150" s="207" t="str">
        <f t="shared" si="30"/>
        <v>Uzbekistan</v>
      </c>
      <c r="D150" s="226">
        <f t="shared" ca="1" si="31"/>
        <v>8.6886200269174291E-2</v>
      </c>
      <c r="E150" s="226">
        <f t="shared" ca="1" si="31"/>
        <v>0.1081459272215913</v>
      </c>
      <c r="F150" s="226">
        <f t="shared" ca="1" si="31"/>
        <v>1.6340633033192276E-2</v>
      </c>
      <c r="G150" s="226">
        <f t="shared" ca="1" si="31"/>
        <v>2.3871378706452728E-2</v>
      </c>
      <c r="H150" s="226">
        <f t="shared" ca="1" si="31"/>
        <v>5.7985912442779765E-2</v>
      </c>
      <c r="I150" s="226">
        <f t="shared" ca="1" si="31"/>
        <v>1.3560862985139021E-2</v>
      </c>
      <c r="J150" s="226">
        <f t="shared" ca="1" si="25"/>
        <v>0.30679091465832942</v>
      </c>
      <c r="K150" s="199"/>
      <c r="L150" s="206">
        <f t="shared" si="26"/>
        <v>27</v>
      </c>
      <c r="M150" s="207" t="str">
        <f t="shared" si="17"/>
        <v>Uzbekistan</v>
      </c>
      <c r="N150" s="226">
        <f t="shared" ca="1" si="32"/>
        <v>0.10048278653498484</v>
      </c>
      <c r="O150" s="226">
        <f t="shared" ca="1" si="32"/>
        <v>8.8320793442275211E-2</v>
      </c>
      <c r="P150" s="226">
        <f t="shared" ca="1" si="32"/>
        <v>1.5388411854611801E-2</v>
      </c>
      <c r="Q150" s="226">
        <f t="shared" ca="1" si="32"/>
        <v>3.5357846611263247E-2</v>
      </c>
      <c r="R150" s="226">
        <f t="shared" ca="1" si="32"/>
        <v>0.10681567095927948</v>
      </c>
      <c r="S150" s="226">
        <f t="shared" ca="1" si="32"/>
        <v>1.0051782027195843E-2</v>
      </c>
      <c r="T150" s="226">
        <f t="shared" ca="1" si="19"/>
        <v>0.35641729142961043</v>
      </c>
      <c r="U150" s="199"/>
      <c r="V150" s="206">
        <f t="shared" si="27"/>
        <v>27</v>
      </c>
      <c r="W150" s="207" t="str">
        <f t="shared" si="20"/>
        <v>Uzbekistan</v>
      </c>
      <c r="X150" s="226">
        <f t="shared" ca="1" si="33"/>
        <v>9.4882990628106706E-2</v>
      </c>
      <c r="Y150" s="226">
        <f t="shared" ca="1" si="33"/>
        <v>9.9420571317973716E-2</v>
      </c>
      <c r="Z150" s="226">
        <f t="shared" ca="1" si="33"/>
        <v>1.1679116440133246E-2</v>
      </c>
      <c r="AA150" s="226">
        <f t="shared" ca="1" si="33"/>
        <v>3.0001409745201459E-2</v>
      </c>
      <c r="AB150" s="226">
        <f t="shared" ca="1" si="33"/>
        <v>8.3958970255636547E-2</v>
      </c>
      <c r="AC150" s="226">
        <f t="shared" ca="1" si="33"/>
        <v>1.1823427520129971E-2</v>
      </c>
      <c r="AD150" s="17">
        <f t="shared" ca="1" si="22"/>
        <v>0.33176648590718166</v>
      </c>
    </row>
    <row r="151" spans="1:30" ht="15" hidden="1" customHeight="1">
      <c r="A151" s="199"/>
      <c r="B151" s="206"/>
      <c r="C151" s="207"/>
      <c r="D151" s="226"/>
      <c r="E151" s="226"/>
      <c r="F151" s="226"/>
      <c r="G151" s="226"/>
      <c r="H151" s="226"/>
      <c r="I151" s="226"/>
      <c r="J151" s="226"/>
      <c r="K151" s="199"/>
      <c r="L151" s="206"/>
      <c r="M151" s="207"/>
      <c r="N151" s="226"/>
      <c r="O151" s="226"/>
      <c r="P151" s="226"/>
      <c r="Q151" s="226"/>
      <c r="R151" s="226"/>
      <c r="S151" s="226"/>
      <c r="T151" s="226"/>
      <c r="U151" s="199"/>
      <c r="V151" s="206"/>
      <c r="W151" s="207"/>
      <c r="X151" s="226"/>
      <c r="Y151" s="226"/>
      <c r="Z151" s="226"/>
      <c r="AA151" s="226"/>
      <c r="AB151" s="226"/>
      <c r="AC151" s="226"/>
      <c r="AD151" s="17"/>
    </row>
    <row r="152" spans="1:30" ht="15" hidden="1" customHeight="1">
      <c r="A152" s="199"/>
      <c r="B152" s="206"/>
      <c r="C152" s="207"/>
      <c r="D152" s="226"/>
      <c r="E152" s="226"/>
      <c r="F152" s="226"/>
      <c r="G152" s="226"/>
      <c r="H152" s="226"/>
      <c r="I152" s="226"/>
      <c r="J152" s="226"/>
      <c r="K152" s="199"/>
      <c r="L152" s="206"/>
      <c r="M152" s="207"/>
      <c r="N152" s="226"/>
      <c r="O152" s="226"/>
      <c r="P152" s="226"/>
      <c r="Q152" s="226"/>
      <c r="R152" s="226"/>
      <c r="S152" s="226"/>
      <c r="T152" s="226"/>
      <c r="U152" s="199"/>
      <c r="V152" s="206"/>
      <c r="W152" s="207"/>
      <c r="X152" s="226"/>
      <c r="Y152" s="226"/>
      <c r="Z152" s="226"/>
      <c r="AA152" s="226"/>
      <c r="AB152" s="226"/>
      <c r="AC152" s="226"/>
      <c r="AD152" s="17"/>
    </row>
    <row r="153" spans="1:30" ht="15" hidden="1" customHeight="1">
      <c r="A153" s="199"/>
      <c r="B153" s="206"/>
      <c r="C153" s="207"/>
      <c r="D153" s="226"/>
      <c r="E153" s="226"/>
      <c r="F153" s="226"/>
      <c r="G153" s="226"/>
      <c r="H153" s="226"/>
      <c r="I153" s="226"/>
      <c r="J153" s="226"/>
      <c r="K153" s="199"/>
      <c r="L153" s="206"/>
      <c r="M153" s="207"/>
      <c r="N153" s="226"/>
      <c r="O153" s="226"/>
      <c r="P153" s="226"/>
      <c r="Q153" s="226"/>
      <c r="R153" s="226"/>
      <c r="S153" s="226"/>
      <c r="T153" s="226"/>
      <c r="U153" s="199"/>
      <c r="V153" s="206"/>
      <c r="W153" s="207"/>
      <c r="X153" s="226"/>
      <c r="Y153" s="226"/>
      <c r="Z153" s="226"/>
      <c r="AA153" s="226"/>
      <c r="AB153" s="226"/>
      <c r="AC153" s="226"/>
      <c r="AD153" s="17"/>
    </row>
    <row r="154" spans="1:30" ht="15" hidden="1" customHeight="1">
      <c r="A154" s="199"/>
      <c r="B154" s="206"/>
      <c r="C154" s="207"/>
      <c r="D154" s="226"/>
      <c r="E154" s="226"/>
      <c r="F154" s="226"/>
      <c r="G154" s="226"/>
      <c r="H154" s="226"/>
      <c r="I154" s="226"/>
      <c r="J154" s="226"/>
      <c r="K154" s="199"/>
      <c r="L154" s="206"/>
      <c r="M154" s="207"/>
      <c r="N154" s="226"/>
      <c r="O154" s="226"/>
      <c r="P154" s="226"/>
      <c r="Q154" s="226"/>
      <c r="R154" s="226"/>
      <c r="S154" s="226"/>
      <c r="T154" s="226"/>
      <c r="U154" s="199"/>
      <c r="V154" s="206"/>
      <c r="W154" s="207"/>
      <c r="X154" s="226"/>
      <c r="Y154" s="226"/>
      <c r="Z154" s="226"/>
      <c r="AA154" s="226"/>
      <c r="AB154" s="226"/>
      <c r="AC154" s="226"/>
      <c r="AD154" s="17"/>
    </row>
    <row r="155" spans="1:30" ht="15" hidden="1" customHeight="1">
      <c r="A155" s="199"/>
      <c r="B155" s="206"/>
      <c r="C155" s="207"/>
      <c r="D155" s="226"/>
      <c r="E155" s="226"/>
      <c r="F155" s="226"/>
      <c r="G155" s="226"/>
      <c r="H155" s="226"/>
      <c r="I155" s="226"/>
      <c r="J155" s="226"/>
      <c r="K155" s="199"/>
      <c r="L155" s="206"/>
      <c r="M155" s="207"/>
      <c r="N155" s="226"/>
      <c r="O155" s="226"/>
      <c r="P155" s="226"/>
      <c r="Q155" s="226"/>
      <c r="R155" s="226"/>
      <c r="S155" s="226"/>
      <c r="T155" s="226"/>
      <c r="U155" s="199"/>
      <c r="V155" s="206"/>
      <c r="W155" s="207"/>
      <c r="X155" s="226"/>
      <c r="Y155" s="226"/>
      <c r="Z155" s="226"/>
      <c r="AA155" s="226"/>
      <c r="AB155" s="226"/>
      <c r="AC155" s="226"/>
      <c r="AD155" s="17"/>
    </row>
    <row r="156" spans="1:30" ht="15" hidden="1" customHeight="1">
      <c r="A156" s="199"/>
      <c r="B156" s="206"/>
      <c r="C156" s="207"/>
      <c r="D156" s="226"/>
      <c r="E156" s="226"/>
      <c r="F156" s="226"/>
      <c r="G156" s="226"/>
      <c r="H156" s="226"/>
      <c r="I156" s="226"/>
      <c r="J156" s="226"/>
      <c r="K156" s="199"/>
      <c r="L156" s="206"/>
      <c r="M156" s="207"/>
      <c r="N156" s="226"/>
      <c r="O156" s="226"/>
      <c r="P156" s="226"/>
      <c r="Q156" s="226"/>
      <c r="R156" s="226"/>
      <c r="S156" s="226"/>
      <c r="T156" s="226"/>
      <c r="U156" s="199"/>
      <c r="V156" s="206"/>
      <c r="W156" s="207"/>
      <c r="X156" s="226"/>
      <c r="Y156" s="226"/>
      <c r="Z156" s="226"/>
      <c r="AA156" s="226"/>
      <c r="AB156" s="226"/>
      <c r="AC156" s="226"/>
      <c r="AD156" s="17"/>
    </row>
    <row r="157" spans="1:30" ht="15" hidden="1" customHeight="1">
      <c r="A157" s="199"/>
      <c r="B157" s="206"/>
      <c r="C157" s="207"/>
      <c r="D157" s="226"/>
      <c r="E157" s="226"/>
      <c r="F157" s="226"/>
      <c r="G157" s="226"/>
      <c r="H157" s="226"/>
      <c r="I157" s="226"/>
      <c r="J157" s="226"/>
      <c r="K157" s="199"/>
      <c r="L157" s="206"/>
      <c r="M157" s="207"/>
      <c r="N157" s="226"/>
      <c r="O157" s="226"/>
      <c r="P157" s="226"/>
      <c r="Q157" s="226"/>
      <c r="R157" s="226"/>
      <c r="S157" s="226"/>
      <c r="T157" s="226"/>
      <c r="U157" s="199"/>
      <c r="V157" s="206"/>
      <c r="W157" s="207"/>
      <c r="X157" s="226"/>
      <c r="Y157" s="226"/>
      <c r="Z157" s="226"/>
      <c r="AA157" s="226"/>
      <c r="AB157" s="226"/>
      <c r="AC157" s="226"/>
      <c r="AD157" s="17"/>
    </row>
    <row r="158" spans="1:30" ht="15" hidden="1" customHeight="1">
      <c r="A158" s="199"/>
      <c r="B158" s="206"/>
      <c r="C158" s="207"/>
      <c r="D158" s="226"/>
      <c r="E158" s="226"/>
      <c r="F158" s="226"/>
      <c r="G158" s="226"/>
      <c r="H158" s="226"/>
      <c r="I158" s="226"/>
      <c r="J158" s="226"/>
      <c r="K158" s="199"/>
      <c r="L158" s="206"/>
      <c r="M158" s="207"/>
      <c r="N158" s="226"/>
      <c r="O158" s="226"/>
      <c r="P158" s="226"/>
      <c r="Q158" s="226"/>
      <c r="R158" s="226"/>
      <c r="S158" s="226"/>
      <c r="T158" s="226"/>
      <c r="U158" s="199"/>
      <c r="V158" s="206"/>
      <c r="W158" s="207"/>
      <c r="X158" s="226"/>
      <c r="Y158" s="226"/>
      <c r="Z158" s="226"/>
      <c r="AA158" s="226"/>
      <c r="AB158" s="226"/>
      <c r="AC158" s="226"/>
      <c r="AD158" s="17"/>
    </row>
    <row r="159" spans="1:30" ht="15" hidden="1" customHeight="1">
      <c r="A159" s="199"/>
      <c r="B159" s="206"/>
      <c r="C159" s="207"/>
      <c r="D159" s="226"/>
      <c r="E159" s="226"/>
      <c r="F159" s="226"/>
      <c r="G159" s="226"/>
      <c r="H159" s="226"/>
      <c r="I159" s="226"/>
      <c r="J159" s="226"/>
      <c r="K159" s="199"/>
      <c r="L159" s="206"/>
      <c r="M159" s="207"/>
      <c r="N159" s="226"/>
      <c r="O159" s="226"/>
      <c r="P159" s="226"/>
      <c r="Q159" s="226"/>
      <c r="R159" s="226"/>
      <c r="S159" s="226"/>
      <c r="T159" s="226"/>
      <c r="U159" s="199"/>
      <c r="V159" s="206"/>
      <c r="W159" s="207"/>
      <c r="X159" s="226"/>
      <c r="Y159" s="226"/>
      <c r="Z159" s="226"/>
      <c r="AA159" s="226"/>
      <c r="AB159" s="226"/>
      <c r="AC159" s="226"/>
      <c r="AD159" s="17"/>
    </row>
    <row r="160" spans="1:30" ht="15" hidden="1" customHeight="1">
      <c r="A160" s="199"/>
      <c r="B160" s="206"/>
      <c r="C160" s="207"/>
      <c r="D160" s="226"/>
      <c r="E160" s="226"/>
      <c r="F160" s="226"/>
      <c r="G160" s="226"/>
      <c r="H160" s="226"/>
      <c r="I160" s="226"/>
      <c r="J160" s="226"/>
      <c r="K160" s="199"/>
      <c r="L160" s="206"/>
      <c r="M160" s="207"/>
      <c r="N160" s="226"/>
      <c r="O160" s="226"/>
      <c r="P160" s="226"/>
      <c r="Q160" s="226"/>
      <c r="R160" s="226"/>
      <c r="S160" s="226"/>
      <c r="T160" s="226"/>
      <c r="U160" s="199"/>
      <c r="V160" s="206"/>
      <c r="W160" s="207"/>
      <c r="X160" s="226"/>
      <c r="Y160" s="226"/>
      <c r="Z160" s="226"/>
      <c r="AA160" s="226"/>
      <c r="AB160" s="226"/>
      <c r="AC160" s="226"/>
      <c r="AD160" s="17"/>
    </row>
    <row r="161" spans="1:30" ht="15" hidden="1" customHeight="1">
      <c r="A161" s="199"/>
      <c r="B161" s="206"/>
      <c r="C161" s="207"/>
      <c r="D161" s="226"/>
      <c r="E161" s="226"/>
      <c r="F161" s="226"/>
      <c r="G161" s="226"/>
      <c r="H161" s="226"/>
      <c r="I161" s="226"/>
      <c r="J161" s="226"/>
      <c r="K161" s="199"/>
      <c r="L161" s="206"/>
      <c r="M161" s="207"/>
      <c r="N161" s="226"/>
      <c r="O161" s="226"/>
      <c r="P161" s="226"/>
      <c r="Q161" s="226"/>
      <c r="R161" s="226"/>
      <c r="S161" s="226"/>
      <c r="T161" s="226"/>
      <c r="U161" s="199"/>
      <c r="V161" s="206"/>
      <c r="W161" s="207"/>
      <c r="X161" s="226"/>
      <c r="Y161" s="226"/>
      <c r="Z161" s="226"/>
      <c r="AA161" s="226"/>
      <c r="AB161" s="226"/>
      <c r="AC161" s="226"/>
      <c r="AD161" s="17"/>
    </row>
    <row r="162" spans="1:30" ht="15" hidden="1" customHeight="1">
      <c r="A162" s="199"/>
      <c r="B162" s="206"/>
      <c r="C162" s="207"/>
      <c r="D162" s="226"/>
      <c r="E162" s="226"/>
      <c r="F162" s="226"/>
      <c r="G162" s="226"/>
      <c r="H162" s="226"/>
      <c r="I162" s="226"/>
      <c r="J162" s="226"/>
      <c r="K162" s="199"/>
      <c r="L162" s="206"/>
      <c r="M162" s="207"/>
      <c r="N162" s="226"/>
      <c r="O162" s="226"/>
      <c r="P162" s="226"/>
      <c r="Q162" s="226"/>
      <c r="R162" s="226"/>
      <c r="S162" s="226"/>
      <c r="T162" s="226"/>
      <c r="U162" s="199"/>
      <c r="V162" s="206"/>
      <c r="W162" s="207"/>
      <c r="X162" s="226"/>
      <c r="Y162" s="226"/>
      <c r="Z162" s="226"/>
      <c r="AA162" s="226"/>
      <c r="AB162" s="226"/>
      <c r="AC162" s="226"/>
      <c r="AD162" s="17"/>
    </row>
    <row r="163" spans="1:30" ht="15" hidden="1" customHeight="1">
      <c r="A163" s="199"/>
      <c r="B163" s="206"/>
      <c r="C163" s="207"/>
      <c r="D163" s="226"/>
      <c r="E163" s="226"/>
      <c r="F163" s="226"/>
      <c r="G163" s="226"/>
      <c r="H163" s="226"/>
      <c r="I163" s="226"/>
      <c r="J163" s="226"/>
      <c r="K163" s="199"/>
      <c r="L163" s="206"/>
      <c r="M163" s="207"/>
      <c r="N163" s="226"/>
      <c r="O163" s="226"/>
      <c r="P163" s="226"/>
      <c r="Q163" s="226"/>
      <c r="R163" s="226"/>
      <c r="S163" s="226"/>
      <c r="T163" s="226"/>
      <c r="U163" s="199"/>
      <c r="V163" s="206"/>
      <c r="W163" s="207"/>
      <c r="X163" s="226"/>
      <c r="Y163" s="226"/>
      <c r="Z163" s="226"/>
      <c r="AA163" s="226"/>
      <c r="AB163" s="226"/>
      <c r="AC163" s="226"/>
      <c r="AD163" s="17"/>
    </row>
    <row r="164" spans="1:30" ht="15" hidden="1" customHeight="1">
      <c r="A164" s="199"/>
      <c r="B164" s="206"/>
      <c r="C164" s="207"/>
      <c r="D164" s="226"/>
      <c r="E164" s="226"/>
      <c r="F164" s="226"/>
      <c r="G164" s="226"/>
      <c r="H164" s="226"/>
      <c r="I164" s="226"/>
      <c r="J164" s="226"/>
      <c r="K164" s="199"/>
      <c r="L164" s="206"/>
      <c r="M164" s="207"/>
      <c r="N164" s="226"/>
      <c r="O164" s="226"/>
      <c r="P164" s="226"/>
      <c r="Q164" s="226"/>
      <c r="R164" s="226"/>
      <c r="S164" s="226"/>
      <c r="T164" s="226"/>
      <c r="U164" s="199"/>
      <c r="V164" s="206"/>
      <c r="W164" s="207"/>
      <c r="X164" s="226"/>
      <c r="Y164" s="226"/>
      <c r="Z164" s="226"/>
      <c r="AA164" s="226"/>
      <c r="AB164" s="226"/>
      <c r="AC164" s="226"/>
      <c r="AD164" s="17"/>
    </row>
    <row r="165" spans="1:30" ht="15" hidden="1" customHeight="1">
      <c r="A165" s="199"/>
      <c r="B165" s="206"/>
      <c r="C165" s="207"/>
      <c r="D165" s="226"/>
      <c r="E165" s="226"/>
      <c r="F165" s="226"/>
      <c r="G165" s="226"/>
      <c r="H165" s="226"/>
      <c r="I165" s="226"/>
      <c r="J165" s="226"/>
      <c r="K165" s="199"/>
      <c r="L165" s="206"/>
      <c r="M165" s="207"/>
      <c r="N165" s="226"/>
      <c r="O165" s="226"/>
      <c r="P165" s="226"/>
      <c r="Q165" s="226"/>
      <c r="R165" s="226"/>
      <c r="S165" s="226"/>
      <c r="T165" s="226"/>
      <c r="U165" s="199"/>
      <c r="V165" s="206"/>
      <c r="W165" s="207"/>
      <c r="X165" s="226"/>
      <c r="Y165" s="226"/>
      <c r="Z165" s="226"/>
      <c r="AA165" s="226"/>
      <c r="AB165" s="226"/>
      <c r="AC165" s="226"/>
      <c r="AD165" s="17"/>
    </row>
    <row r="166" spans="1:30" ht="15" hidden="1" customHeight="1">
      <c r="A166" s="199"/>
      <c r="B166" s="206"/>
      <c r="C166" s="207"/>
      <c r="D166" s="226"/>
      <c r="E166" s="226"/>
      <c r="F166" s="226"/>
      <c r="G166" s="226"/>
      <c r="H166" s="226"/>
      <c r="I166" s="226"/>
      <c r="J166" s="226"/>
      <c r="K166" s="199"/>
      <c r="L166" s="206"/>
      <c r="M166" s="207"/>
      <c r="N166" s="226"/>
      <c r="O166" s="226"/>
      <c r="P166" s="226"/>
      <c r="Q166" s="226"/>
      <c r="R166" s="226"/>
      <c r="S166" s="226"/>
      <c r="T166" s="226"/>
      <c r="U166" s="199"/>
      <c r="V166" s="206"/>
      <c r="W166" s="207"/>
      <c r="X166" s="226"/>
      <c r="Y166" s="226"/>
      <c r="Z166" s="226"/>
      <c r="AA166" s="226"/>
      <c r="AB166" s="226"/>
      <c r="AC166" s="226"/>
      <c r="AD166" s="17"/>
    </row>
    <row r="167" spans="1:30" ht="15" hidden="1" customHeight="1">
      <c r="A167" s="199"/>
      <c r="B167" s="206"/>
      <c r="C167" s="207"/>
      <c r="D167" s="226"/>
      <c r="E167" s="226"/>
      <c r="F167" s="226"/>
      <c r="G167" s="226"/>
      <c r="H167" s="226"/>
      <c r="I167" s="226"/>
      <c r="J167" s="226"/>
      <c r="K167" s="199"/>
      <c r="L167" s="206"/>
      <c r="M167" s="207"/>
      <c r="N167" s="226"/>
      <c r="O167" s="226"/>
      <c r="P167" s="226"/>
      <c r="Q167" s="226"/>
      <c r="R167" s="226"/>
      <c r="S167" s="226"/>
      <c r="T167" s="226"/>
      <c r="U167" s="199"/>
      <c r="V167" s="206"/>
      <c r="W167" s="207"/>
      <c r="X167" s="226"/>
      <c r="Y167" s="226"/>
      <c r="Z167" s="226"/>
      <c r="AA167" s="226"/>
      <c r="AB167" s="226"/>
      <c r="AC167" s="226"/>
      <c r="AD167" s="17"/>
    </row>
    <row r="168" spans="1:30" ht="15" hidden="1" customHeight="1">
      <c r="A168" s="199"/>
      <c r="B168" s="206"/>
      <c r="C168" s="207"/>
      <c r="D168" s="226"/>
      <c r="E168" s="226"/>
      <c r="F168" s="226"/>
      <c r="G168" s="226"/>
      <c r="H168" s="226"/>
      <c r="I168" s="226"/>
      <c r="J168" s="226"/>
      <c r="K168" s="199"/>
      <c r="L168" s="206"/>
      <c r="M168" s="207"/>
      <c r="N168" s="226"/>
      <c r="O168" s="226"/>
      <c r="P168" s="226"/>
      <c r="Q168" s="226"/>
      <c r="R168" s="226"/>
      <c r="S168" s="226"/>
      <c r="T168" s="226"/>
      <c r="U168" s="199"/>
      <c r="V168" s="206"/>
      <c r="W168" s="207"/>
      <c r="X168" s="226"/>
      <c r="Y168" s="226"/>
      <c r="Z168" s="226"/>
      <c r="AA168" s="226"/>
      <c r="AB168" s="226"/>
      <c r="AC168" s="226"/>
      <c r="AD168" s="17"/>
    </row>
    <row r="169" spans="1:30" ht="15" hidden="1" customHeight="1">
      <c r="A169" s="199"/>
      <c r="B169" s="206"/>
      <c r="C169" s="207"/>
      <c r="D169" s="226"/>
      <c r="E169" s="226"/>
      <c r="F169" s="226"/>
      <c r="G169" s="226"/>
      <c r="H169" s="226"/>
      <c r="I169" s="226"/>
      <c r="J169" s="226"/>
      <c r="K169" s="199"/>
      <c r="L169" s="206"/>
      <c r="M169" s="207"/>
      <c r="N169" s="226"/>
      <c r="O169" s="226"/>
      <c r="P169" s="226"/>
      <c r="Q169" s="226"/>
      <c r="R169" s="226"/>
      <c r="S169" s="226"/>
      <c r="T169" s="226"/>
      <c r="U169" s="199"/>
      <c r="V169" s="206"/>
      <c r="W169" s="207"/>
      <c r="X169" s="226"/>
      <c r="Y169" s="226"/>
      <c r="Z169" s="226"/>
      <c r="AA169" s="226"/>
      <c r="AB169" s="226"/>
      <c r="AC169" s="226"/>
      <c r="AD169" s="17"/>
    </row>
    <row r="170" spans="1:30" ht="15" hidden="1" customHeight="1">
      <c r="A170" s="199"/>
      <c r="B170" s="206"/>
      <c r="C170" s="207"/>
      <c r="D170" s="226"/>
      <c r="E170" s="226"/>
      <c r="F170" s="226"/>
      <c r="G170" s="226"/>
      <c r="H170" s="226"/>
      <c r="I170" s="226"/>
      <c r="J170" s="226"/>
      <c r="K170" s="199"/>
      <c r="L170" s="206"/>
      <c r="M170" s="207"/>
      <c r="N170" s="226"/>
      <c r="O170" s="226"/>
      <c r="P170" s="226"/>
      <c r="Q170" s="226"/>
      <c r="R170" s="226"/>
      <c r="S170" s="226"/>
      <c r="T170" s="226"/>
      <c r="U170" s="199"/>
      <c r="V170" s="206"/>
      <c r="W170" s="207"/>
      <c r="X170" s="226"/>
      <c r="Y170" s="226"/>
      <c r="Z170" s="226"/>
      <c r="AA170" s="226"/>
      <c r="AB170" s="226"/>
      <c r="AC170" s="226"/>
      <c r="AD170" s="17"/>
    </row>
    <row r="171" spans="1:30" ht="15" hidden="1" customHeight="1">
      <c r="A171" s="199"/>
      <c r="B171" s="206"/>
      <c r="C171" s="207"/>
      <c r="D171" s="226"/>
      <c r="E171" s="226"/>
      <c r="F171" s="226"/>
      <c r="G171" s="226"/>
      <c r="H171" s="226"/>
      <c r="I171" s="226"/>
      <c r="J171" s="226"/>
      <c r="K171" s="199"/>
      <c r="L171" s="206"/>
      <c r="M171" s="207"/>
      <c r="N171" s="226"/>
      <c r="O171" s="226"/>
      <c r="P171" s="226"/>
      <c r="Q171" s="226"/>
      <c r="R171" s="226"/>
      <c r="S171" s="226"/>
      <c r="T171" s="226"/>
      <c r="U171" s="199"/>
      <c r="V171" s="206"/>
      <c r="W171" s="207"/>
      <c r="X171" s="226"/>
      <c r="Y171" s="226"/>
      <c r="Z171" s="226"/>
      <c r="AA171" s="226"/>
      <c r="AB171" s="226"/>
      <c r="AC171" s="226"/>
      <c r="AD171" s="17"/>
    </row>
    <row r="172" spans="1:30" ht="15" hidden="1" customHeight="1">
      <c r="A172" s="199"/>
      <c r="B172" s="206"/>
      <c r="C172" s="207"/>
      <c r="D172" s="226"/>
      <c r="E172" s="226"/>
      <c r="F172" s="226"/>
      <c r="G172" s="226"/>
      <c r="H172" s="226"/>
      <c r="I172" s="226"/>
      <c r="J172" s="226"/>
      <c r="K172" s="199"/>
      <c r="L172" s="206"/>
      <c r="M172" s="207"/>
      <c r="N172" s="226"/>
      <c r="O172" s="226"/>
      <c r="P172" s="226"/>
      <c r="Q172" s="226"/>
      <c r="R172" s="226"/>
      <c r="S172" s="226"/>
      <c r="T172" s="226"/>
      <c r="U172" s="199"/>
      <c r="V172" s="206"/>
      <c r="W172" s="207"/>
      <c r="X172" s="226"/>
      <c r="Y172" s="226"/>
      <c r="Z172" s="226"/>
      <c r="AA172" s="226"/>
      <c r="AB172" s="226"/>
      <c r="AC172" s="226"/>
      <c r="AD172" s="17"/>
    </row>
    <row r="173" spans="1:30" ht="15" hidden="1" customHeight="1">
      <c r="A173" s="199"/>
      <c r="B173" s="206"/>
      <c r="C173" s="207"/>
      <c r="D173" s="226"/>
      <c r="E173" s="226"/>
      <c r="F173" s="226"/>
      <c r="G173" s="226"/>
      <c r="H173" s="226"/>
      <c r="I173" s="226"/>
      <c r="J173" s="226"/>
      <c r="K173" s="199"/>
      <c r="L173" s="206"/>
      <c r="M173" s="207"/>
      <c r="N173" s="226"/>
      <c r="O173" s="226"/>
      <c r="P173" s="226"/>
      <c r="Q173" s="226"/>
      <c r="R173" s="226"/>
      <c r="S173" s="226"/>
      <c r="T173" s="226"/>
      <c r="U173" s="199"/>
      <c r="V173" s="206"/>
      <c r="W173" s="207"/>
      <c r="X173" s="226"/>
      <c r="Y173" s="226"/>
      <c r="Z173" s="226"/>
      <c r="AA173" s="226"/>
      <c r="AB173" s="226"/>
      <c r="AC173" s="226"/>
      <c r="AD173" s="17"/>
    </row>
    <row r="174" spans="1:30" ht="15" hidden="1" customHeight="1">
      <c r="A174" s="199"/>
      <c r="B174" s="206"/>
      <c r="C174" s="207"/>
      <c r="D174" s="226"/>
      <c r="E174" s="226"/>
      <c r="F174" s="226"/>
      <c r="G174" s="226"/>
      <c r="H174" s="226"/>
      <c r="I174" s="226"/>
      <c r="J174" s="226"/>
      <c r="K174" s="199"/>
      <c r="L174" s="206"/>
      <c r="M174" s="207"/>
      <c r="N174" s="226"/>
      <c r="O174" s="226"/>
      <c r="P174" s="226"/>
      <c r="Q174" s="226"/>
      <c r="R174" s="226"/>
      <c r="S174" s="226"/>
      <c r="T174" s="226"/>
      <c r="U174" s="199"/>
      <c r="V174" s="206"/>
      <c r="W174" s="207"/>
      <c r="X174" s="226"/>
      <c r="Y174" s="226"/>
      <c r="Z174" s="226"/>
      <c r="AA174" s="226"/>
      <c r="AB174" s="226"/>
      <c r="AC174" s="226"/>
      <c r="AD174" s="17"/>
    </row>
    <row r="175" spans="1:30" ht="15" hidden="1" customHeight="1">
      <c r="A175" s="199"/>
      <c r="B175" s="206"/>
      <c r="C175" s="207"/>
      <c r="D175" s="226"/>
      <c r="E175" s="226"/>
      <c r="F175" s="226"/>
      <c r="G175" s="226"/>
      <c r="H175" s="226"/>
      <c r="I175" s="226"/>
      <c r="J175" s="226"/>
      <c r="K175" s="199"/>
      <c r="L175" s="206"/>
      <c r="M175" s="207"/>
      <c r="N175" s="226"/>
      <c r="O175" s="226"/>
      <c r="P175" s="226"/>
      <c r="Q175" s="226"/>
      <c r="R175" s="226"/>
      <c r="S175" s="226"/>
      <c r="T175" s="226"/>
      <c r="U175" s="199"/>
      <c r="V175" s="206"/>
      <c r="W175" s="207"/>
      <c r="X175" s="226"/>
      <c r="Y175" s="226"/>
      <c r="Z175" s="226"/>
      <c r="AA175" s="226"/>
      <c r="AB175" s="226"/>
      <c r="AC175" s="226"/>
      <c r="AD175" s="17"/>
    </row>
    <row r="176" spans="1:30" ht="15" hidden="1" customHeight="1">
      <c r="A176" s="199"/>
      <c r="B176" s="206"/>
      <c r="C176" s="207"/>
      <c r="D176" s="226"/>
      <c r="E176" s="226"/>
      <c r="F176" s="226"/>
      <c r="G176" s="226"/>
      <c r="H176" s="226"/>
      <c r="I176" s="226"/>
      <c r="J176" s="226"/>
      <c r="K176" s="199"/>
      <c r="L176" s="206"/>
      <c r="M176" s="207"/>
      <c r="N176" s="226"/>
      <c r="O176" s="226"/>
      <c r="P176" s="226"/>
      <c r="Q176" s="226"/>
      <c r="R176" s="226"/>
      <c r="S176" s="226"/>
      <c r="T176" s="226"/>
      <c r="U176" s="199"/>
      <c r="V176" s="206"/>
      <c r="W176" s="207"/>
      <c r="X176" s="226"/>
      <c r="Y176" s="226"/>
      <c r="Z176" s="226"/>
      <c r="AA176" s="226"/>
      <c r="AB176" s="226"/>
      <c r="AC176" s="226"/>
      <c r="AD176" s="17"/>
    </row>
    <row r="177" spans="1:30" ht="15" hidden="1" customHeight="1">
      <c r="A177" s="199"/>
      <c r="B177" s="206"/>
      <c r="C177" s="207"/>
      <c r="D177" s="226"/>
      <c r="E177" s="226"/>
      <c r="F177" s="226"/>
      <c r="G177" s="226"/>
      <c r="H177" s="226"/>
      <c r="I177" s="226"/>
      <c r="J177" s="226"/>
      <c r="K177" s="199"/>
      <c r="L177" s="206"/>
      <c r="M177" s="207"/>
      <c r="N177" s="226"/>
      <c r="O177" s="226"/>
      <c r="P177" s="226"/>
      <c r="Q177" s="226"/>
      <c r="R177" s="226"/>
      <c r="S177" s="226"/>
      <c r="T177" s="226"/>
      <c r="U177" s="199"/>
      <c r="V177" s="206"/>
      <c r="W177" s="207"/>
      <c r="X177" s="226"/>
      <c r="Y177" s="226"/>
      <c r="Z177" s="226"/>
      <c r="AA177" s="226"/>
      <c r="AB177" s="226"/>
      <c r="AC177" s="226"/>
      <c r="AD177" s="17"/>
    </row>
    <row r="178" spans="1:30" ht="15" customHeight="1" thickBot="1">
      <c r="A178" s="206"/>
      <c r="B178" s="294"/>
      <c r="C178" s="294"/>
      <c r="D178" s="294"/>
      <c r="E178" s="294"/>
      <c r="F178" s="294"/>
      <c r="G178" s="294"/>
      <c r="H178" s="294"/>
      <c r="I178" s="294"/>
      <c r="J178" s="187"/>
      <c r="K178" s="206"/>
      <c r="L178" s="294"/>
      <c r="M178" s="294"/>
      <c r="N178" s="294"/>
      <c r="O178" s="294"/>
      <c r="P178" s="294"/>
      <c r="Q178" s="294"/>
      <c r="R178" s="294"/>
      <c r="S178" s="294"/>
      <c r="T178" s="187"/>
      <c r="U178" s="206"/>
      <c r="V178" s="218"/>
      <c r="W178" s="218"/>
      <c r="X178" s="218"/>
      <c r="Y178" s="218"/>
      <c r="Z178" s="218"/>
      <c r="AA178" s="218"/>
      <c r="AB178" s="218"/>
      <c r="AC178" s="218"/>
    </row>
    <row r="179" spans="1:30" ht="15" customHeight="1" thickBot="1">
      <c r="A179" s="204"/>
      <c r="B179" s="294" t="s">
        <v>185</v>
      </c>
      <c r="C179" s="294"/>
      <c r="D179" s="294"/>
      <c r="E179" s="294"/>
      <c r="F179" s="294"/>
      <c r="G179" s="294"/>
      <c r="H179" s="294"/>
      <c r="I179" s="294"/>
      <c r="J179" s="187"/>
      <c r="K179" s="204"/>
      <c r="L179" s="294" t="s">
        <v>185</v>
      </c>
      <c r="M179" s="294"/>
      <c r="N179" s="294"/>
      <c r="O179" s="294"/>
      <c r="P179" s="294"/>
      <c r="Q179" s="294"/>
      <c r="R179" s="294"/>
      <c r="S179" s="294"/>
      <c r="T179" s="187"/>
      <c r="U179" s="204"/>
      <c r="V179" s="218" t="s">
        <v>185</v>
      </c>
      <c r="W179" s="218"/>
      <c r="X179" s="218"/>
      <c r="Y179" s="218"/>
      <c r="Z179" s="218"/>
      <c r="AA179" s="218"/>
      <c r="AB179" s="218"/>
      <c r="AC179" s="218"/>
    </row>
    <row r="180" spans="1:30" ht="15" customHeight="1">
      <c r="A180" s="204"/>
      <c r="B180" s="200"/>
      <c r="C180" s="205" t="s">
        <v>25</v>
      </c>
      <c r="D180" s="205" t="str">
        <f>D123</f>
        <v>PR</v>
      </c>
      <c r="E180" s="205" t="str">
        <f t="shared" ref="E180:I180" si="34">E123</f>
        <v>DR</v>
      </c>
      <c r="F180" s="205" t="str">
        <f t="shared" si="34"/>
        <v>RR</v>
      </c>
      <c r="G180" s="205" t="str">
        <f t="shared" si="34"/>
        <v>HS</v>
      </c>
      <c r="H180" s="205" t="str">
        <f t="shared" si="34"/>
        <v>CA</v>
      </c>
      <c r="I180" s="205" t="str">
        <f t="shared" si="34"/>
        <v>RE</v>
      </c>
      <c r="J180" s="205" t="s">
        <v>170</v>
      </c>
      <c r="K180" s="204"/>
      <c r="L180" s="200"/>
      <c r="M180" s="205" t="s">
        <v>25</v>
      </c>
      <c r="N180" s="205" t="str">
        <f t="shared" ref="N180:S180" si="35">N123</f>
        <v>PR</v>
      </c>
      <c r="O180" s="205" t="str">
        <f t="shared" si="35"/>
        <v>DR</v>
      </c>
      <c r="P180" s="205" t="str">
        <f t="shared" si="35"/>
        <v>RR</v>
      </c>
      <c r="Q180" s="205" t="str">
        <f t="shared" si="35"/>
        <v>HS</v>
      </c>
      <c r="R180" s="205" t="str">
        <f t="shared" si="35"/>
        <v>CA</v>
      </c>
      <c r="S180" s="205" t="str">
        <f t="shared" si="35"/>
        <v>RE</v>
      </c>
      <c r="T180" s="205" t="s">
        <v>170</v>
      </c>
      <c r="U180" s="204"/>
      <c r="V180" s="200"/>
      <c r="W180" s="205" t="s">
        <v>25</v>
      </c>
      <c r="X180" s="205" t="str">
        <f t="shared" ref="X180:AC180" si="36">X123</f>
        <v>PR</v>
      </c>
      <c r="Y180" s="205" t="str">
        <f t="shared" si="36"/>
        <v>DR</v>
      </c>
      <c r="Z180" s="205" t="str">
        <f t="shared" si="36"/>
        <v>RR</v>
      </c>
      <c r="AA180" s="205" t="str">
        <f t="shared" si="36"/>
        <v>HS</v>
      </c>
      <c r="AB180" s="205" t="str">
        <f t="shared" si="36"/>
        <v>CA</v>
      </c>
      <c r="AC180" s="205" t="str">
        <f t="shared" si="36"/>
        <v>RE</v>
      </c>
      <c r="AD180" s="20" t="s">
        <v>170</v>
      </c>
    </row>
    <row r="181" spans="1:30" ht="15" customHeight="1">
      <c r="A181" s="296" t="s">
        <v>170</v>
      </c>
      <c r="B181" s="206">
        <v>1</v>
      </c>
      <c r="C181" s="207" t="str">
        <f>C124</f>
        <v>Albania</v>
      </c>
      <c r="D181" s="226">
        <f t="shared" ref="D181:I196" ca="1" si="37">IF(AND(ISNUMBER($B181),ISNUMBER(D$5)),POWER(D66,D$121),"")</f>
        <v>0.87183715840155829</v>
      </c>
      <c r="E181" s="226">
        <f t="shared" ca="1" si="37"/>
        <v>0.84589970462589092</v>
      </c>
      <c r="F181" s="226">
        <f t="shared" ca="1" si="37"/>
        <v>0.89292895207362732</v>
      </c>
      <c r="G181" s="226">
        <f t="shared" ca="1" si="37"/>
        <v>0.89519385326777456</v>
      </c>
      <c r="H181" s="226">
        <f t="shared" ca="1" si="37"/>
        <v>0.95243286216294076</v>
      </c>
      <c r="I181" s="226">
        <f t="shared" ca="1" si="37"/>
        <v>0.90723358279457944</v>
      </c>
      <c r="J181" s="226">
        <f ca="1">SUM(D181:I181)</f>
        <v>5.3655261133263714</v>
      </c>
      <c r="K181" s="296" t="s">
        <v>170</v>
      </c>
      <c r="L181" s="206">
        <v>1</v>
      </c>
      <c r="M181" s="207" t="str">
        <f t="shared" ref="M181:M207" si="38">M124</f>
        <v>Albania</v>
      </c>
      <c r="N181" s="226">
        <f t="shared" ref="N181:S190" ca="1" si="39">IF(AND(ISNUMBER($L181),ISNUMBER(N$5)),POWER(N66,N$121),"")</f>
        <v>0.85235469458009816</v>
      </c>
      <c r="O181" s="226">
        <f t="shared" ca="1" si="39"/>
        <v>0.80129142827559563</v>
      </c>
      <c r="P181" s="226">
        <f t="shared" ca="1" si="39"/>
        <v>0.90951909017210308</v>
      </c>
      <c r="Q181" s="226">
        <f t="shared" ca="1" si="39"/>
        <v>0.9388486832745504</v>
      </c>
      <c r="R181" s="226">
        <f t="shared" ca="1" si="39"/>
        <v>0.94990365697921542</v>
      </c>
      <c r="S181" s="226">
        <f t="shared" ca="1" si="39"/>
        <v>0.85763925811664865</v>
      </c>
      <c r="T181" s="226">
        <f t="shared" ref="T181:T207" ca="1" si="40">SUM(N181:S181)</f>
        <v>5.3095568113982115</v>
      </c>
      <c r="U181" s="222" t="s">
        <v>170</v>
      </c>
      <c r="V181" s="206">
        <v>1</v>
      </c>
      <c r="W181" s="207" t="str">
        <f t="shared" ref="W181:W207" si="41">W124</f>
        <v>Albania</v>
      </c>
      <c r="X181" s="226">
        <f t="shared" ref="X181:AC190" ca="1" si="42">IF(AND(ISNUMBER($V181),ISNUMBER(X$5)),POWER(X66,X$121),"")</f>
        <v>0.8604936285421515</v>
      </c>
      <c r="Y181" s="226">
        <f t="shared" ca="1" si="42"/>
        <v>0.82470372758811727</v>
      </c>
      <c r="Z181" s="226">
        <f t="shared" ca="1" si="42"/>
        <v>0.89812590125368075</v>
      </c>
      <c r="AA181" s="226">
        <f t="shared" ca="1" si="42"/>
        <v>0.91947636625591822</v>
      </c>
      <c r="AB181" s="226">
        <f t="shared" ca="1" si="42"/>
        <v>0.95938056236462677</v>
      </c>
      <c r="AC181" s="226">
        <f t="shared" ca="1" si="42"/>
        <v>0.88367317711029769</v>
      </c>
      <c r="AD181" s="17">
        <f t="shared" ref="AD181:AD207" ca="1" si="43">SUM(X181:AC181)</f>
        <v>5.3458533631147933</v>
      </c>
    </row>
    <row r="182" spans="1:30" ht="15" customHeight="1">
      <c r="A182" s="296"/>
      <c r="B182" s="206">
        <f t="shared" ref="B182:B207" si="44">IFERROR(IF(OR($B181+1&gt;$C$5,$B181=" ")," ",$B181+1),"")</f>
        <v>2</v>
      </c>
      <c r="C182" s="207" t="str">
        <f t="shared" ref="C182:C207" si="45">C125</f>
        <v>Andorra</v>
      </c>
      <c r="D182" s="226">
        <f t="shared" ca="1" si="37"/>
        <v>0.69652400236845879</v>
      </c>
      <c r="E182" s="226">
        <f t="shared" ca="1" si="37"/>
        <v>0</v>
      </c>
      <c r="F182" s="226">
        <f t="shared" ca="1" si="37"/>
        <v>0.79155338503144757</v>
      </c>
      <c r="G182" s="226">
        <f t="shared" ca="1" si="37"/>
        <v>0</v>
      </c>
      <c r="H182" s="226">
        <f t="shared" ca="1" si="37"/>
        <v>0.83114075948841215</v>
      </c>
      <c r="I182" s="226">
        <f t="shared" ca="1" si="37"/>
        <v>0.98655744072376506</v>
      </c>
      <c r="J182" s="226">
        <f t="shared" ref="J182:J207" ca="1" si="46">SUM(D182:I182)</f>
        <v>3.3057755876120836</v>
      </c>
      <c r="K182" s="296"/>
      <c r="L182" s="206">
        <f t="shared" ref="L182:L207" si="47">IFERROR(IF(OR($L181+1&gt;$M$5,$L181=" ")," ",$L181+1),"")</f>
        <v>2</v>
      </c>
      <c r="M182" s="207" t="str">
        <f t="shared" si="38"/>
        <v>Andorra</v>
      </c>
      <c r="N182" s="226">
        <f t="shared" ca="1" si="39"/>
        <v>0.75352218906156776</v>
      </c>
      <c r="O182" s="226">
        <f t="shared" ca="1" si="39"/>
        <v>0</v>
      </c>
      <c r="P182" s="226">
        <f t="shared" ca="1" si="39"/>
        <v>0.91685822851692433</v>
      </c>
      <c r="Q182" s="226">
        <f t="shared" ca="1" si="39"/>
        <v>0</v>
      </c>
      <c r="R182" s="226">
        <f t="shared" ca="1" si="39"/>
        <v>0.91430215512806912</v>
      </c>
      <c r="S182" s="226">
        <f t="shared" ca="1" si="39"/>
        <v>0.98565220103458429</v>
      </c>
      <c r="T182" s="226">
        <f t="shared" ca="1" si="40"/>
        <v>3.5703347737411457</v>
      </c>
      <c r="U182" s="222"/>
      <c r="V182" s="206">
        <f t="shared" ref="V182:V207" si="48">IFERROR(IF(OR($V181+1&gt;$W$5,$V181=" ")," ",$V181+1),"")</f>
        <v>2</v>
      </c>
      <c r="W182" s="207" t="str">
        <f t="shared" si="41"/>
        <v>Andorra</v>
      </c>
      <c r="X182" s="226">
        <f t="shared" ca="1" si="42"/>
        <v>0.72565380125677026</v>
      </c>
      <c r="Y182" s="226">
        <f t="shared" ca="1" si="42"/>
        <v>0</v>
      </c>
      <c r="Z182" s="226">
        <f t="shared" ca="1" si="42"/>
        <v>0.86489828652323619</v>
      </c>
      <c r="AA182" s="226">
        <f t="shared" ca="1" si="42"/>
        <v>0</v>
      </c>
      <c r="AB182" s="226">
        <f t="shared" ca="1" si="42"/>
        <v>0.89280511386404493</v>
      </c>
      <c r="AC182" s="226">
        <f t="shared" ca="1" si="42"/>
        <v>0.98566892699269359</v>
      </c>
      <c r="AD182" s="17">
        <f t="shared" ca="1" si="43"/>
        <v>3.4690261286367452</v>
      </c>
    </row>
    <row r="183" spans="1:30" ht="15" customHeight="1" thickBot="1">
      <c r="A183" s="297"/>
      <c r="B183" s="206">
        <f t="shared" si="44"/>
        <v>3</v>
      </c>
      <c r="C183" s="207" t="str">
        <f t="shared" si="45"/>
        <v>Armenia</v>
      </c>
      <c r="D183" s="226">
        <f t="shared" ca="1" si="37"/>
        <v>1</v>
      </c>
      <c r="E183" s="226">
        <f t="shared" ca="1" si="37"/>
        <v>1</v>
      </c>
      <c r="F183" s="226">
        <f t="shared" ca="1" si="37"/>
        <v>1</v>
      </c>
      <c r="G183" s="226">
        <f t="shared" ca="1" si="37"/>
        <v>0.96727121528706406</v>
      </c>
      <c r="H183" s="226">
        <f t="shared" ca="1" si="37"/>
        <v>0.96315585191099351</v>
      </c>
      <c r="I183" s="226">
        <f t="shared" ca="1" si="37"/>
        <v>0.88331742642321631</v>
      </c>
      <c r="J183" s="226">
        <f t="shared" ca="1" si="46"/>
        <v>5.8137444936212743</v>
      </c>
      <c r="K183" s="297"/>
      <c r="L183" s="206">
        <f t="shared" si="47"/>
        <v>3</v>
      </c>
      <c r="M183" s="207" t="str">
        <f t="shared" si="38"/>
        <v>Armenia</v>
      </c>
      <c r="N183" s="226">
        <f t="shared" ca="1" si="39"/>
        <v>1</v>
      </c>
      <c r="O183" s="226">
        <f t="shared" ca="1" si="39"/>
        <v>0.99346178137496588</v>
      </c>
      <c r="P183" s="226">
        <f t="shared" ca="1" si="39"/>
        <v>0.97852608794149187</v>
      </c>
      <c r="Q183" s="226">
        <f t="shared" ca="1" si="39"/>
        <v>0.97545784164977667</v>
      </c>
      <c r="R183" s="226">
        <f t="shared" ca="1" si="39"/>
        <v>0.97272534270620481</v>
      </c>
      <c r="S183" s="226">
        <f t="shared" ca="1" si="39"/>
        <v>0.78033089067928874</v>
      </c>
      <c r="T183" s="226">
        <f t="shared" ca="1" si="40"/>
        <v>5.7005019443517275</v>
      </c>
      <c r="U183" s="223"/>
      <c r="V183" s="206">
        <f t="shared" si="48"/>
        <v>3</v>
      </c>
      <c r="W183" s="207" t="str">
        <f t="shared" si="41"/>
        <v>Armenia</v>
      </c>
      <c r="X183" s="226">
        <f t="shared" ca="1" si="42"/>
        <v>1</v>
      </c>
      <c r="Y183" s="226">
        <f t="shared" ca="1" si="42"/>
        <v>1</v>
      </c>
      <c r="Z183" s="226">
        <f t="shared" ca="1" si="42"/>
        <v>0.99092815953024882</v>
      </c>
      <c r="AA183" s="226">
        <f t="shared" ca="1" si="42"/>
        <v>0.97160909994500255</v>
      </c>
      <c r="AB183" s="226">
        <f t="shared" ca="1" si="42"/>
        <v>0.97553416244828839</v>
      </c>
      <c r="AC183" s="226">
        <f t="shared" ca="1" si="42"/>
        <v>0.84689328922053797</v>
      </c>
      <c r="AD183" s="17">
        <f t="shared" ca="1" si="43"/>
        <v>5.7849647111440774</v>
      </c>
    </row>
    <row r="184" spans="1:30" ht="15" customHeight="1">
      <c r="A184" s="203"/>
      <c r="B184" s="206">
        <f t="shared" si="44"/>
        <v>4</v>
      </c>
      <c r="C184" s="207" t="str">
        <f t="shared" si="45"/>
        <v>Azerbaijan</v>
      </c>
      <c r="D184" s="226">
        <f t="shared" ca="1" si="37"/>
        <v>0.81696884565166361</v>
      </c>
      <c r="E184" s="226">
        <f t="shared" ca="1" si="37"/>
        <v>0.61578157582074877</v>
      </c>
      <c r="F184" s="226">
        <f t="shared" ca="1" si="37"/>
        <v>0.79155338503144757</v>
      </c>
      <c r="G184" s="226">
        <f t="shared" ca="1" si="37"/>
        <v>0.75269438382641984</v>
      </c>
      <c r="H184" s="226">
        <f t="shared" ca="1" si="37"/>
        <v>0.87476725710848258</v>
      </c>
      <c r="I184" s="226">
        <f t="shared" ca="1" si="37"/>
        <v>0.92765665868357128</v>
      </c>
      <c r="J184" s="226">
        <f t="shared" ca="1" si="46"/>
        <v>4.7794221061223343</v>
      </c>
      <c r="K184" s="203"/>
      <c r="L184" s="206">
        <f t="shared" si="47"/>
        <v>4</v>
      </c>
      <c r="M184" s="207" t="str">
        <f t="shared" si="38"/>
        <v>Azerbaijan</v>
      </c>
      <c r="N184" s="226">
        <f t="shared" ca="1" si="39"/>
        <v>0.79526049088884765</v>
      </c>
      <c r="O184" s="226">
        <f t="shared" ca="1" si="39"/>
        <v>0.62652868482303103</v>
      </c>
      <c r="P184" s="226">
        <f t="shared" ca="1" si="39"/>
        <v>0.87213604989828719</v>
      </c>
      <c r="Q184" s="226">
        <f t="shared" ca="1" si="39"/>
        <v>0.79724301066748349</v>
      </c>
      <c r="R184" s="226">
        <f t="shared" ca="1" si="39"/>
        <v>0.8900280647196096</v>
      </c>
      <c r="S184" s="226">
        <f t="shared" ca="1" si="39"/>
        <v>0.92494425515273093</v>
      </c>
      <c r="T184" s="226">
        <f t="shared" ca="1" si="40"/>
        <v>4.9061405561499907</v>
      </c>
      <c r="U184" s="203"/>
      <c r="V184" s="206">
        <f t="shared" si="48"/>
        <v>4</v>
      </c>
      <c r="W184" s="207" t="str">
        <f t="shared" si="41"/>
        <v>Azerbaijan</v>
      </c>
      <c r="X184" s="226">
        <f t="shared" ca="1" si="42"/>
        <v>0.80390074399622025</v>
      </c>
      <c r="Y184" s="226">
        <f t="shared" ca="1" si="42"/>
        <v>0.62103988716492142</v>
      </c>
      <c r="Z184" s="226">
        <f t="shared" ca="1" si="42"/>
        <v>0.82480044164491595</v>
      </c>
      <c r="AA184" s="226">
        <f t="shared" ca="1" si="42"/>
        <v>0.77685254082312383</v>
      </c>
      <c r="AB184" s="226">
        <f t="shared" ca="1" si="42"/>
        <v>0.89280511386404482</v>
      </c>
      <c r="AC184" s="226">
        <f t="shared" ca="1" si="42"/>
        <v>0.92373487582058578</v>
      </c>
      <c r="AD184" s="17">
        <f t="shared" ca="1" si="43"/>
        <v>4.8431336033138122</v>
      </c>
    </row>
    <row r="185" spans="1:30" ht="15" customHeight="1">
      <c r="A185" s="203"/>
      <c r="B185" s="206">
        <f t="shared" si="44"/>
        <v>5</v>
      </c>
      <c r="C185" s="207" t="str">
        <f t="shared" si="45"/>
        <v>Belarus</v>
      </c>
      <c r="D185" s="226">
        <f t="shared" ca="1" si="37"/>
        <v>0.80744326793545607</v>
      </c>
      <c r="E185" s="226">
        <f t="shared" ca="1" si="37"/>
        <v>0.66788005375772752</v>
      </c>
      <c r="F185" s="226">
        <f t="shared" ca="1" si="37"/>
        <v>0.92473683541936025</v>
      </c>
      <c r="G185" s="226">
        <f t="shared" ca="1" si="37"/>
        <v>0.92232729542794534</v>
      </c>
      <c r="H185" s="226">
        <f t="shared" ca="1" si="37"/>
        <v>0.92280632677806262</v>
      </c>
      <c r="I185" s="226">
        <f t="shared" ca="1" si="37"/>
        <v>0.90781695443701238</v>
      </c>
      <c r="J185" s="226">
        <f t="shared" ca="1" si="46"/>
        <v>5.153010733755564</v>
      </c>
      <c r="K185" s="203"/>
      <c r="L185" s="206">
        <f t="shared" si="47"/>
        <v>5</v>
      </c>
      <c r="M185" s="207" t="str">
        <f t="shared" si="38"/>
        <v>Belarus</v>
      </c>
      <c r="N185" s="226">
        <f t="shared" ca="1" si="39"/>
        <v>0.80472469178298933</v>
      </c>
      <c r="O185" s="226">
        <f t="shared" ca="1" si="39"/>
        <v>0.7549295244862656</v>
      </c>
      <c r="P185" s="226">
        <f t="shared" ca="1" si="39"/>
        <v>0.92964238451422909</v>
      </c>
      <c r="Q185" s="226">
        <f t="shared" ca="1" si="39"/>
        <v>0.93243714349814377</v>
      </c>
      <c r="R185" s="226">
        <f t="shared" ca="1" si="39"/>
        <v>0.96163701163700854</v>
      </c>
      <c r="S185" s="226">
        <f t="shared" ca="1" si="39"/>
        <v>0.87034407677461934</v>
      </c>
      <c r="T185" s="226">
        <f t="shared" ca="1" si="40"/>
        <v>5.2537148326932552</v>
      </c>
      <c r="U185" s="203"/>
      <c r="V185" s="206">
        <f t="shared" si="48"/>
        <v>5</v>
      </c>
      <c r="W185" s="207" t="str">
        <f t="shared" si="41"/>
        <v>Belarus</v>
      </c>
      <c r="X185" s="226">
        <f t="shared" ca="1" si="42"/>
        <v>0.80390074399622025</v>
      </c>
      <c r="Y185" s="226">
        <f t="shared" ca="1" si="42"/>
        <v>0.71514423030626528</v>
      </c>
      <c r="Z185" s="226">
        <f t="shared" ca="1" si="42"/>
        <v>0.92601570403570632</v>
      </c>
      <c r="AA185" s="226">
        <f t="shared" ca="1" si="42"/>
        <v>0.92761880562133336</v>
      </c>
      <c r="AB185" s="226">
        <f t="shared" ca="1" si="42"/>
        <v>0.95137113103149396</v>
      </c>
      <c r="AC185" s="226">
        <f t="shared" ca="1" si="42"/>
        <v>0.88827939302166437</v>
      </c>
      <c r="AD185" s="17">
        <f t="shared" ca="1" si="43"/>
        <v>5.2123300080126835</v>
      </c>
    </row>
    <row r="186" spans="1:30" ht="15" customHeight="1">
      <c r="A186" s="199"/>
      <c r="B186" s="206">
        <f t="shared" si="44"/>
        <v>6</v>
      </c>
      <c r="C186" s="207" t="str">
        <f t="shared" si="45"/>
        <v>Bosnia and Hercegovina</v>
      </c>
      <c r="D186" s="226">
        <f t="shared" ca="1" si="37"/>
        <v>0.82986875660081305</v>
      </c>
      <c r="E186" s="226">
        <f t="shared" ca="1" si="37"/>
        <v>0.49175148344717784</v>
      </c>
      <c r="F186" s="226">
        <f t="shared" ca="1" si="37"/>
        <v>0.82920698795608927</v>
      </c>
      <c r="G186" s="226">
        <f t="shared" ca="1" si="37"/>
        <v>0.9031222571319969</v>
      </c>
      <c r="H186" s="226">
        <f t="shared" ca="1" si="37"/>
        <v>0.91673585355159448</v>
      </c>
      <c r="I186" s="226">
        <f t="shared" ca="1" si="37"/>
        <v>0.87979610416854859</v>
      </c>
      <c r="J186" s="226">
        <f t="shared" ca="1" si="46"/>
        <v>4.8504814428562195</v>
      </c>
      <c r="K186" s="199"/>
      <c r="L186" s="206">
        <f t="shared" si="47"/>
        <v>6</v>
      </c>
      <c r="M186" s="207" t="str">
        <f t="shared" si="38"/>
        <v>Bosnia and Hercegovina</v>
      </c>
      <c r="N186" s="226">
        <f t="shared" ca="1" si="39"/>
        <v>0.7795178024645727</v>
      </c>
      <c r="O186" s="226">
        <f t="shared" ca="1" si="39"/>
        <v>0.51817739899949244</v>
      </c>
      <c r="P186" s="226">
        <f t="shared" ca="1" si="39"/>
        <v>0.90158734900180104</v>
      </c>
      <c r="Q186" s="226">
        <f t="shared" ca="1" si="39"/>
        <v>0.91601161526592445</v>
      </c>
      <c r="R186" s="226">
        <f t="shared" ca="1" si="39"/>
        <v>0.89278636198115346</v>
      </c>
      <c r="S186" s="226">
        <f t="shared" ca="1" si="39"/>
        <v>0.85903924663259668</v>
      </c>
      <c r="T186" s="226">
        <f t="shared" ca="1" si="40"/>
        <v>4.8671197743455412</v>
      </c>
      <c r="U186" s="199"/>
      <c r="V186" s="206">
        <f t="shared" si="48"/>
        <v>6</v>
      </c>
      <c r="W186" s="207" t="str">
        <f t="shared" si="41"/>
        <v>Bosnia and Hercegovina</v>
      </c>
      <c r="X186" s="226">
        <f t="shared" ca="1" si="42"/>
        <v>0.80321468588802925</v>
      </c>
      <c r="Y186" s="226">
        <f t="shared" ca="1" si="42"/>
        <v>0.50425584446923044</v>
      </c>
      <c r="Z186" s="226">
        <f t="shared" ca="1" si="42"/>
        <v>0.86397842344962694</v>
      </c>
      <c r="AA186" s="226">
        <f t="shared" ca="1" si="42"/>
        <v>0.90987876874754336</v>
      </c>
      <c r="AB186" s="226">
        <f t="shared" ca="1" si="42"/>
        <v>0.9144023338425763</v>
      </c>
      <c r="AC186" s="226">
        <f t="shared" ca="1" si="42"/>
        <v>0.86511435247300761</v>
      </c>
      <c r="AD186" s="17">
        <f t="shared" ca="1" si="43"/>
        <v>4.8608444088700136</v>
      </c>
    </row>
    <row r="187" spans="1:30" ht="15" customHeight="1">
      <c r="A187" s="199"/>
      <c r="B187" s="206">
        <f t="shared" si="44"/>
        <v>7</v>
      </c>
      <c r="C187" s="207" t="str">
        <f t="shared" si="45"/>
        <v>Georgia</v>
      </c>
      <c r="D187" s="226">
        <f t="shared" ca="1" si="37"/>
        <v>0.91455749504129069</v>
      </c>
      <c r="E187" s="226">
        <f t="shared" ca="1" si="37"/>
        <v>0.89169515419218448</v>
      </c>
      <c r="F187" s="226">
        <f t="shared" ca="1" si="37"/>
        <v>0.89480211477559846</v>
      </c>
      <c r="G187" s="226">
        <f t="shared" ca="1" si="37"/>
        <v>0.77646776543067753</v>
      </c>
      <c r="H187" s="226">
        <f t="shared" ca="1" si="37"/>
        <v>0.9847259039014109</v>
      </c>
      <c r="I187" s="226">
        <f t="shared" ca="1" si="37"/>
        <v>0.8964003463406951</v>
      </c>
      <c r="J187" s="226">
        <f t="shared" ca="1" si="46"/>
        <v>5.3586487796818574</v>
      </c>
      <c r="K187" s="199"/>
      <c r="L187" s="206">
        <f t="shared" si="47"/>
        <v>7</v>
      </c>
      <c r="M187" s="207" t="str">
        <f t="shared" si="38"/>
        <v>Georgia</v>
      </c>
      <c r="N187" s="226">
        <f t="shared" ca="1" si="39"/>
        <v>0.91471957455611186</v>
      </c>
      <c r="O187" s="226">
        <f t="shared" ca="1" si="39"/>
        <v>0.96827016042305214</v>
      </c>
      <c r="P187" s="226">
        <f t="shared" ca="1" si="39"/>
        <v>0.94564095734496278</v>
      </c>
      <c r="Q187" s="226">
        <f t="shared" ca="1" si="39"/>
        <v>0.87524385662097937</v>
      </c>
      <c r="R187" s="226">
        <f t="shared" ca="1" si="39"/>
        <v>0.98596453970133269</v>
      </c>
      <c r="S187" s="226">
        <f t="shared" ca="1" si="39"/>
        <v>0.87034407677461934</v>
      </c>
      <c r="T187" s="226">
        <f t="shared" ca="1" si="40"/>
        <v>5.5601831654210585</v>
      </c>
      <c r="U187" s="199"/>
      <c r="V187" s="206">
        <f t="shared" si="48"/>
        <v>7</v>
      </c>
      <c r="W187" s="207" t="str">
        <f t="shared" si="41"/>
        <v>Georgia</v>
      </c>
      <c r="X187" s="226">
        <f t="shared" ca="1" si="42"/>
        <v>0.91360602971135907</v>
      </c>
      <c r="Y187" s="226">
        <f t="shared" ca="1" si="42"/>
        <v>0.93586158780891182</v>
      </c>
      <c r="Z187" s="226">
        <f t="shared" ca="1" si="42"/>
        <v>0.92179627660833907</v>
      </c>
      <c r="AA187" s="226">
        <f t="shared" ca="1" si="42"/>
        <v>0.83573957132437193</v>
      </c>
      <c r="AB187" s="226">
        <f t="shared" ca="1" si="42"/>
        <v>0.99293141494748682</v>
      </c>
      <c r="AC187" s="226">
        <f t="shared" ca="1" si="42"/>
        <v>0.88055732989904711</v>
      </c>
      <c r="AD187" s="17">
        <f t="shared" ca="1" si="43"/>
        <v>5.4804922102995164</v>
      </c>
    </row>
    <row r="188" spans="1:30" ht="15" customHeight="1">
      <c r="A188" s="199"/>
      <c r="B188" s="206">
        <f t="shared" si="44"/>
        <v>8</v>
      </c>
      <c r="C188" s="207" t="str">
        <f t="shared" si="45"/>
        <v>Iceland</v>
      </c>
      <c r="D188" s="226">
        <f t="shared" ca="1" si="37"/>
        <v>0.82092218939173867</v>
      </c>
      <c r="E188" s="226">
        <f t="shared" ca="1" si="37"/>
        <v>0.73131698578326965</v>
      </c>
      <c r="F188" s="226">
        <f t="shared" ca="1" si="37"/>
        <v>0.90081239047072015</v>
      </c>
      <c r="G188" s="226">
        <f t="shared" ca="1" si="37"/>
        <v>0.94007338170166899</v>
      </c>
      <c r="H188" s="226">
        <f t="shared" ca="1" si="37"/>
        <v>0.92364196593198433</v>
      </c>
      <c r="I188" s="226">
        <f t="shared" ca="1" si="37"/>
        <v>0.98797160464540912</v>
      </c>
      <c r="J188" s="226">
        <f t="shared" ca="1" si="46"/>
        <v>5.3047385179247915</v>
      </c>
      <c r="K188" s="199"/>
      <c r="L188" s="206">
        <f t="shared" si="47"/>
        <v>8</v>
      </c>
      <c r="M188" s="207" t="str">
        <f t="shared" si="38"/>
        <v>Iceland</v>
      </c>
      <c r="N188" s="226">
        <f t="shared" ca="1" si="39"/>
        <v>0.84133170929085832</v>
      </c>
      <c r="O188" s="226">
        <f t="shared" ca="1" si="39"/>
        <v>0.77202975947075791</v>
      </c>
      <c r="P188" s="226">
        <f t="shared" ca="1" si="39"/>
        <v>0.95225488583503637</v>
      </c>
      <c r="Q188" s="226">
        <f t="shared" ca="1" si="39"/>
        <v>0.95546577731685933</v>
      </c>
      <c r="R188" s="226">
        <f t="shared" ca="1" si="39"/>
        <v>0.8654193216621725</v>
      </c>
      <c r="S188" s="226">
        <f t="shared" ca="1" si="39"/>
        <v>0.98451554069304092</v>
      </c>
      <c r="T188" s="226">
        <f t="shared" ca="1" si="40"/>
        <v>5.3710169942687251</v>
      </c>
      <c r="U188" s="199"/>
      <c r="V188" s="206">
        <f t="shared" si="48"/>
        <v>8</v>
      </c>
      <c r="W188" s="207" t="str">
        <f t="shared" si="41"/>
        <v>Iceland</v>
      </c>
      <c r="X188" s="226">
        <f t="shared" ca="1" si="42"/>
        <v>0.8297304745941152</v>
      </c>
      <c r="Y188" s="226">
        <f t="shared" ca="1" si="42"/>
        <v>0.75356932085964423</v>
      </c>
      <c r="Z188" s="226">
        <f t="shared" ca="1" si="42"/>
        <v>0.92865386218481871</v>
      </c>
      <c r="AA188" s="226">
        <f t="shared" ca="1" si="42"/>
        <v>0.94828366669031294</v>
      </c>
      <c r="AB188" s="226">
        <f t="shared" ca="1" si="42"/>
        <v>0.90707874127884358</v>
      </c>
      <c r="AC188" s="226">
        <f t="shared" ca="1" si="42"/>
        <v>0.98585773290832934</v>
      </c>
      <c r="AD188" s="17">
        <f t="shared" ca="1" si="43"/>
        <v>5.3531737985160639</v>
      </c>
    </row>
    <row r="189" spans="1:30" ht="15" customHeight="1">
      <c r="A189" s="199"/>
      <c r="B189" s="206">
        <f t="shared" si="44"/>
        <v>9</v>
      </c>
      <c r="C189" s="207" t="str">
        <f t="shared" si="45"/>
        <v>Israel</v>
      </c>
      <c r="D189" s="226">
        <f t="shared" ca="1" si="37"/>
        <v>0.86976195119397759</v>
      </c>
      <c r="E189" s="226">
        <f t="shared" ca="1" si="37"/>
        <v>0.82923975192840937</v>
      </c>
      <c r="F189" s="226">
        <f t="shared" ca="1" si="37"/>
        <v>0.9386914916265201</v>
      </c>
      <c r="G189" s="226">
        <f t="shared" ca="1" si="37"/>
        <v>0.95979205291812231</v>
      </c>
      <c r="H189" s="226">
        <f t="shared" ca="1" si="37"/>
        <v>0.90780035190485842</v>
      </c>
      <c r="I189" s="226">
        <f t="shared" ca="1" si="37"/>
        <v>0.96709253896031566</v>
      </c>
      <c r="J189" s="226">
        <f t="shared" ca="1" si="46"/>
        <v>5.4723781385322035</v>
      </c>
      <c r="K189" s="199"/>
      <c r="L189" s="206">
        <f t="shared" si="47"/>
        <v>9</v>
      </c>
      <c r="M189" s="207" t="str">
        <f t="shared" si="38"/>
        <v>Israel</v>
      </c>
      <c r="N189" s="226">
        <f t="shared" ca="1" si="39"/>
        <v>0.850190843237839</v>
      </c>
      <c r="O189" s="226">
        <f t="shared" ca="1" si="39"/>
        <v>0.85139800908558372</v>
      </c>
      <c r="P189" s="226">
        <f t="shared" ca="1" si="39"/>
        <v>0.93897519775158633</v>
      </c>
      <c r="Q189" s="226">
        <f t="shared" ca="1" si="39"/>
        <v>0.96491188813274287</v>
      </c>
      <c r="R189" s="226">
        <f t="shared" ca="1" si="39"/>
        <v>0.83882764453867897</v>
      </c>
      <c r="S189" s="226">
        <f t="shared" ca="1" si="39"/>
        <v>0.94472758662296352</v>
      </c>
      <c r="T189" s="226">
        <f t="shared" ca="1" si="40"/>
        <v>5.3890311693693942</v>
      </c>
      <c r="U189" s="199"/>
      <c r="V189" s="206">
        <f t="shared" si="48"/>
        <v>9</v>
      </c>
      <c r="W189" s="207" t="str">
        <f t="shared" si="41"/>
        <v>Israel</v>
      </c>
      <c r="X189" s="226">
        <f t="shared" ca="1" si="42"/>
        <v>0.85835010639951226</v>
      </c>
      <c r="Y189" s="226">
        <f t="shared" ca="1" si="42"/>
        <v>0.84257205827647086</v>
      </c>
      <c r="Z189" s="226">
        <f t="shared" ca="1" si="42"/>
        <v>0.93834898878294304</v>
      </c>
      <c r="AA189" s="226">
        <f t="shared" ca="1" si="42"/>
        <v>0.96246683338927053</v>
      </c>
      <c r="AB189" s="226">
        <f t="shared" ca="1" si="42"/>
        <v>0.88693984002218351</v>
      </c>
      <c r="AC189" s="226">
        <f t="shared" ca="1" si="42"/>
        <v>0.95567612844936123</v>
      </c>
      <c r="AD189" s="17">
        <f t="shared" ca="1" si="43"/>
        <v>5.4443539553197411</v>
      </c>
    </row>
    <row r="190" spans="1:30" ht="15" customHeight="1">
      <c r="A190" s="199"/>
      <c r="B190" s="206">
        <f t="shared" si="44"/>
        <v>10</v>
      </c>
      <c r="C190" s="207" t="str">
        <f t="shared" si="45"/>
        <v>Kazakhstan</v>
      </c>
      <c r="D190" s="226">
        <f t="shared" ca="1" si="37"/>
        <v>0.93070972945291419</v>
      </c>
      <c r="E190" s="226">
        <f t="shared" ca="1" si="37"/>
        <v>0.62451179873828733</v>
      </c>
      <c r="F190" s="226">
        <f t="shared" ca="1" si="37"/>
        <v>0.86565263093128464</v>
      </c>
      <c r="G190" s="226">
        <f t="shared" ca="1" si="37"/>
        <v>0.86150409316199505</v>
      </c>
      <c r="H190" s="226">
        <f t="shared" ca="1" si="37"/>
        <v>0.96315585191099351</v>
      </c>
      <c r="I190" s="226">
        <f t="shared" ca="1" si="37"/>
        <v>0.9382883237954408</v>
      </c>
      <c r="J190" s="226">
        <f t="shared" ca="1" si="46"/>
        <v>5.1838224279909157</v>
      </c>
      <c r="K190" s="199"/>
      <c r="L190" s="206">
        <f t="shared" si="47"/>
        <v>10</v>
      </c>
      <c r="M190" s="207" t="str">
        <f t="shared" si="38"/>
        <v>Kazakhstan</v>
      </c>
      <c r="N190" s="226">
        <f t="shared" ca="1" si="39"/>
        <v>0.91346253285635304</v>
      </c>
      <c r="O190" s="226">
        <f t="shared" ca="1" si="39"/>
        <v>0.7070886100796393</v>
      </c>
      <c r="P190" s="226">
        <f t="shared" ca="1" si="39"/>
        <v>0.90039978048856695</v>
      </c>
      <c r="Q190" s="226">
        <f t="shared" ca="1" si="39"/>
        <v>0.88053461909175501</v>
      </c>
      <c r="R190" s="226">
        <f t="shared" ca="1" si="39"/>
        <v>0.97123844541234094</v>
      </c>
      <c r="S190" s="226">
        <f t="shared" ca="1" si="39"/>
        <v>0.94004133371039267</v>
      </c>
      <c r="T190" s="226">
        <f t="shared" ca="1" si="40"/>
        <v>5.3127653216390476</v>
      </c>
      <c r="U190" s="199"/>
      <c r="V190" s="206">
        <f t="shared" si="48"/>
        <v>10</v>
      </c>
      <c r="W190" s="207" t="str">
        <f t="shared" si="41"/>
        <v>Kazakhstan</v>
      </c>
      <c r="X190" s="226">
        <f t="shared" ca="1" si="42"/>
        <v>0.92119379988835282</v>
      </c>
      <c r="Y190" s="226">
        <f t="shared" ca="1" si="42"/>
        <v>0.66877645164497146</v>
      </c>
      <c r="Z190" s="226">
        <f t="shared" ca="1" si="42"/>
        <v>0.87890209801185903</v>
      </c>
      <c r="AA190" s="226">
        <f t="shared" ca="1" si="42"/>
        <v>0.87151491856161889</v>
      </c>
      <c r="AB190" s="226">
        <f t="shared" ca="1" si="42"/>
        <v>0.97483556507046409</v>
      </c>
      <c r="AC190" s="226">
        <f t="shared" ca="1" si="42"/>
        <v>0.93704437631782689</v>
      </c>
      <c r="AD190" s="17">
        <f t="shared" ca="1" si="43"/>
        <v>5.2522672094950931</v>
      </c>
    </row>
    <row r="191" spans="1:30" ht="15" customHeight="1">
      <c r="A191" s="199"/>
      <c r="B191" s="206">
        <f t="shared" si="44"/>
        <v>11</v>
      </c>
      <c r="C191" s="207" t="str">
        <f t="shared" si="45"/>
        <v>Kyrgyz Republic</v>
      </c>
      <c r="D191" s="226">
        <f t="shared" ca="1" si="37"/>
        <v>0.77991584032166938</v>
      </c>
      <c r="E191" s="226">
        <f t="shared" ca="1" si="37"/>
        <v>0.67452303568748095</v>
      </c>
      <c r="F191" s="226">
        <f t="shared" ca="1" si="37"/>
        <v>0.83500189948694492</v>
      </c>
      <c r="G191" s="226">
        <f t="shared" ca="1" si="37"/>
        <v>0.90915968581415452</v>
      </c>
      <c r="H191" s="226">
        <f t="shared" ca="1" si="37"/>
        <v>0.98361924030697845</v>
      </c>
      <c r="I191" s="226">
        <f t="shared" ca="1" si="37"/>
        <v>0.93681745498564195</v>
      </c>
      <c r="J191" s="226">
        <f t="shared" ca="1" si="46"/>
        <v>5.1190371566028698</v>
      </c>
      <c r="K191" s="199"/>
      <c r="L191" s="206">
        <f t="shared" si="47"/>
        <v>11</v>
      </c>
      <c r="M191" s="207" t="str">
        <f t="shared" si="38"/>
        <v>Kyrgyz Republic</v>
      </c>
      <c r="N191" s="226">
        <f t="shared" ref="N191:S200" ca="1" si="49">IF(AND(ISNUMBER($L191),ISNUMBER(N$5)),POWER(N76,N$121),"")</f>
        <v>0.75930775466354217</v>
      </c>
      <c r="O191" s="226">
        <f t="shared" ca="1" si="49"/>
        <v>0.68200681497746396</v>
      </c>
      <c r="P191" s="226">
        <f t="shared" ca="1" si="49"/>
        <v>0.87529263162879689</v>
      </c>
      <c r="Q191" s="226">
        <f t="shared" ca="1" si="49"/>
        <v>0.91020097412154444</v>
      </c>
      <c r="R191" s="226">
        <f t="shared" ca="1" si="49"/>
        <v>0.99174986718523606</v>
      </c>
      <c r="S191" s="226">
        <f t="shared" ca="1" si="49"/>
        <v>0.92994513973829773</v>
      </c>
      <c r="T191" s="226">
        <f t="shared" ca="1" si="40"/>
        <v>5.1485031823148812</v>
      </c>
      <c r="U191" s="199"/>
      <c r="V191" s="206">
        <f t="shared" si="48"/>
        <v>11</v>
      </c>
      <c r="W191" s="207" t="str">
        <f t="shared" si="41"/>
        <v>Kyrgyz Republic</v>
      </c>
      <c r="X191" s="226">
        <f t="shared" ref="X191:AC200" ca="1" si="50">IF(AND(ISNUMBER($V191),ISNUMBER(X$5)),POWER(X76,X$121),"")</f>
        <v>0.7670072400472594</v>
      </c>
      <c r="Y191" s="226">
        <f t="shared" ca="1" si="50"/>
        <v>0.67856045575986579</v>
      </c>
      <c r="Z191" s="226">
        <f t="shared" ca="1" si="50"/>
        <v>0.84675645405069089</v>
      </c>
      <c r="AA191" s="226">
        <f t="shared" ca="1" si="50"/>
        <v>0.90964184516619084</v>
      </c>
      <c r="AB191" s="226">
        <f t="shared" ca="1" si="50"/>
        <v>0.99494541011281779</v>
      </c>
      <c r="AC191" s="226">
        <f t="shared" ca="1" si="50"/>
        <v>0.93124553947270394</v>
      </c>
      <c r="AD191" s="17">
        <f t="shared" ca="1" si="43"/>
        <v>5.128156944609529</v>
      </c>
    </row>
    <row r="192" spans="1:30" ht="15" customHeight="1">
      <c r="A192" s="199"/>
      <c r="B192" s="206">
        <f t="shared" si="44"/>
        <v>12</v>
      </c>
      <c r="C192" s="207" t="str">
        <f t="shared" si="45"/>
        <v>Liechtenstein</v>
      </c>
      <c r="D192" s="226">
        <f t="shared" ca="1" si="37"/>
        <v>0.81829490247252079</v>
      </c>
      <c r="E192" s="226">
        <f t="shared" ca="1" si="37"/>
        <v>0.55307571682813006</v>
      </c>
      <c r="F192" s="226">
        <f t="shared" ca="1" si="37"/>
        <v>0.88907750352990889</v>
      </c>
      <c r="G192" s="226">
        <f t="shared" ca="1" si="37"/>
        <v>0.92675279732833948</v>
      </c>
      <c r="H192" s="226">
        <f t="shared" ca="1" si="37"/>
        <v>0.93572003936078385</v>
      </c>
      <c r="I192" s="226">
        <f t="shared" ca="1" si="37"/>
        <v>0.99204979739016275</v>
      </c>
      <c r="J192" s="226">
        <f t="shared" ca="1" si="46"/>
        <v>5.1149707569098455</v>
      </c>
      <c r="K192" s="199"/>
      <c r="L192" s="206">
        <f t="shared" si="47"/>
        <v>12</v>
      </c>
      <c r="M192" s="207" t="str">
        <f t="shared" si="38"/>
        <v>Liechtenstein</v>
      </c>
      <c r="N192" s="226">
        <f t="shared" ca="1" si="49"/>
        <v>0.84800705000771281</v>
      </c>
      <c r="O192" s="226">
        <f t="shared" ca="1" si="49"/>
        <v>0.56690167353787757</v>
      </c>
      <c r="P192" s="226">
        <f t="shared" ca="1" si="49"/>
        <v>0.90731766304687334</v>
      </c>
      <c r="Q192" s="226">
        <f t="shared" ca="1" si="49"/>
        <v>0.93586957039138785</v>
      </c>
      <c r="R192" s="226">
        <f t="shared" ca="1" si="49"/>
        <v>0.947427918532183</v>
      </c>
      <c r="S192" s="226">
        <f t="shared" ca="1" si="49"/>
        <v>0.99261063519340575</v>
      </c>
      <c r="T192" s="226">
        <f t="shared" ca="1" si="40"/>
        <v>5.1981345107094397</v>
      </c>
      <c r="U192" s="199"/>
      <c r="V192" s="206">
        <f t="shared" si="48"/>
        <v>12</v>
      </c>
      <c r="W192" s="207" t="str">
        <f t="shared" si="41"/>
        <v>Liechtenstein</v>
      </c>
      <c r="X192" s="226">
        <f t="shared" ca="1" si="50"/>
        <v>0.83215664521847055</v>
      </c>
      <c r="Y192" s="226">
        <f t="shared" ca="1" si="50"/>
        <v>0.55946795534726734</v>
      </c>
      <c r="Z192" s="226">
        <f t="shared" ca="1" si="50"/>
        <v>0.89484405658512378</v>
      </c>
      <c r="AA192" s="226">
        <f t="shared" ca="1" si="50"/>
        <v>0.93151766034599204</v>
      </c>
      <c r="AB192" s="226">
        <f t="shared" ca="1" si="50"/>
        <v>0.94980226619533603</v>
      </c>
      <c r="AC192" s="226">
        <f t="shared" ca="1" si="50"/>
        <v>0.9920810082597058</v>
      </c>
      <c r="AD192" s="17">
        <f t="shared" ca="1" si="43"/>
        <v>5.1598695919518951</v>
      </c>
    </row>
    <row r="193" spans="1:30" ht="15" customHeight="1">
      <c r="A193" s="199"/>
      <c r="B193" s="206">
        <f t="shared" si="44"/>
        <v>13</v>
      </c>
      <c r="C193" s="207" t="str">
        <f t="shared" si="45"/>
        <v>Moldova</v>
      </c>
      <c r="D193" s="226">
        <f t="shared" ca="1" si="37"/>
        <v>0.8461321465439865</v>
      </c>
      <c r="E193" s="226">
        <f t="shared" ca="1" si="37"/>
        <v>0.75040172798082228</v>
      </c>
      <c r="F193" s="226">
        <f t="shared" ca="1" si="37"/>
        <v>0.86809400822536198</v>
      </c>
      <c r="G193" s="226">
        <f t="shared" ca="1" si="37"/>
        <v>0.93726127186017105</v>
      </c>
      <c r="H193" s="226">
        <f t="shared" ca="1" si="37"/>
        <v>0.88229137149746262</v>
      </c>
      <c r="I193" s="226">
        <f t="shared" ca="1" si="37"/>
        <v>0.85296842625145286</v>
      </c>
      <c r="J193" s="226">
        <f t="shared" ca="1" si="46"/>
        <v>5.1371489523592571</v>
      </c>
      <c r="K193" s="199"/>
      <c r="L193" s="206">
        <f t="shared" si="47"/>
        <v>13</v>
      </c>
      <c r="M193" s="207" t="str">
        <f t="shared" si="38"/>
        <v>Moldova</v>
      </c>
      <c r="N193" s="226">
        <f t="shared" ca="1" si="49"/>
        <v>0.850190843237839</v>
      </c>
      <c r="O193" s="226">
        <f t="shared" ca="1" si="49"/>
        <v>0.75318318187636524</v>
      </c>
      <c r="P193" s="226">
        <f t="shared" ca="1" si="49"/>
        <v>0.89549883178769929</v>
      </c>
      <c r="Q193" s="226">
        <f t="shared" ca="1" si="49"/>
        <v>0.94212331720441467</v>
      </c>
      <c r="R193" s="226">
        <f t="shared" ca="1" si="49"/>
        <v>0.89278636198115346</v>
      </c>
      <c r="S193" s="226">
        <f t="shared" ca="1" si="49"/>
        <v>0.77443221681370156</v>
      </c>
      <c r="T193" s="226">
        <f t="shared" ca="1" si="40"/>
        <v>5.1082147529011728</v>
      </c>
      <c r="U193" s="199"/>
      <c r="V193" s="206">
        <f t="shared" si="48"/>
        <v>13</v>
      </c>
      <c r="W193" s="207" t="str">
        <f t="shared" si="41"/>
        <v>Moldova</v>
      </c>
      <c r="X193" s="226">
        <f t="shared" ca="1" si="50"/>
        <v>0.8464775683695549</v>
      </c>
      <c r="Y193" s="226">
        <f t="shared" ca="1" si="50"/>
        <v>0.75265745162492614</v>
      </c>
      <c r="Z193" s="226">
        <f t="shared" ca="1" si="50"/>
        <v>0.87690951658286687</v>
      </c>
      <c r="AA193" s="226">
        <f t="shared" ca="1" si="50"/>
        <v>0.93976883987458537</v>
      </c>
      <c r="AB193" s="226">
        <f t="shared" ca="1" si="50"/>
        <v>0.89749786349586047</v>
      </c>
      <c r="AC193" s="226">
        <f t="shared" ca="1" si="50"/>
        <v>0.81820952186894558</v>
      </c>
      <c r="AD193" s="17">
        <f t="shared" ca="1" si="43"/>
        <v>5.1315207618167396</v>
      </c>
    </row>
    <row r="194" spans="1:30" ht="15" customHeight="1">
      <c r="A194" s="199"/>
      <c r="B194" s="206">
        <f t="shared" si="44"/>
        <v>14</v>
      </c>
      <c r="C194" s="207" t="str">
        <f t="shared" si="45"/>
        <v>Monaco</v>
      </c>
      <c r="D194" s="226">
        <f t="shared" ca="1" si="37"/>
        <v>0</v>
      </c>
      <c r="E194" s="226">
        <f t="shared" ca="1" si="37"/>
        <v>0.60167360529174996</v>
      </c>
      <c r="F194" s="226">
        <f t="shared" ca="1" si="37"/>
        <v>0.72603755832362527</v>
      </c>
      <c r="G194" s="226">
        <f t="shared" ca="1" si="37"/>
        <v>0.91111652246154862</v>
      </c>
      <c r="H194" s="226">
        <f t="shared" ca="1" si="37"/>
        <v>0.62831194438599169</v>
      </c>
      <c r="I194" s="226">
        <f t="shared" ca="1" si="37"/>
        <v>0.97921823910315242</v>
      </c>
      <c r="J194" s="226">
        <f t="shared" ca="1" si="46"/>
        <v>3.8463578695660678</v>
      </c>
      <c r="K194" s="199"/>
      <c r="L194" s="206">
        <f t="shared" si="47"/>
        <v>14</v>
      </c>
      <c r="M194" s="207" t="str">
        <f t="shared" si="38"/>
        <v>Monaco</v>
      </c>
      <c r="N194" s="226">
        <f t="shared" ca="1" si="49"/>
        <v>0</v>
      </c>
      <c r="O194" s="226">
        <f t="shared" ca="1" si="49"/>
        <v>0.61315140815750702</v>
      </c>
      <c r="P194" s="226">
        <f t="shared" ca="1" si="49"/>
        <v>0.89486841701277908</v>
      </c>
      <c r="Q194" s="226">
        <f t="shared" ca="1" si="49"/>
        <v>0.9124664280361674</v>
      </c>
      <c r="R194" s="226">
        <f t="shared" ca="1" si="49"/>
        <v>0.53264288654881908</v>
      </c>
      <c r="S194" s="226">
        <f t="shared" ca="1" si="49"/>
        <v>0.97662159137244686</v>
      </c>
      <c r="T194" s="226">
        <f t="shared" ca="1" si="40"/>
        <v>3.9297507311277196</v>
      </c>
      <c r="U194" s="199"/>
      <c r="V194" s="206">
        <f t="shared" si="48"/>
        <v>14</v>
      </c>
      <c r="W194" s="207" t="str">
        <f t="shared" si="41"/>
        <v>Monaco</v>
      </c>
      <c r="X194" s="226">
        <f t="shared" ca="1" si="50"/>
        <v>0</v>
      </c>
      <c r="Y194" s="226">
        <f t="shared" ca="1" si="50"/>
        <v>0.60720290920534969</v>
      </c>
      <c r="Z194" s="226">
        <f t="shared" ca="1" si="50"/>
        <v>0.82896567424952172</v>
      </c>
      <c r="AA194" s="226">
        <f t="shared" ca="1" si="50"/>
        <v>0.91175949213443419</v>
      </c>
      <c r="AB194" s="226">
        <f t="shared" ca="1" si="50"/>
        <v>0.59388657562179736</v>
      </c>
      <c r="AC194" s="226">
        <f t="shared" ca="1" si="50"/>
        <v>0.97724391176606218</v>
      </c>
      <c r="AD194" s="17">
        <f t="shared" ca="1" si="43"/>
        <v>3.919058562977165</v>
      </c>
    </row>
    <row r="195" spans="1:30" ht="15" customHeight="1">
      <c r="A195" s="199"/>
      <c r="B195" s="206">
        <f t="shared" si="44"/>
        <v>15</v>
      </c>
      <c r="C195" s="207" t="str">
        <f t="shared" si="45"/>
        <v>Montenegro</v>
      </c>
      <c r="D195" s="226">
        <f t="shared" ca="1" si="37"/>
        <v>0.84025086884817157</v>
      </c>
      <c r="E195" s="226">
        <f t="shared" ca="1" si="37"/>
        <v>0.55895530405477178</v>
      </c>
      <c r="F195" s="226">
        <f t="shared" ca="1" si="37"/>
        <v>0.88507625973229975</v>
      </c>
      <c r="G195" s="226">
        <f t="shared" ca="1" si="37"/>
        <v>0.89077493437585964</v>
      </c>
      <c r="H195" s="226">
        <f t="shared" ca="1" si="37"/>
        <v>0.94931688145153237</v>
      </c>
      <c r="I195" s="226">
        <f t="shared" ca="1" si="37"/>
        <v>0.92679617702000783</v>
      </c>
      <c r="J195" s="226">
        <f t="shared" ca="1" si="46"/>
        <v>5.0511704254826437</v>
      </c>
      <c r="K195" s="199"/>
      <c r="L195" s="206">
        <f t="shared" si="47"/>
        <v>15</v>
      </c>
      <c r="M195" s="207" t="str">
        <f t="shared" si="38"/>
        <v>Montenegro</v>
      </c>
      <c r="N195" s="226">
        <f t="shared" ca="1" si="49"/>
        <v>0.80339697612841576</v>
      </c>
      <c r="O195" s="226">
        <f t="shared" ca="1" si="49"/>
        <v>0.73441776451746732</v>
      </c>
      <c r="P195" s="226">
        <f t="shared" ca="1" si="49"/>
        <v>0.91786357764286908</v>
      </c>
      <c r="Q195" s="226">
        <f t="shared" ca="1" si="49"/>
        <v>0.91601161526592445</v>
      </c>
      <c r="R195" s="226">
        <f t="shared" ca="1" si="49"/>
        <v>0.97272534270620481</v>
      </c>
      <c r="S195" s="226">
        <f t="shared" ca="1" si="49"/>
        <v>0.91795242057311455</v>
      </c>
      <c r="T195" s="226">
        <f t="shared" ca="1" si="40"/>
        <v>5.2623676968339961</v>
      </c>
      <c r="U195" s="199"/>
      <c r="V195" s="206">
        <f t="shared" si="48"/>
        <v>15</v>
      </c>
      <c r="W195" s="207" t="str">
        <f t="shared" si="41"/>
        <v>Montenegro</v>
      </c>
      <c r="X195" s="226">
        <f t="shared" ca="1" si="50"/>
        <v>0.82007399745626641</v>
      </c>
      <c r="Y195" s="226">
        <f t="shared" ca="1" si="50"/>
        <v>0.65763367552100871</v>
      </c>
      <c r="Z195" s="226">
        <f t="shared" ca="1" si="50"/>
        <v>0.89940810821358652</v>
      </c>
      <c r="AA195" s="226">
        <f t="shared" ca="1" si="50"/>
        <v>0.9043223574854552</v>
      </c>
      <c r="AB195" s="226">
        <f t="shared" ca="1" si="50"/>
        <v>0.96878926077997374</v>
      </c>
      <c r="AC195" s="226">
        <f t="shared" ca="1" si="50"/>
        <v>0.91988249083217766</v>
      </c>
      <c r="AD195" s="17">
        <f t="shared" ca="1" si="43"/>
        <v>5.1701098902884688</v>
      </c>
    </row>
    <row r="196" spans="1:30" ht="15" customHeight="1">
      <c r="A196" s="199"/>
      <c r="B196" s="206">
        <f t="shared" si="44"/>
        <v>16</v>
      </c>
      <c r="C196" s="207" t="str">
        <f t="shared" si="45"/>
        <v>North Macedonia</v>
      </c>
      <c r="D196" s="226">
        <f t="shared" ca="1" si="37"/>
        <v>0.86072009210644063</v>
      </c>
      <c r="E196" s="226">
        <f t="shared" ca="1" si="37"/>
        <v>0.71749824608029344</v>
      </c>
      <c r="F196" s="226">
        <f t="shared" ca="1" si="37"/>
        <v>0.86968923442555079</v>
      </c>
      <c r="G196" s="226">
        <f t="shared" ca="1" si="37"/>
        <v>0.83467020721985175</v>
      </c>
      <c r="H196" s="226">
        <f t="shared" ca="1" si="37"/>
        <v>0.9068070052691044</v>
      </c>
      <c r="I196" s="226">
        <f t="shared" ca="1" si="37"/>
        <v>0.92679617702000783</v>
      </c>
      <c r="J196" s="226">
        <f t="shared" ca="1" si="46"/>
        <v>5.1161809621212493</v>
      </c>
      <c r="K196" s="199"/>
      <c r="L196" s="206">
        <f t="shared" si="47"/>
        <v>16</v>
      </c>
      <c r="M196" s="207" t="str">
        <f t="shared" si="38"/>
        <v>North Macedonia</v>
      </c>
      <c r="N196" s="226">
        <f t="shared" ca="1" si="49"/>
        <v>0.8157049647171255</v>
      </c>
      <c r="O196" s="226">
        <f t="shared" ca="1" si="49"/>
        <v>0.77786602128221882</v>
      </c>
      <c r="P196" s="226">
        <f t="shared" ca="1" si="49"/>
        <v>0.89230481319958876</v>
      </c>
      <c r="Q196" s="226">
        <f t="shared" ca="1" si="49"/>
        <v>0.90023097120452711</v>
      </c>
      <c r="R196" s="226">
        <f t="shared" ca="1" si="49"/>
        <v>0.93231494118699487</v>
      </c>
      <c r="S196" s="226">
        <f t="shared" ca="1" si="49"/>
        <v>0.92680839158493056</v>
      </c>
      <c r="T196" s="226">
        <f t="shared" ca="1" si="40"/>
        <v>5.2452301031753858</v>
      </c>
      <c r="U196" s="199"/>
      <c r="V196" s="206">
        <f t="shared" si="48"/>
        <v>16</v>
      </c>
      <c r="W196" s="207" t="str">
        <f t="shared" si="41"/>
        <v>North Macedonia</v>
      </c>
      <c r="X196" s="226">
        <f t="shared" ca="1" si="50"/>
        <v>0.83693242229801568</v>
      </c>
      <c r="Y196" s="226">
        <f t="shared" ca="1" si="50"/>
        <v>0.75037012286958338</v>
      </c>
      <c r="Z196" s="226">
        <f t="shared" ca="1" si="50"/>
        <v>0.87569350988582972</v>
      </c>
      <c r="AA196" s="226">
        <f t="shared" ca="1" si="50"/>
        <v>0.87214448387223942</v>
      </c>
      <c r="AB196" s="226">
        <f t="shared" ca="1" si="50"/>
        <v>0.92896876071004997</v>
      </c>
      <c r="AC196" s="226">
        <f t="shared" ca="1" si="50"/>
        <v>0.92420101021341727</v>
      </c>
      <c r="AD196" s="17">
        <f t="shared" ca="1" si="43"/>
        <v>5.1883103098491361</v>
      </c>
    </row>
    <row r="197" spans="1:30" ht="15" customHeight="1">
      <c r="A197" s="199"/>
      <c r="B197" s="206">
        <f t="shared" si="44"/>
        <v>17</v>
      </c>
      <c r="C197" s="207" t="str">
        <f t="shared" si="45"/>
        <v>Norway</v>
      </c>
      <c r="D197" s="226">
        <f t="shared" ref="D197:I207" ca="1" si="51">IF(AND(ISNUMBER($B197),ISNUMBER(D$5)),POWER(D82,D$121),"")</f>
        <v>0.90803797077312443</v>
      </c>
      <c r="E197" s="226">
        <f t="shared" ca="1" si="51"/>
        <v>0.89887142700255207</v>
      </c>
      <c r="F197" s="226">
        <f t="shared" ca="1" si="51"/>
        <v>0.98881796382277032</v>
      </c>
      <c r="G197" s="226">
        <f t="shared" ca="1" si="51"/>
        <v>0.93019854290128212</v>
      </c>
      <c r="H197" s="226">
        <f t="shared" ca="1" si="51"/>
        <v>0.97859709808569717</v>
      </c>
      <c r="I197" s="226">
        <f t="shared" ca="1" si="51"/>
        <v>1</v>
      </c>
      <c r="J197" s="226">
        <f t="shared" ca="1" si="46"/>
        <v>5.7045230025854261</v>
      </c>
      <c r="K197" s="199"/>
      <c r="L197" s="206">
        <f t="shared" si="47"/>
        <v>17</v>
      </c>
      <c r="M197" s="207" t="str">
        <f t="shared" si="38"/>
        <v>Norway</v>
      </c>
      <c r="N197" s="226">
        <f t="shared" ca="1" si="49"/>
        <v>0.90879947247107273</v>
      </c>
      <c r="O197" s="226">
        <f t="shared" ca="1" si="49"/>
        <v>0.84854526564564103</v>
      </c>
      <c r="P197" s="226">
        <f t="shared" ca="1" si="49"/>
        <v>0.98179479019060734</v>
      </c>
      <c r="Q197" s="226">
        <f t="shared" ca="1" si="49"/>
        <v>0.92970528133638108</v>
      </c>
      <c r="R197" s="226">
        <f t="shared" ca="1" si="49"/>
        <v>1</v>
      </c>
      <c r="S197" s="226">
        <f t="shared" ca="1" si="49"/>
        <v>1</v>
      </c>
      <c r="T197" s="226">
        <f t="shared" ca="1" si="40"/>
        <v>5.6688448096437023</v>
      </c>
      <c r="U197" s="199"/>
      <c r="V197" s="206">
        <f t="shared" si="48"/>
        <v>17</v>
      </c>
      <c r="W197" s="207" t="str">
        <f t="shared" si="41"/>
        <v>Norway</v>
      </c>
      <c r="X197" s="226">
        <f t="shared" ca="1" si="50"/>
        <v>0.90732068103730512</v>
      </c>
      <c r="Y197" s="226">
        <f t="shared" ca="1" si="50"/>
        <v>0.87518316641894012</v>
      </c>
      <c r="Z197" s="226">
        <f t="shared" ca="1" si="50"/>
        <v>0.98656054095926526</v>
      </c>
      <c r="AA197" s="226">
        <f t="shared" ca="1" si="50"/>
        <v>0.92988931423027654</v>
      </c>
      <c r="AB197" s="226">
        <f t="shared" ca="1" si="50"/>
        <v>0.99623001388597632</v>
      </c>
      <c r="AC197" s="226">
        <f t="shared" ca="1" si="50"/>
        <v>1</v>
      </c>
      <c r="AD197" s="17">
        <f t="shared" ca="1" si="43"/>
        <v>5.6951837165317638</v>
      </c>
    </row>
    <row r="198" spans="1:30" ht="15" customHeight="1">
      <c r="A198" s="199"/>
      <c r="B198" s="206">
        <f t="shared" si="44"/>
        <v>18</v>
      </c>
      <c r="C198" s="207" t="str">
        <f t="shared" si="45"/>
        <v>Russia</v>
      </c>
      <c r="D198" s="226">
        <f t="shared" ca="1" si="51"/>
        <v>0.87235296720215783</v>
      </c>
      <c r="E198" s="226">
        <f t="shared" ca="1" si="51"/>
        <v>0.76059386327111089</v>
      </c>
      <c r="F198" s="226">
        <f t="shared" ca="1" si="51"/>
        <v>0.94696089756964164</v>
      </c>
      <c r="G198" s="226">
        <f t="shared" ca="1" si="51"/>
        <v>0.94820178961204837</v>
      </c>
      <c r="H198" s="226">
        <f t="shared" ca="1" si="51"/>
        <v>0.94070386212545165</v>
      </c>
      <c r="I198" s="226">
        <f t="shared" ca="1" si="51"/>
        <v>0.87701749800935991</v>
      </c>
      <c r="J198" s="226">
        <f t="shared" ca="1" si="46"/>
        <v>5.345830877789771</v>
      </c>
      <c r="K198" s="199"/>
      <c r="L198" s="206">
        <f t="shared" si="47"/>
        <v>18</v>
      </c>
      <c r="M198" s="207" t="str">
        <f t="shared" si="38"/>
        <v>Russia</v>
      </c>
      <c r="N198" s="226">
        <f t="shared" ca="1" si="49"/>
        <v>0.87049679945511571</v>
      </c>
      <c r="O198" s="226">
        <f t="shared" ca="1" si="49"/>
        <v>0.82885021693321592</v>
      </c>
      <c r="P198" s="226">
        <f t="shared" ca="1" si="49"/>
        <v>0.94018368410716036</v>
      </c>
      <c r="Q198" s="226">
        <f t="shared" ca="1" si="49"/>
        <v>0.97573970386723818</v>
      </c>
      <c r="R198" s="226">
        <f t="shared" ca="1" si="49"/>
        <v>0.947427918532183</v>
      </c>
      <c r="S198" s="226">
        <f t="shared" ca="1" si="49"/>
        <v>0.85620527344527875</v>
      </c>
      <c r="T198" s="226">
        <f t="shared" ca="1" si="40"/>
        <v>5.4189035963401926</v>
      </c>
      <c r="U198" s="199"/>
      <c r="V198" s="206">
        <f t="shared" si="48"/>
        <v>18</v>
      </c>
      <c r="W198" s="207" t="str">
        <f t="shared" si="41"/>
        <v>Russia</v>
      </c>
      <c r="X198" s="226">
        <f t="shared" ca="1" si="50"/>
        <v>0.86990440771353206</v>
      </c>
      <c r="Y198" s="226">
        <f t="shared" ca="1" si="50"/>
        <v>0.79836261164087996</v>
      </c>
      <c r="Z198" s="226">
        <f t="shared" ca="1" si="50"/>
        <v>0.94338134440777921</v>
      </c>
      <c r="AA198" s="226">
        <f t="shared" ca="1" si="50"/>
        <v>0.96327810295849758</v>
      </c>
      <c r="AB198" s="226">
        <f t="shared" ca="1" si="50"/>
        <v>0.95223313510007423</v>
      </c>
      <c r="AC198" s="226">
        <f t="shared" ca="1" si="50"/>
        <v>0.86212257399470427</v>
      </c>
      <c r="AD198" s="17">
        <f t="shared" ca="1" si="43"/>
        <v>5.3892821758154676</v>
      </c>
    </row>
    <row r="199" spans="1:30" ht="15" customHeight="1">
      <c r="A199" s="199"/>
      <c r="B199" s="206">
        <f t="shared" si="44"/>
        <v>19</v>
      </c>
      <c r="C199" s="207" t="str">
        <f t="shared" si="45"/>
        <v>San Marino</v>
      </c>
      <c r="D199" s="226">
        <f t="shared" ca="1" si="51"/>
        <v>0.67552370763444891</v>
      </c>
      <c r="E199" s="226">
        <f t="shared" ca="1" si="51"/>
        <v>0.55455441818612361</v>
      </c>
      <c r="F199" s="226">
        <f t="shared" ca="1" si="51"/>
        <v>0</v>
      </c>
      <c r="G199" s="226">
        <f t="shared" ca="1" si="51"/>
        <v>0.83295896068516317</v>
      </c>
      <c r="H199" s="226">
        <f t="shared" ca="1" si="51"/>
        <v>0</v>
      </c>
      <c r="I199" s="226">
        <f t="shared" ca="1" si="51"/>
        <v>0.97617427901083698</v>
      </c>
      <c r="J199" s="226">
        <f t="shared" ca="1" si="46"/>
        <v>3.0392113655165724</v>
      </c>
      <c r="K199" s="199"/>
      <c r="L199" s="206">
        <f t="shared" si="47"/>
        <v>19</v>
      </c>
      <c r="M199" s="207" t="str">
        <f t="shared" si="38"/>
        <v>San Marino</v>
      </c>
      <c r="N199" s="226">
        <f t="shared" ca="1" si="49"/>
        <v>0.64929621898343504</v>
      </c>
      <c r="O199" s="226">
        <f t="shared" ca="1" si="49"/>
        <v>0.62292838557758223</v>
      </c>
      <c r="P199" s="226">
        <f t="shared" ca="1" si="49"/>
        <v>0.90099537512877637</v>
      </c>
      <c r="Q199" s="226">
        <f t="shared" ca="1" si="49"/>
        <v>0.8400766552959501</v>
      </c>
      <c r="R199" s="226">
        <f t="shared" ca="1" si="49"/>
        <v>0</v>
      </c>
      <c r="S199" s="226">
        <f t="shared" ca="1" si="49"/>
        <v>0.97377041322229796</v>
      </c>
      <c r="T199" s="226">
        <f t="shared" ca="1" si="40"/>
        <v>3.9870670482080417</v>
      </c>
      <c r="U199" s="199"/>
      <c r="V199" s="206">
        <f t="shared" si="48"/>
        <v>19</v>
      </c>
      <c r="W199" s="207" t="str">
        <f t="shared" si="41"/>
        <v>San Marino</v>
      </c>
      <c r="X199" s="226">
        <f t="shared" ca="1" si="50"/>
        <v>0.65885596874599028</v>
      </c>
      <c r="Y199" s="226">
        <f t="shared" ca="1" si="50"/>
        <v>0.5901808043700878</v>
      </c>
      <c r="Z199" s="226">
        <f t="shared" ca="1" si="50"/>
        <v>0.8219112449295124</v>
      </c>
      <c r="AA199" s="226">
        <f t="shared" ca="1" si="50"/>
        <v>0.8365715325754105</v>
      </c>
      <c r="AB199" s="226">
        <f t="shared" ca="1" si="50"/>
        <v>0</v>
      </c>
      <c r="AC199" s="226">
        <f t="shared" ca="1" si="50"/>
        <v>0.97419459249602924</v>
      </c>
      <c r="AD199" s="17">
        <f t="shared" ca="1" si="43"/>
        <v>3.8817141431170303</v>
      </c>
    </row>
    <row r="200" spans="1:30" ht="15" customHeight="1">
      <c r="A200" s="199"/>
      <c r="B200" s="206">
        <f t="shared" si="44"/>
        <v>20</v>
      </c>
      <c r="C200" s="207" t="str">
        <f t="shared" si="45"/>
        <v>Serbia</v>
      </c>
      <c r="D200" s="226">
        <f t="shared" ca="1" si="51"/>
        <v>0.88193497791489839</v>
      </c>
      <c r="E200" s="226">
        <f t="shared" ca="1" si="51"/>
        <v>0.69493619042670285</v>
      </c>
      <c r="F200" s="226">
        <f t="shared" ca="1" si="51"/>
        <v>0.87730760460201962</v>
      </c>
      <c r="G200" s="226">
        <f t="shared" ca="1" si="51"/>
        <v>0.93480727788742068</v>
      </c>
      <c r="H200" s="226">
        <f t="shared" ca="1" si="51"/>
        <v>0.93895396837807865</v>
      </c>
      <c r="I200" s="226">
        <f t="shared" ca="1" si="51"/>
        <v>0.93219732873615013</v>
      </c>
      <c r="J200" s="226">
        <f t="shared" ca="1" si="46"/>
        <v>5.2601373479452702</v>
      </c>
      <c r="K200" s="199"/>
      <c r="L200" s="206">
        <f t="shared" si="47"/>
        <v>20</v>
      </c>
      <c r="M200" s="207" t="str">
        <f t="shared" si="38"/>
        <v>Serbia</v>
      </c>
      <c r="N200" s="226">
        <f t="shared" ca="1" si="49"/>
        <v>0.86288873501916097</v>
      </c>
      <c r="O200" s="226">
        <f t="shared" ca="1" si="49"/>
        <v>0.70120669230601129</v>
      </c>
      <c r="P200" s="226">
        <f t="shared" ca="1" si="49"/>
        <v>0.89919753995083795</v>
      </c>
      <c r="Q200" s="226">
        <f t="shared" ca="1" si="49"/>
        <v>0.95116177790632328</v>
      </c>
      <c r="R200" s="226">
        <f t="shared" ca="1" si="49"/>
        <v>0.947427918532183</v>
      </c>
      <c r="S200" s="226">
        <f t="shared" ca="1" si="49"/>
        <v>0.92104372563047909</v>
      </c>
      <c r="T200" s="226">
        <f t="shared" ca="1" si="40"/>
        <v>5.2829263893449951</v>
      </c>
      <c r="U200" s="199"/>
      <c r="V200" s="206">
        <f t="shared" si="48"/>
        <v>20</v>
      </c>
      <c r="W200" s="207" t="str">
        <f t="shared" si="41"/>
        <v>Serbia</v>
      </c>
      <c r="X200" s="226">
        <f t="shared" ca="1" si="50"/>
        <v>0.87092724709354064</v>
      </c>
      <c r="Y200" s="226">
        <f t="shared" ca="1" si="50"/>
        <v>0.69851607731750698</v>
      </c>
      <c r="Z200" s="226">
        <f t="shared" ca="1" si="50"/>
        <v>0.88389514309263328</v>
      </c>
      <c r="AA200" s="226">
        <f t="shared" ca="1" si="50"/>
        <v>0.94353406808715246</v>
      </c>
      <c r="AB200" s="226">
        <f t="shared" ca="1" si="50"/>
        <v>0.95137113103149396</v>
      </c>
      <c r="AC200" s="226">
        <f t="shared" ca="1" si="50"/>
        <v>0.92443285229761074</v>
      </c>
      <c r="AD200" s="17">
        <f t="shared" ca="1" si="43"/>
        <v>5.2726765189199378</v>
      </c>
    </row>
    <row r="201" spans="1:30" ht="15" customHeight="1">
      <c r="A201" s="199"/>
      <c r="B201" s="206">
        <f t="shared" si="44"/>
        <v>21</v>
      </c>
      <c r="C201" s="207" t="str">
        <f t="shared" si="45"/>
        <v>Switzerland</v>
      </c>
      <c r="D201" s="226">
        <f t="shared" ca="1" si="51"/>
        <v>0.91066761760283732</v>
      </c>
      <c r="E201" s="226">
        <f t="shared" ca="1" si="51"/>
        <v>0.78739589242464858</v>
      </c>
      <c r="F201" s="226">
        <f t="shared" ca="1" si="51"/>
        <v>0.99687959595677278</v>
      </c>
      <c r="G201" s="226">
        <f t="shared" ca="1" si="51"/>
        <v>0.95301926789958402</v>
      </c>
      <c r="H201" s="226">
        <f t="shared" ca="1" si="51"/>
        <v>0.98603778865416014</v>
      </c>
      <c r="I201" s="226">
        <f t="shared" ca="1" si="51"/>
        <v>0.99335798839531964</v>
      </c>
      <c r="J201" s="226">
        <f t="shared" ca="1" si="46"/>
        <v>5.6273581509333228</v>
      </c>
      <c r="K201" s="199"/>
      <c r="L201" s="206">
        <f t="shared" si="47"/>
        <v>21</v>
      </c>
      <c r="M201" s="207" t="str">
        <f t="shared" si="38"/>
        <v>Switzerland</v>
      </c>
      <c r="N201" s="226">
        <f t="shared" ref="N201:S207" ca="1" si="52">IF(AND(ISNUMBER($L201),ISNUMBER(N$5)),POWER(N86,N$121),"")</f>
        <v>0.89290631271344512</v>
      </c>
      <c r="O201" s="226">
        <f t="shared" ca="1" si="52"/>
        <v>0.82059495979354058</v>
      </c>
      <c r="P201" s="226">
        <f t="shared" ca="1" si="52"/>
        <v>1</v>
      </c>
      <c r="Q201" s="226">
        <f t="shared" ca="1" si="52"/>
        <v>0.95116177790632328</v>
      </c>
      <c r="R201" s="226">
        <f t="shared" ca="1" si="52"/>
        <v>0.97419618500921923</v>
      </c>
      <c r="S201" s="226">
        <f t="shared" ca="1" si="52"/>
        <v>0.9929490362003226</v>
      </c>
      <c r="T201" s="226">
        <f t="shared" ca="1" si="40"/>
        <v>5.6318082716228517</v>
      </c>
      <c r="U201" s="199"/>
      <c r="V201" s="206">
        <f t="shared" si="48"/>
        <v>21</v>
      </c>
      <c r="W201" s="207" t="str">
        <f t="shared" si="41"/>
        <v>Switzerland</v>
      </c>
      <c r="X201" s="226">
        <f t="shared" ref="X201:AC207" ca="1" si="53">IF(AND(ISNUMBER($V201),ISNUMBER(X$5)),POWER(X86,X$121),"")</f>
        <v>0.90064563923784535</v>
      </c>
      <c r="Y201" s="226">
        <f t="shared" ca="1" si="53"/>
        <v>0.80620306699553101</v>
      </c>
      <c r="Z201" s="226">
        <f t="shared" ca="1" si="53"/>
        <v>1</v>
      </c>
      <c r="AA201" s="226">
        <f t="shared" ca="1" si="53"/>
        <v>0.95200724406964088</v>
      </c>
      <c r="AB201" s="226">
        <f t="shared" ca="1" si="53"/>
        <v>0.98854589479446153</v>
      </c>
      <c r="AC201" s="226">
        <f t="shared" ca="1" si="53"/>
        <v>0.99293928938569931</v>
      </c>
      <c r="AD201" s="17">
        <f t="shared" ca="1" si="43"/>
        <v>5.6403411344831786</v>
      </c>
    </row>
    <row r="202" spans="1:30" ht="15" customHeight="1">
      <c r="A202" s="199"/>
      <c r="B202" s="206">
        <f t="shared" si="44"/>
        <v>22</v>
      </c>
      <c r="C202" s="207" t="str">
        <f t="shared" si="45"/>
        <v>Tajikistan</v>
      </c>
      <c r="D202" s="226">
        <f t="shared" ca="1" si="51"/>
        <v>0.80463956358726318</v>
      </c>
      <c r="E202" s="226">
        <f t="shared" ca="1" si="51"/>
        <v>0.31372160952177147</v>
      </c>
      <c r="F202" s="226">
        <f t="shared" ca="1" si="51"/>
        <v>0.8093549109895003</v>
      </c>
      <c r="G202" s="226">
        <f t="shared" ca="1" si="51"/>
        <v>0.7963415596891249</v>
      </c>
      <c r="H202" s="226">
        <f t="shared" ca="1" si="51"/>
        <v>0.88551107938301155</v>
      </c>
      <c r="I202" s="226">
        <f t="shared" ca="1" si="51"/>
        <v>0</v>
      </c>
      <c r="J202" s="226">
        <f t="shared" ca="1" si="46"/>
        <v>3.6095687231706712</v>
      </c>
      <c r="K202" s="199"/>
      <c r="L202" s="206">
        <f t="shared" si="47"/>
        <v>22</v>
      </c>
      <c r="M202" s="207" t="str">
        <f t="shared" si="38"/>
        <v>Tajikistan</v>
      </c>
      <c r="N202" s="226">
        <f t="shared" ca="1" si="52"/>
        <v>0.70667143059286142</v>
      </c>
      <c r="O202" s="226">
        <f t="shared" ca="1" si="52"/>
        <v>0.45812874398263859</v>
      </c>
      <c r="P202" s="226">
        <f t="shared" ca="1" si="52"/>
        <v>0.84319898462585319</v>
      </c>
      <c r="Q202" s="226">
        <f t="shared" ca="1" si="52"/>
        <v>0.80502558439641159</v>
      </c>
      <c r="R202" s="226">
        <f t="shared" ca="1" si="52"/>
        <v>0.90425022165858893</v>
      </c>
      <c r="S202" s="226">
        <f t="shared" ca="1" si="52"/>
        <v>0.79903751965266967</v>
      </c>
      <c r="T202" s="226">
        <f t="shared" ca="1" si="40"/>
        <v>4.5163124849090241</v>
      </c>
      <c r="U202" s="199"/>
      <c r="V202" s="206">
        <f t="shared" si="48"/>
        <v>22</v>
      </c>
      <c r="W202" s="207" t="str">
        <f t="shared" si="41"/>
        <v>Tajikistan</v>
      </c>
      <c r="X202" s="226">
        <f t="shared" ca="1" si="53"/>
        <v>0.75700095278178092</v>
      </c>
      <c r="Y202" s="226">
        <f t="shared" ca="1" si="53"/>
        <v>0.39307693064681509</v>
      </c>
      <c r="Z202" s="226">
        <f t="shared" ca="1" si="53"/>
        <v>0.80930492939581711</v>
      </c>
      <c r="AA202" s="226">
        <f t="shared" ca="1" si="53"/>
        <v>0.80075462264474617</v>
      </c>
      <c r="AB202" s="226">
        <f t="shared" ca="1" si="53"/>
        <v>0.90496513221847452</v>
      </c>
      <c r="AC202" s="226">
        <f t="shared" ca="1" si="53"/>
        <v>0.73121059733719296</v>
      </c>
      <c r="AD202" s="17">
        <f t="shared" ca="1" si="43"/>
        <v>4.3963131650248268</v>
      </c>
    </row>
    <row r="203" spans="1:30" ht="15" customHeight="1">
      <c r="A203" s="199"/>
      <c r="B203" s="206">
        <f t="shared" si="44"/>
        <v>23</v>
      </c>
      <c r="C203" s="207" t="str">
        <f t="shared" si="45"/>
        <v>Turkey</v>
      </c>
      <c r="D203" s="226">
        <f t="shared" ca="1" si="51"/>
        <v>0.91110302966536671</v>
      </c>
      <c r="E203" s="226">
        <f t="shared" ca="1" si="51"/>
        <v>0.75875605365372834</v>
      </c>
      <c r="F203" s="226">
        <f t="shared" ca="1" si="51"/>
        <v>0.90976224724387478</v>
      </c>
      <c r="G203" s="226">
        <f t="shared" ca="1" si="51"/>
        <v>0.94630654843964634</v>
      </c>
      <c r="H203" s="226">
        <f t="shared" ca="1" si="51"/>
        <v>0.96586075447185404</v>
      </c>
      <c r="I203" s="226">
        <f t="shared" ca="1" si="51"/>
        <v>0.92765665868357128</v>
      </c>
      <c r="J203" s="226">
        <f t="shared" ca="1" si="46"/>
        <v>5.4194452921580423</v>
      </c>
      <c r="K203" s="199"/>
      <c r="L203" s="206">
        <f t="shared" si="47"/>
        <v>23</v>
      </c>
      <c r="M203" s="207" t="str">
        <f t="shared" si="38"/>
        <v>Turkey</v>
      </c>
      <c r="N203" s="226">
        <f t="shared" ca="1" si="52"/>
        <v>0.8969750446338457</v>
      </c>
      <c r="O203" s="226">
        <f t="shared" ca="1" si="52"/>
        <v>0.81219688496719011</v>
      </c>
      <c r="P203" s="226">
        <f t="shared" ca="1" si="52"/>
        <v>0.90099537512877637</v>
      </c>
      <c r="Q203" s="226">
        <f t="shared" ca="1" si="52"/>
        <v>0.96089777652014174</v>
      </c>
      <c r="R203" s="226">
        <f t="shared" ca="1" si="52"/>
        <v>0.97419618500921923</v>
      </c>
      <c r="S203" s="226">
        <f t="shared" ca="1" si="52"/>
        <v>0.91414372602952487</v>
      </c>
      <c r="T203" s="226">
        <f t="shared" ca="1" si="40"/>
        <v>5.4594049922886976</v>
      </c>
      <c r="U203" s="199"/>
      <c r="V203" s="206">
        <f t="shared" si="48"/>
        <v>23</v>
      </c>
      <c r="W203" s="207" t="str">
        <f t="shared" si="41"/>
        <v>Turkey</v>
      </c>
      <c r="X203" s="226">
        <f t="shared" ca="1" si="53"/>
        <v>0.90289085178705253</v>
      </c>
      <c r="Y203" s="226">
        <f t="shared" ca="1" si="53"/>
        <v>0.78828193220467102</v>
      </c>
      <c r="Z203" s="226">
        <f t="shared" ca="1" si="53"/>
        <v>0.90254143939201381</v>
      </c>
      <c r="AA203" s="226">
        <f t="shared" ca="1" si="53"/>
        <v>0.9540921478499913</v>
      </c>
      <c r="AB203" s="226">
        <f t="shared" ca="1" si="53"/>
        <v>0.97760434108371574</v>
      </c>
      <c r="AC203" s="226">
        <f t="shared" ca="1" si="53"/>
        <v>0.91863096925470478</v>
      </c>
      <c r="AD203" s="17">
        <f t="shared" ca="1" si="43"/>
        <v>5.4440416815721484</v>
      </c>
    </row>
    <row r="204" spans="1:30" ht="15" customHeight="1">
      <c r="A204" s="199"/>
      <c r="B204" s="206">
        <f t="shared" si="44"/>
        <v>24</v>
      </c>
      <c r="C204" s="207" t="str">
        <f t="shared" si="45"/>
        <v>Turkmenistan</v>
      </c>
      <c r="D204" s="226">
        <f t="shared" ca="1" si="51"/>
        <v>0.73031116735927337</v>
      </c>
      <c r="E204" s="226">
        <f t="shared" ca="1" si="51"/>
        <v>0.6788975448821214</v>
      </c>
      <c r="F204" s="226">
        <f t="shared" ca="1" si="51"/>
        <v>0.77811475688075926</v>
      </c>
      <c r="G204" s="226">
        <f t="shared" ca="1" si="51"/>
        <v>0.8536381425621804</v>
      </c>
      <c r="H204" s="226">
        <f t="shared" ca="1" si="51"/>
        <v>0.8761838214099803</v>
      </c>
      <c r="I204" s="226">
        <f t="shared" ca="1" si="51"/>
        <v>0.86893147384870251</v>
      </c>
      <c r="J204" s="226">
        <f t="shared" ca="1" si="46"/>
        <v>4.7860769069430171</v>
      </c>
      <c r="K204" s="199"/>
      <c r="L204" s="206">
        <f t="shared" si="47"/>
        <v>24</v>
      </c>
      <c r="M204" s="207" t="str">
        <f t="shared" si="38"/>
        <v>Turkmenistan</v>
      </c>
      <c r="N204" s="226">
        <f t="shared" ca="1" si="52"/>
        <v>0.70667143059286142</v>
      </c>
      <c r="O204" s="226">
        <f t="shared" ca="1" si="52"/>
        <v>0.69121390470272293</v>
      </c>
      <c r="P204" s="226">
        <f t="shared" ca="1" si="52"/>
        <v>0</v>
      </c>
      <c r="Q204" s="226">
        <f t="shared" ca="1" si="52"/>
        <v>0.85508685937211237</v>
      </c>
      <c r="R204" s="226">
        <f t="shared" ca="1" si="52"/>
        <v>0.88777662522181222</v>
      </c>
      <c r="S204" s="226">
        <f t="shared" ca="1" si="52"/>
        <v>0.86433010074960803</v>
      </c>
      <c r="T204" s="226">
        <f t="shared" ca="1" si="40"/>
        <v>4.0050789206391171</v>
      </c>
      <c r="U204" s="199"/>
      <c r="V204" s="206">
        <f t="shared" si="48"/>
        <v>24</v>
      </c>
      <c r="W204" s="207" t="str">
        <f t="shared" si="41"/>
        <v>Turkmenistan</v>
      </c>
      <c r="X204" s="226">
        <f t="shared" ca="1" si="53"/>
        <v>0.71541095737046145</v>
      </c>
      <c r="Y204" s="226">
        <f t="shared" ca="1" si="53"/>
        <v>0.68549065554893129</v>
      </c>
      <c r="Z204" s="226">
        <f t="shared" ca="1" si="53"/>
        <v>0</v>
      </c>
      <c r="AA204" s="226">
        <f t="shared" ca="1" si="53"/>
        <v>0.85433342118763334</v>
      </c>
      <c r="AB204" s="226">
        <f t="shared" ca="1" si="53"/>
        <v>0.89220323439744942</v>
      </c>
      <c r="AC204" s="226">
        <f t="shared" ca="1" si="53"/>
        <v>0.86088409471901595</v>
      </c>
      <c r="AD204" s="17">
        <f t="shared" ca="1" si="43"/>
        <v>4.008322363223491</v>
      </c>
    </row>
    <row r="205" spans="1:30" ht="15" customHeight="1">
      <c r="A205" s="199"/>
      <c r="B205" s="206">
        <f t="shared" si="44"/>
        <v>25</v>
      </c>
      <c r="C205" s="207" t="str">
        <f t="shared" si="45"/>
        <v>Ukraine</v>
      </c>
      <c r="D205" s="226">
        <f t="shared" ca="1" si="51"/>
        <v>0.81829490247252079</v>
      </c>
      <c r="E205" s="226">
        <f t="shared" ca="1" si="51"/>
        <v>0.63547332972980264</v>
      </c>
      <c r="F205" s="226">
        <f t="shared" ca="1" si="51"/>
        <v>0.84764079168832462</v>
      </c>
      <c r="G205" s="226">
        <f t="shared" ca="1" si="51"/>
        <v>0.8642542635636814</v>
      </c>
      <c r="H205" s="226">
        <f t="shared" ca="1" si="51"/>
        <v>0.93895396837807865</v>
      </c>
      <c r="I205" s="226">
        <f t="shared" ca="1" si="51"/>
        <v>0.74375528825157866</v>
      </c>
      <c r="J205" s="226">
        <f t="shared" ca="1" si="46"/>
        <v>4.8483725440839862</v>
      </c>
      <c r="K205" s="199"/>
      <c r="L205" s="206">
        <f t="shared" si="47"/>
        <v>25</v>
      </c>
      <c r="M205" s="207" t="str">
        <f t="shared" si="38"/>
        <v>Ukraine</v>
      </c>
      <c r="N205" s="226">
        <f t="shared" ca="1" si="52"/>
        <v>0.78681387201615272</v>
      </c>
      <c r="O205" s="226">
        <f t="shared" ca="1" si="52"/>
        <v>0.74076235936022661</v>
      </c>
      <c r="P205" s="226">
        <f t="shared" ca="1" si="52"/>
        <v>0.79866790018736999</v>
      </c>
      <c r="Q205" s="226">
        <f t="shared" ca="1" si="52"/>
        <v>0.94496898810370311</v>
      </c>
      <c r="R205" s="226">
        <f t="shared" ca="1" si="52"/>
        <v>0.93151160893638363</v>
      </c>
      <c r="S205" s="226">
        <f t="shared" ca="1" si="52"/>
        <v>0</v>
      </c>
      <c r="T205" s="226">
        <f t="shared" ca="1" si="40"/>
        <v>4.2027247286038358</v>
      </c>
      <c r="U205" s="199"/>
      <c r="V205" s="206">
        <f t="shared" si="48"/>
        <v>25</v>
      </c>
      <c r="W205" s="207" t="str">
        <f t="shared" si="41"/>
        <v>Ukraine</v>
      </c>
      <c r="X205" s="226">
        <f t="shared" ca="1" si="53"/>
        <v>0.80044869008632091</v>
      </c>
      <c r="Y205" s="226">
        <f t="shared" ca="1" si="53"/>
        <v>0.69283244620903084</v>
      </c>
      <c r="Z205" s="226">
        <f t="shared" ca="1" si="53"/>
        <v>0.80930492939581711</v>
      </c>
      <c r="AA205" s="226">
        <f t="shared" ca="1" si="53"/>
        <v>0.91175949213443419</v>
      </c>
      <c r="AB205" s="226">
        <f t="shared" ca="1" si="53"/>
        <v>0.94384944718017882</v>
      </c>
      <c r="AC205" s="226">
        <f t="shared" ca="1" si="53"/>
        <v>0</v>
      </c>
      <c r="AD205" s="17">
        <f t="shared" ca="1" si="43"/>
        <v>4.1581950050057817</v>
      </c>
    </row>
    <row r="206" spans="1:30" ht="15" customHeight="1">
      <c r="A206" s="199"/>
      <c r="B206" s="206">
        <f t="shared" si="44"/>
        <v>26</v>
      </c>
      <c r="C206" s="207" t="str">
        <f t="shared" si="45"/>
        <v>United Kingdom</v>
      </c>
      <c r="D206" s="226">
        <f t="shared" ca="1" si="51"/>
        <v>0.96184822717204932</v>
      </c>
      <c r="E206" s="226">
        <f t="shared" ca="1" si="51"/>
        <v>0.96634404267309681</v>
      </c>
      <c r="F206" s="226">
        <f t="shared" ca="1" si="51"/>
        <v>0.98881796382277032</v>
      </c>
      <c r="G206" s="226">
        <f t="shared" ca="1" si="51"/>
        <v>1</v>
      </c>
      <c r="H206" s="226">
        <f t="shared" ca="1" si="51"/>
        <v>1</v>
      </c>
      <c r="I206" s="226">
        <f t="shared" ca="1" si="51"/>
        <v>0.97720393600938116</v>
      </c>
      <c r="J206" s="226">
        <f t="shared" ca="1" si="46"/>
        <v>5.8942141696772978</v>
      </c>
      <c r="K206" s="199"/>
      <c r="L206" s="206">
        <f t="shared" si="47"/>
        <v>26</v>
      </c>
      <c r="M206" s="207" t="str">
        <f t="shared" si="38"/>
        <v>United Kingdom</v>
      </c>
      <c r="N206" s="226">
        <f t="shared" ca="1" si="52"/>
        <v>0.94726952400829889</v>
      </c>
      <c r="O206" s="226">
        <f t="shared" ca="1" si="52"/>
        <v>1</v>
      </c>
      <c r="P206" s="226">
        <f t="shared" ca="1" si="52"/>
        <v>0.99977346255316057</v>
      </c>
      <c r="Q206" s="226">
        <f t="shared" ca="1" si="52"/>
        <v>1</v>
      </c>
      <c r="R206" s="226">
        <f t="shared" ca="1" si="52"/>
        <v>0.98215270295120483</v>
      </c>
      <c r="S206" s="226">
        <f t="shared" ca="1" si="52"/>
        <v>0.96984901289105507</v>
      </c>
      <c r="T206" s="226">
        <f t="shared" ca="1" si="40"/>
        <v>5.8990447024037191</v>
      </c>
      <c r="U206" s="199"/>
      <c r="V206" s="206">
        <f t="shared" si="48"/>
        <v>26</v>
      </c>
      <c r="W206" s="207" t="str">
        <f t="shared" si="41"/>
        <v>United Kingdom</v>
      </c>
      <c r="X206" s="226">
        <f t="shared" ca="1" si="53"/>
        <v>0.9540549074429272</v>
      </c>
      <c r="Y206" s="226">
        <f t="shared" ca="1" si="53"/>
        <v>0.98763437614571425</v>
      </c>
      <c r="Z206" s="226">
        <f t="shared" ca="1" si="53"/>
        <v>0.99599365204304113</v>
      </c>
      <c r="AA206" s="226">
        <f t="shared" ca="1" si="53"/>
        <v>1</v>
      </c>
      <c r="AB206" s="226">
        <f t="shared" ca="1" si="53"/>
        <v>1</v>
      </c>
      <c r="AC206" s="226">
        <f t="shared" ca="1" si="53"/>
        <v>0.97284584328214907</v>
      </c>
      <c r="AD206" s="17">
        <f t="shared" ca="1" si="43"/>
        <v>5.9105287789138323</v>
      </c>
    </row>
    <row r="207" spans="1:30" ht="15" customHeight="1">
      <c r="A207" s="199"/>
      <c r="B207" s="206">
        <f t="shared" si="44"/>
        <v>27</v>
      </c>
      <c r="C207" s="207" t="str">
        <f t="shared" si="45"/>
        <v>Uzbekistan</v>
      </c>
      <c r="D207" s="226">
        <f t="shared" ca="1" si="51"/>
        <v>0.8396538474388634</v>
      </c>
      <c r="E207" s="226">
        <f t="shared" ca="1" si="51"/>
        <v>0.59376393208396661</v>
      </c>
      <c r="F207" s="226">
        <f t="shared" ca="1" si="51"/>
        <v>0.82555443712305154</v>
      </c>
      <c r="G207" s="226">
        <f t="shared" ca="1" si="51"/>
        <v>0.79046763172204459</v>
      </c>
      <c r="H207" s="226">
        <f t="shared" ca="1" si="51"/>
        <v>0.95923742751234453</v>
      </c>
      <c r="I207" s="226">
        <f t="shared" ca="1" si="51"/>
        <v>0.9010865712065651</v>
      </c>
      <c r="J207" s="226">
        <f t="shared" ca="1" si="46"/>
        <v>4.9097638470868352</v>
      </c>
      <c r="K207" s="199"/>
      <c r="L207" s="206">
        <f t="shared" si="47"/>
        <v>27</v>
      </c>
      <c r="M207" s="207" t="str">
        <f t="shared" si="38"/>
        <v>Uzbekistan</v>
      </c>
      <c r="N207" s="226">
        <f t="shared" ca="1" si="52"/>
        <v>0.84469303821042929</v>
      </c>
      <c r="O207" s="226">
        <f t="shared" ca="1" si="52"/>
        <v>0.58614459741633329</v>
      </c>
      <c r="P207" s="226">
        <f t="shared" ca="1" si="52"/>
        <v>0.83517928778218453</v>
      </c>
      <c r="Q207" s="226">
        <f t="shared" ca="1" si="52"/>
        <v>0.85294977678166961</v>
      </c>
      <c r="R207" s="226">
        <f t="shared" ca="1" si="52"/>
        <v>0.9829784512426335</v>
      </c>
      <c r="S207" s="226">
        <f t="shared" ca="1" si="52"/>
        <v>0.88720489049217521</v>
      </c>
      <c r="T207" s="226">
        <f t="shared" ca="1" si="40"/>
        <v>4.9891500419254253</v>
      </c>
      <c r="U207" s="199"/>
      <c r="V207" s="206">
        <f t="shared" si="48"/>
        <v>27</v>
      </c>
      <c r="W207" s="207" t="str">
        <f t="shared" si="41"/>
        <v>Uzbekistan</v>
      </c>
      <c r="X207" s="226">
        <f t="shared" ca="1" si="53"/>
        <v>0.84044961449212274</v>
      </c>
      <c r="Y207" s="226">
        <f t="shared" ca="1" si="53"/>
        <v>0.58951053730066461</v>
      </c>
      <c r="Z207" s="226">
        <f t="shared" ca="1" si="53"/>
        <v>0.81344198819366564</v>
      </c>
      <c r="AA207" s="226">
        <f t="shared" ca="1" si="53"/>
        <v>0.82575077953967668</v>
      </c>
      <c r="AB207" s="226">
        <f t="shared" ca="1" si="53"/>
        <v>0.97855757871162519</v>
      </c>
      <c r="AC207" s="226">
        <f t="shared" ca="1" si="53"/>
        <v>0.89065796543957487</v>
      </c>
      <c r="AD207" s="17">
        <f t="shared" ca="1" si="43"/>
        <v>4.93836846367733</v>
      </c>
    </row>
    <row r="208" spans="1:30" ht="15" hidden="1" customHeight="1">
      <c r="A208" s="199"/>
      <c r="B208" s="206"/>
      <c r="C208" s="207"/>
      <c r="D208" s="226"/>
      <c r="E208" s="226"/>
      <c r="F208" s="226"/>
      <c r="G208" s="226"/>
      <c r="H208" s="226"/>
      <c r="I208" s="226"/>
      <c r="J208" s="226"/>
      <c r="K208" s="199"/>
      <c r="L208" s="206"/>
      <c r="M208" s="207"/>
      <c r="N208" s="226"/>
      <c r="O208" s="226"/>
      <c r="P208" s="226"/>
      <c r="Q208" s="226"/>
      <c r="R208" s="226"/>
      <c r="S208" s="226"/>
      <c r="T208" s="226"/>
      <c r="U208" s="199"/>
      <c r="V208" s="206"/>
      <c r="W208" s="207"/>
      <c r="X208" s="226"/>
      <c r="Y208" s="226"/>
      <c r="Z208" s="226"/>
      <c r="AA208" s="226"/>
      <c r="AB208" s="226"/>
      <c r="AC208" s="226"/>
      <c r="AD208" s="17"/>
    </row>
    <row r="209" spans="1:30" ht="15" hidden="1" customHeight="1">
      <c r="A209" s="199"/>
      <c r="B209" s="206"/>
      <c r="C209" s="207"/>
      <c r="D209" s="226"/>
      <c r="E209" s="226"/>
      <c r="F209" s="226"/>
      <c r="G209" s="226"/>
      <c r="H209" s="226"/>
      <c r="I209" s="226"/>
      <c r="J209" s="226"/>
      <c r="K209" s="199"/>
      <c r="L209" s="206"/>
      <c r="M209" s="207"/>
      <c r="N209" s="226"/>
      <c r="O209" s="226"/>
      <c r="P209" s="226"/>
      <c r="Q209" s="226"/>
      <c r="R209" s="226"/>
      <c r="S209" s="226"/>
      <c r="T209" s="226"/>
      <c r="U209" s="199"/>
      <c r="V209" s="206"/>
      <c r="W209" s="207"/>
      <c r="X209" s="226"/>
      <c r="Y209" s="226"/>
      <c r="Z209" s="226"/>
      <c r="AA209" s="226"/>
      <c r="AB209" s="226"/>
      <c r="AC209" s="226"/>
      <c r="AD209" s="17"/>
    </row>
    <row r="210" spans="1:30" ht="15" hidden="1" customHeight="1">
      <c r="A210" s="199"/>
      <c r="B210" s="206"/>
      <c r="C210" s="207"/>
      <c r="D210" s="226"/>
      <c r="E210" s="226"/>
      <c r="F210" s="226"/>
      <c r="G210" s="226"/>
      <c r="H210" s="226"/>
      <c r="I210" s="226"/>
      <c r="J210" s="226"/>
      <c r="K210" s="199"/>
      <c r="L210" s="206"/>
      <c r="M210" s="207"/>
      <c r="N210" s="226"/>
      <c r="O210" s="226"/>
      <c r="P210" s="226"/>
      <c r="Q210" s="226"/>
      <c r="R210" s="226"/>
      <c r="S210" s="226"/>
      <c r="T210" s="226"/>
      <c r="U210" s="199"/>
      <c r="V210" s="206"/>
      <c r="W210" s="207"/>
      <c r="X210" s="226"/>
      <c r="Y210" s="226"/>
      <c r="Z210" s="226"/>
      <c r="AA210" s="226"/>
      <c r="AB210" s="226"/>
      <c r="AC210" s="226"/>
      <c r="AD210" s="17"/>
    </row>
    <row r="211" spans="1:30" ht="15" hidden="1" customHeight="1">
      <c r="A211" s="199"/>
      <c r="B211" s="206"/>
      <c r="C211" s="207"/>
      <c r="D211" s="226"/>
      <c r="E211" s="226"/>
      <c r="F211" s="226"/>
      <c r="G211" s="226"/>
      <c r="H211" s="226"/>
      <c r="I211" s="226"/>
      <c r="J211" s="226"/>
      <c r="K211" s="199"/>
      <c r="L211" s="206"/>
      <c r="M211" s="207"/>
      <c r="N211" s="226"/>
      <c r="O211" s="226"/>
      <c r="P211" s="226"/>
      <c r="Q211" s="226"/>
      <c r="R211" s="226"/>
      <c r="S211" s="226"/>
      <c r="T211" s="226"/>
      <c r="U211" s="199"/>
      <c r="V211" s="206"/>
      <c r="W211" s="207"/>
      <c r="X211" s="226"/>
      <c r="Y211" s="226"/>
      <c r="Z211" s="226"/>
      <c r="AA211" s="226"/>
      <c r="AB211" s="226"/>
      <c r="AC211" s="226"/>
      <c r="AD211" s="17"/>
    </row>
    <row r="212" spans="1:30" ht="15" hidden="1" customHeight="1">
      <c r="A212" s="199"/>
      <c r="B212" s="206"/>
      <c r="C212" s="207"/>
      <c r="D212" s="226"/>
      <c r="E212" s="226"/>
      <c r="F212" s="226"/>
      <c r="G212" s="226"/>
      <c r="H212" s="226"/>
      <c r="I212" s="226"/>
      <c r="J212" s="226"/>
      <c r="K212" s="199"/>
      <c r="L212" s="206"/>
      <c r="M212" s="207"/>
      <c r="N212" s="226"/>
      <c r="O212" s="226"/>
      <c r="P212" s="226"/>
      <c r="Q212" s="226"/>
      <c r="R212" s="226"/>
      <c r="S212" s="226"/>
      <c r="T212" s="226"/>
      <c r="U212" s="199"/>
      <c r="V212" s="206"/>
      <c r="W212" s="207"/>
      <c r="X212" s="226"/>
      <c r="Y212" s="226"/>
      <c r="Z212" s="226"/>
      <c r="AA212" s="226"/>
      <c r="AB212" s="226"/>
      <c r="AC212" s="226"/>
      <c r="AD212" s="17"/>
    </row>
    <row r="213" spans="1:30" ht="15" hidden="1" customHeight="1">
      <c r="A213" s="199"/>
      <c r="B213" s="206"/>
      <c r="C213" s="207"/>
      <c r="D213" s="226"/>
      <c r="E213" s="226"/>
      <c r="F213" s="226"/>
      <c r="G213" s="226"/>
      <c r="H213" s="226"/>
      <c r="I213" s="226"/>
      <c r="J213" s="226"/>
      <c r="K213" s="199"/>
      <c r="L213" s="206"/>
      <c r="M213" s="207"/>
      <c r="N213" s="226"/>
      <c r="O213" s="226"/>
      <c r="P213" s="226"/>
      <c r="Q213" s="226"/>
      <c r="R213" s="226"/>
      <c r="S213" s="226"/>
      <c r="T213" s="226"/>
      <c r="U213" s="199"/>
      <c r="V213" s="206"/>
      <c r="W213" s="207"/>
      <c r="X213" s="226"/>
      <c r="Y213" s="226"/>
      <c r="Z213" s="226"/>
      <c r="AA213" s="226"/>
      <c r="AB213" s="226"/>
      <c r="AC213" s="226"/>
      <c r="AD213" s="17"/>
    </row>
    <row r="214" spans="1:30" ht="15" hidden="1" customHeight="1">
      <c r="A214" s="199"/>
      <c r="B214" s="206"/>
      <c r="C214" s="207"/>
      <c r="D214" s="226"/>
      <c r="E214" s="226"/>
      <c r="F214" s="226"/>
      <c r="G214" s="226"/>
      <c r="H214" s="226"/>
      <c r="I214" s="226"/>
      <c r="J214" s="226"/>
      <c r="K214" s="199"/>
      <c r="L214" s="206"/>
      <c r="M214" s="207"/>
      <c r="N214" s="226"/>
      <c r="O214" s="226"/>
      <c r="P214" s="226"/>
      <c r="Q214" s="226"/>
      <c r="R214" s="226"/>
      <c r="S214" s="226"/>
      <c r="T214" s="226"/>
      <c r="U214" s="199"/>
      <c r="V214" s="206"/>
      <c r="W214" s="207"/>
      <c r="X214" s="226"/>
      <c r="Y214" s="226"/>
      <c r="Z214" s="226"/>
      <c r="AA214" s="226"/>
      <c r="AB214" s="226"/>
      <c r="AC214" s="226"/>
      <c r="AD214" s="17"/>
    </row>
    <row r="215" spans="1:30" ht="15" hidden="1" customHeight="1">
      <c r="A215" s="199"/>
      <c r="B215" s="206"/>
      <c r="C215" s="207"/>
      <c r="D215" s="226"/>
      <c r="E215" s="226"/>
      <c r="F215" s="226"/>
      <c r="G215" s="226"/>
      <c r="H215" s="226"/>
      <c r="I215" s="226"/>
      <c r="J215" s="226"/>
      <c r="K215" s="199"/>
      <c r="L215" s="206"/>
      <c r="M215" s="207"/>
      <c r="N215" s="226"/>
      <c r="O215" s="226"/>
      <c r="P215" s="226"/>
      <c r="Q215" s="226"/>
      <c r="R215" s="226"/>
      <c r="S215" s="226"/>
      <c r="T215" s="226"/>
      <c r="U215" s="199"/>
      <c r="V215" s="206"/>
      <c r="W215" s="207"/>
      <c r="X215" s="226"/>
      <c r="Y215" s="226"/>
      <c r="Z215" s="226"/>
      <c r="AA215" s="226"/>
      <c r="AB215" s="226"/>
      <c r="AC215" s="226"/>
      <c r="AD215" s="17"/>
    </row>
    <row r="216" spans="1:30" ht="15" hidden="1" customHeight="1">
      <c r="A216" s="199"/>
      <c r="B216" s="206"/>
      <c r="C216" s="207"/>
      <c r="D216" s="226"/>
      <c r="E216" s="226"/>
      <c r="F216" s="226"/>
      <c r="G216" s="226"/>
      <c r="H216" s="226"/>
      <c r="I216" s="226"/>
      <c r="J216" s="226"/>
      <c r="K216" s="199"/>
      <c r="L216" s="206"/>
      <c r="M216" s="207"/>
      <c r="N216" s="226"/>
      <c r="O216" s="226"/>
      <c r="P216" s="226"/>
      <c r="Q216" s="226"/>
      <c r="R216" s="226"/>
      <c r="S216" s="226"/>
      <c r="T216" s="226"/>
      <c r="U216" s="199"/>
      <c r="V216" s="206"/>
      <c r="W216" s="207"/>
      <c r="X216" s="226"/>
      <c r="Y216" s="226"/>
      <c r="Z216" s="226"/>
      <c r="AA216" s="226"/>
      <c r="AB216" s="226"/>
      <c r="AC216" s="226"/>
      <c r="AD216" s="17"/>
    </row>
    <row r="217" spans="1:30" ht="15" hidden="1" customHeight="1">
      <c r="A217" s="199"/>
      <c r="B217" s="206"/>
      <c r="C217" s="207"/>
      <c r="D217" s="226"/>
      <c r="E217" s="226"/>
      <c r="F217" s="226"/>
      <c r="G217" s="226"/>
      <c r="H217" s="226"/>
      <c r="I217" s="226"/>
      <c r="J217" s="226"/>
      <c r="K217" s="199"/>
      <c r="L217" s="206"/>
      <c r="M217" s="207"/>
      <c r="N217" s="226"/>
      <c r="O217" s="226"/>
      <c r="P217" s="226"/>
      <c r="Q217" s="226"/>
      <c r="R217" s="226"/>
      <c r="S217" s="226"/>
      <c r="T217" s="226"/>
      <c r="U217" s="199"/>
      <c r="V217" s="206"/>
      <c r="W217" s="207"/>
      <c r="X217" s="226"/>
      <c r="Y217" s="226"/>
      <c r="Z217" s="226"/>
      <c r="AA217" s="226"/>
      <c r="AB217" s="226"/>
      <c r="AC217" s="226"/>
      <c r="AD217" s="17"/>
    </row>
    <row r="218" spans="1:30" ht="15" hidden="1" customHeight="1">
      <c r="A218" s="199"/>
      <c r="B218" s="206"/>
      <c r="C218" s="207"/>
      <c r="D218" s="226"/>
      <c r="E218" s="226"/>
      <c r="F218" s="226"/>
      <c r="G218" s="226"/>
      <c r="H218" s="226"/>
      <c r="I218" s="226"/>
      <c r="J218" s="226"/>
      <c r="K218" s="199"/>
      <c r="L218" s="206"/>
      <c r="M218" s="207"/>
      <c r="N218" s="226"/>
      <c r="O218" s="226"/>
      <c r="P218" s="226"/>
      <c r="Q218" s="226"/>
      <c r="R218" s="226"/>
      <c r="S218" s="226"/>
      <c r="T218" s="226"/>
      <c r="U218" s="199"/>
      <c r="V218" s="206"/>
      <c r="W218" s="207"/>
      <c r="X218" s="226"/>
      <c r="Y218" s="226"/>
      <c r="Z218" s="226"/>
      <c r="AA218" s="226"/>
      <c r="AB218" s="226"/>
      <c r="AC218" s="226"/>
      <c r="AD218" s="17"/>
    </row>
    <row r="219" spans="1:30" ht="15" hidden="1" customHeight="1">
      <c r="A219" s="199"/>
      <c r="B219" s="206"/>
      <c r="C219" s="207"/>
      <c r="D219" s="226"/>
      <c r="E219" s="226"/>
      <c r="F219" s="226"/>
      <c r="G219" s="226"/>
      <c r="H219" s="226"/>
      <c r="I219" s="226"/>
      <c r="J219" s="226"/>
      <c r="K219" s="199"/>
      <c r="L219" s="206"/>
      <c r="M219" s="207"/>
      <c r="N219" s="226"/>
      <c r="O219" s="226"/>
      <c r="P219" s="226"/>
      <c r="Q219" s="226"/>
      <c r="R219" s="226"/>
      <c r="S219" s="226"/>
      <c r="T219" s="226"/>
      <c r="U219" s="199"/>
      <c r="V219" s="206"/>
      <c r="W219" s="207"/>
      <c r="X219" s="226"/>
      <c r="Y219" s="226"/>
      <c r="Z219" s="226"/>
      <c r="AA219" s="226"/>
      <c r="AB219" s="226"/>
      <c r="AC219" s="226"/>
      <c r="AD219" s="17"/>
    </row>
    <row r="220" spans="1:30" ht="15" hidden="1" customHeight="1">
      <c r="A220" s="199"/>
      <c r="B220" s="206"/>
      <c r="C220" s="207"/>
      <c r="D220" s="226"/>
      <c r="E220" s="226"/>
      <c r="F220" s="226"/>
      <c r="G220" s="226"/>
      <c r="H220" s="226"/>
      <c r="I220" s="226"/>
      <c r="J220" s="226"/>
      <c r="K220" s="199"/>
      <c r="L220" s="206"/>
      <c r="M220" s="207"/>
      <c r="N220" s="226"/>
      <c r="O220" s="226"/>
      <c r="P220" s="226"/>
      <c r="Q220" s="226"/>
      <c r="R220" s="226"/>
      <c r="S220" s="226"/>
      <c r="T220" s="226"/>
      <c r="U220" s="199"/>
      <c r="V220" s="206"/>
      <c r="W220" s="207"/>
      <c r="X220" s="226"/>
      <c r="Y220" s="226"/>
      <c r="Z220" s="226"/>
      <c r="AA220" s="226"/>
      <c r="AB220" s="226"/>
      <c r="AC220" s="226"/>
      <c r="AD220" s="17"/>
    </row>
    <row r="221" spans="1:30" ht="15" hidden="1" customHeight="1">
      <c r="A221" s="199"/>
      <c r="B221" s="206"/>
      <c r="C221" s="207"/>
      <c r="D221" s="226"/>
      <c r="E221" s="226"/>
      <c r="F221" s="226"/>
      <c r="G221" s="226"/>
      <c r="H221" s="226"/>
      <c r="I221" s="226"/>
      <c r="J221" s="226"/>
      <c r="K221" s="199"/>
      <c r="L221" s="206"/>
      <c r="M221" s="207"/>
      <c r="N221" s="226"/>
      <c r="O221" s="226"/>
      <c r="P221" s="226"/>
      <c r="Q221" s="226"/>
      <c r="R221" s="226"/>
      <c r="S221" s="226"/>
      <c r="T221" s="226"/>
      <c r="U221" s="199"/>
      <c r="V221" s="206"/>
      <c r="W221" s="207"/>
      <c r="X221" s="226"/>
      <c r="Y221" s="226"/>
      <c r="Z221" s="226"/>
      <c r="AA221" s="226"/>
      <c r="AB221" s="226"/>
      <c r="AC221" s="226"/>
      <c r="AD221" s="17"/>
    </row>
    <row r="222" spans="1:30" ht="15" hidden="1" customHeight="1">
      <c r="A222" s="199"/>
      <c r="B222" s="206"/>
      <c r="C222" s="207"/>
      <c r="D222" s="226"/>
      <c r="E222" s="226"/>
      <c r="F222" s="226"/>
      <c r="G222" s="226"/>
      <c r="H222" s="226"/>
      <c r="I222" s="226"/>
      <c r="J222" s="226"/>
      <c r="K222" s="199"/>
      <c r="L222" s="206"/>
      <c r="M222" s="207"/>
      <c r="N222" s="226"/>
      <c r="O222" s="226"/>
      <c r="P222" s="226"/>
      <c r="Q222" s="226"/>
      <c r="R222" s="226"/>
      <c r="S222" s="226"/>
      <c r="T222" s="226"/>
      <c r="U222" s="199"/>
      <c r="V222" s="206"/>
      <c r="W222" s="207"/>
      <c r="X222" s="226"/>
      <c r="Y222" s="226"/>
      <c r="Z222" s="226"/>
      <c r="AA222" s="226"/>
      <c r="AB222" s="226"/>
      <c r="AC222" s="226"/>
      <c r="AD222" s="17"/>
    </row>
    <row r="223" spans="1:30" ht="15" hidden="1" customHeight="1">
      <c r="A223" s="199"/>
      <c r="B223" s="206"/>
      <c r="C223" s="207"/>
      <c r="D223" s="226"/>
      <c r="E223" s="226"/>
      <c r="F223" s="226"/>
      <c r="G223" s="226"/>
      <c r="H223" s="226"/>
      <c r="I223" s="226"/>
      <c r="J223" s="226"/>
      <c r="K223" s="199"/>
      <c r="L223" s="206"/>
      <c r="M223" s="207"/>
      <c r="N223" s="226"/>
      <c r="O223" s="226"/>
      <c r="P223" s="226"/>
      <c r="Q223" s="226"/>
      <c r="R223" s="226"/>
      <c r="S223" s="226"/>
      <c r="T223" s="226"/>
      <c r="U223" s="199"/>
      <c r="V223" s="206"/>
      <c r="W223" s="207"/>
      <c r="X223" s="226"/>
      <c r="Y223" s="226"/>
      <c r="Z223" s="226"/>
      <c r="AA223" s="226"/>
      <c r="AB223" s="226"/>
      <c r="AC223" s="226"/>
      <c r="AD223" s="17"/>
    </row>
    <row r="224" spans="1:30" ht="15" hidden="1" customHeight="1">
      <c r="A224" s="199"/>
      <c r="B224" s="206"/>
      <c r="C224" s="207"/>
      <c r="D224" s="226"/>
      <c r="E224" s="226"/>
      <c r="F224" s="226"/>
      <c r="G224" s="226"/>
      <c r="H224" s="226"/>
      <c r="I224" s="226"/>
      <c r="J224" s="226"/>
      <c r="K224" s="199"/>
      <c r="L224" s="206"/>
      <c r="M224" s="207"/>
      <c r="N224" s="226"/>
      <c r="O224" s="226"/>
      <c r="P224" s="226"/>
      <c r="Q224" s="226"/>
      <c r="R224" s="226"/>
      <c r="S224" s="226"/>
      <c r="T224" s="226"/>
      <c r="U224" s="199"/>
      <c r="V224" s="206"/>
      <c r="W224" s="207"/>
      <c r="X224" s="226"/>
      <c r="Y224" s="226"/>
      <c r="Z224" s="226"/>
      <c r="AA224" s="226"/>
      <c r="AB224" s="226"/>
      <c r="AC224" s="226"/>
      <c r="AD224" s="17"/>
    </row>
    <row r="225" spans="1:30" ht="15" hidden="1" customHeight="1">
      <c r="A225" s="199"/>
      <c r="B225" s="206"/>
      <c r="C225" s="207"/>
      <c r="D225" s="226"/>
      <c r="E225" s="226"/>
      <c r="F225" s="226"/>
      <c r="G225" s="226"/>
      <c r="H225" s="226"/>
      <c r="I225" s="226"/>
      <c r="J225" s="226"/>
      <c r="K225" s="199"/>
      <c r="L225" s="206"/>
      <c r="M225" s="207"/>
      <c r="N225" s="226"/>
      <c r="O225" s="226"/>
      <c r="P225" s="226"/>
      <c r="Q225" s="226"/>
      <c r="R225" s="226"/>
      <c r="S225" s="226"/>
      <c r="T225" s="226"/>
      <c r="U225" s="199"/>
      <c r="V225" s="206"/>
      <c r="W225" s="207"/>
      <c r="X225" s="226"/>
      <c r="Y225" s="226"/>
      <c r="Z225" s="226"/>
      <c r="AA225" s="226"/>
      <c r="AB225" s="226"/>
      <c r="AC225" s="226"/>
      <c r="AD225" s="17"/>
    </row>
    <row r="226" spans="1:30" ht="15" hidden="1" customHeight="1">
      <c r="A226" s="199"/>
      <c r="B226" s="206"/>
      <c r="C226" s="207"/>
      <c r="D226" s="226"/>
      <c r="E226" s="226"/>
      <c r="F226" s="226"/>
      <c r="G226" s="226"/>
      <c r="H226" s="226"/>
      <c r="I226" s="226"/>
      <c r="J226" s="226"/>
      <c r="K226" s="199"/>
      <c r="L226" s="206"/>
      <c r="M226" s="207"/>
      <c r="N226" s="226"/>
      <c r="O226" s="226"/>
      <c r="P226" s="226"/>
      <c r="Q226" s="226"/>
      <c r="R226" s="226"/>
      <c r="S226" s="226"/>
      <c r="T226" s="226"/>
      <c r="U226" s="199"/>
      <c r="V226" s="206"/>
      <c r="W226" s="207"/>
      <c r="X226" s="226"/>
      <c r="Y226" s="226"/>
      <c r="Z226" s="226"/>
      <c r="AA226" s="226"/>
      <c r="AB226" s="226"/>
      <c r="AC226" s="226"/>
      <c r="AD226" s="17"/>
    </row>
    <row r="227" spans="1:30" ht="15" hidden="1" customHeight="1">
      <c r="A227" s="199"/>
      <c r="B227" s="206"/>
      <c r="C227" s="207"/>
      <c r="D227" s="226"/>
      <c r="E227" s="226"/>
      <c r="F227" s="226"/>
      <c r="G227" s="226"/>
      <c r="H227" s="226"/>
      <c r="I227" s="226"/>
      <c r="J227" s="226"/>
      <c r="K227" s="199"/>
      <c r="L227" s="206"/>
      <c r="M227" s="207"/>
      <c r="N227" s="226"/>
      <c r="O227" s="226"/>
      <c r="P227" s="226"/>
      <c r="Q227" s="226"/>
      <c r="R227" s="226"/>
      <c r="S227" s="226"/>
      <c r="T227" s="226"/>
      <c r="U227" s="199"/>
      <c r="V227" s="206"/>
      <c r="W227" s="207"/>
      <c r="X227" s="226"/>
      <c r="Y227" s="226"/>
      <c r="Z227" s="226"/>
      <c r="AA227" s="226"/>
      <c r="AB227" s="226"/>
      <c r="AC227" s="226"/>
      <c r="AD227" s="17"/>
    </row>
    <row r="228" spans="1:30" ht="15" hidden="1" customHeight="1">
      <c r="A228" s="199"/>
      <c r="B228" s="206"/>
      <c r="C228" s="207"/>
      <c r="D228" s="226"/>
      <c r="E228" s="226"/>
      <c r="F228" s="226"/>
      <c r="G228" s="226"/>
      <c r="H228" s="226"/>
      <c r="I228" s="226"/>
      <c r="J228" s="226"/>
      <c r="K228" s="199"/>
      <c r="L228" s="206"/>
      <c r="M228" s="207"/>
      <c r="N228" s="226"/>
      <c r="O228" s="226"/>
      <c r="P228" s="226"/>
      <c r="Q228" s="226"/>
      <c r="R228" s="226"/>
      <c r="S228" s="226"/>
      <c r="T228" s="226"/>
      <c r="U228" s="199"/>
      <c r="V228" s="206"/>
      <c r="W228" s="207"/>
      <c r="X228" s="226"/>
      <c r="Y228" s="226"/>
      <c r="Z228" s="226"/>
      <c r="AA228" s="226"/>
      <c r="AB228" s="226"/>
      <c r="AC228" s="226"/>
      <c r="AD228" s="17"/>
    </row>
    <row r="229" spans="1:30" ht="15" hidden="1" customHeight="1">
      <c r="A229" s="199"/>
      <c r="B229" s="206"/>
      <c r="C229" s="207"/>
      <c r="D229" s="226"/>
      <c r="E229" s="226"/>
      <c r="F229" s="226"/>
      <c r="G229" s="226"/>
      <c r="H229" s="226"/>
      <c r="I229" s="226"/>
      <c r="J229" s="226"/>
      <c r="K229" s="199"/>
      <c r="L229" s="206"/>
      <c r="M229" s="207"/>
      <c r="N229" s="226"/>
      <c r="O229" s="226"/>
      <c r="P229" s="226"/>
      <c r="Q229" s="226"/>
      <c r="R229" s="226"/>
      <c r="S229" s="226"/>
      <c r="T229" s="226"/>
      <c r="U229" s="199"/>
      <c r="V229" s="206"/>
      <c r="W229" s="207"/>
      <c r="X229" s="226"/>
      <c r="Y229" s="226"/>
      <c r="Z229" s="226"/>
      <c r="AA229" s="226"/>
      <c r="AB229" s="226"/>
      <c r="AC229" s="226"/>
      <c r="AD229" s="17"/>
    </row>
    <row r="230" spans="1:30" ht="15" hidden="1" customHeight="1">
      <c r="A230" s="199"/>
      <c r="B230" s="206"/>
      <c r="C230" s="207"/>
      <c r="D230" s="226"/>
      <c r="E230" s="226"/>
      <c r="F230" s="226"/>
      <c r="G230" s="226"/>
      <c r="H230" s="226"/>
      <c r="I230" s="226"/>
      <c r="J230" s="226"/>
      <c r="K230" s="199"/>
      <c r="L230" s="206"/>
      <c r="M230" s="207"/>
      <c r="N230" s="226"/>
      <c r="O230" s="226"/>
      <c r="P230" s="226"/>
      <c r="Q230" s="226"/>
      <c r="R230" s="226"/>
      <c r="S230" s="226"/>
      <c r="T230" s="226"/>
      <c r="U230" s="199"/>
      <c r="V230" s="206"/>
      <c r="W230" s="207"/>
      <c r="X230" s="226"/>
      <c r="Y230" s="226"/>
      <c r="Z230" s="226"/>
      <c r="AA230" s="226"/>
      <c r="AB230" s="226"/>
      <c r="AC230" s="226"/>
      <c r="AD230" s="17"/>
    </row>
    <row r="231" spans="1:30" ht="15" hidden="1" customHeight="1">
      <c r="A231" s="199"/>
      <c r="B231" s="206"/>
      <c r="C231" s="207"/>
      <c r="D231" s="226"/>
      <c r="E231" s="226"/>
      <c r="F231" s="226"/>
      <c r="G231" s="226"/>
      <c r="H231" s="226"/>
      <c r="I231" s="226"/>
      <c r="J231" s="226"/>
      <c r="K231" s="199"/>
      <c r="L231" s="206"/>
      <c r="M231" s="207"/>
      <c r="N231" s="226"/>
      <c r="O231" s="226"/>
      <c r="P231" s="226"/>
      <c r="Q231" s="226"/>
      <c r="R231" s="226"/>
      <c r="S231" s="226"/>
      <c r="T231" s="226"/>
      <c r="U231" s="199"/>
      <c r="V231" s="206"/>
      <c r="W231" s="207"/>
      <c r="X231" s="226"/>
      <c r="Y231" s="226"/>
      <c r="Z231" s="226"/>
      <c r="AA231" s="226"/>
      <c r="AB231" s="226"/>
      <c r="AC231" s="226"/>
      <c r="AD231" s="17"/>
    </row>
    <row r="232" spans="1:30" ht="15" hidden="1" customHeight="1">
      <c r="A232" s="199"/>
      <c r="B232" s="206"/>
      <c r="C232" s="207"/>
      <c r="D232" s="226"/>
      <c r="E232" s="226"/>
      <c r="F232" s="226"/>
      <c r="G232" s="226"/>
      <c r="H232" s="226"/>
      <c r="I232" s="226"/>
      <c r="J232" s="226"/>
      <c r="K232" s="199"/>
      <c r="L232" s="206"/>
      <c r="M232" s="207"/>
      <c r="N232" s="226"/>
      <c r="O232" s="226"/>
      <c r="P232" s="226"/>
      <c r="Q232" s="226"/>
      <c r="R232" s="226"/>
      <c r="S232" s="226"/>
      <c r="T232" s="226"/>
      <c r="U232" s="199"/>
      <c r="V232" s="206"/>
      <c r="W232" s="207"/>
      <c r="X232" s="226"/>
      <c r="Y232" s="226"/>
      <c r="Z232" s="226"/>
      <c r="AA232" s="226"/>
      <c r="AB232" s="226"/>
      <c r="AC232" s="226"/>
      <c r="AD232" s="17"/>
    </row>
    <row r="233" spans="1:30" ht="15" hidden="1" customHeight="1">
      <c r="A233" s="199"/>
      <c r="B233" s="206"/>
      <c r="C233" s="207"/>
      <c r="D233" s="226"/>
      <c r="E233" s="226"/>
      <c r="F233" s="226"/>
      <c r="G233" s="226"/>
      <c r="H233" s="226"/>
      <c r="I233" s="226"/>
      <c r="J233" s="226"/>
      <c r="K233" s="199"/>
      <c r="L233" s="206"/>
      <c r="M233" s="207"/>
      <c r="N233" s="226"/>
      <c r="O233" s="226"/>
      <c r="P233" s="226"/>
      <c r="Q233" s="226"/>
      <c r="R233" s="226"/>
      <c r="S233" s="226"/>
      <c r="T233" s="226"/>
      <c r="U233" s="199"/>
      <c r="V233" s="206"/>
      <c r="W233" s="207"/>
      <c r="X233" s="226"/>
      <c r="Y233" s="226"/>
      <c r="Z233" s="226"/>
      <c r="AA233" s="226"/>
      <c r="AB233" s="226"/>
      <c r="AC233" s="226"/>
      <c r="AD233" s="17"/>
    </row>
    <row r="234" spans="1:30" ht="15" hidden="1" customHeight="1">
      <c r="A234" s="199"/>
      <c r="B234" s="206"/>
      <c r="C234" s="207"/>
      <c r="D234" s="226"/>
      <c r="E234" s="226"/>
      <c r="F234" s="226"/>
      <c r="G234" s="226"/>
      <c r="H234" s="226"/>
      <c r="I234" s="226"/>
      <c r="J234" s="226"/>
      <c r="K234" s="199"/>
      <c r="L234" s="206"/>
      <c r="M234" s="207"/>
      <c r="N234" s="226"/>
      <c r="O234" s="226"/>
      <c r="P234" s="226"/>
      <c r="Q234" s="226"/>
      <c r="R234" s="226"/>
      <c r="S234" s="226"/>
      <c r="T234" s="226"/>
      <c r="U234" s="199"/>
      <c r="V234" s="206"/>
      <c r="W234" s="207"/>
      <c r="X234" s="226"/>
      <c r="Y234" s="226"/>
      <c r="Z234" s="226"/>
      <c r="AA234" s="226"/>
      <c r="AB234" s="226"/>
      <c r="AC234" s="226"/>
      <c r="AD234" s="17"/>
    </row>
    <row r="235" spans="1:30" ht="15" customHeight="1" thickBot="1">
      <c r="A235" s="187"/>
      <c r="B235" s="187"/>
      <c r="C235" s="187"/>
      <c r="D235" s="187"/>
      <c r="E235" s="187"/>
      <c r="F235" s="187"/>
      <c r="G235" s="187"/>
      <c r="H235" s="187"/>
      <c r="I235" s="187"/>
      <c r="J235" s="187"/>
      <c r="K235" s="187"/>
      <c r="L235" s="187"/>
      <c r="M235" s="187"/>
      <c r="N235" s="187"/>
      <c r="O235" s="187"/>
      <c r="P235" s="187"/>
      <c r="Q235" s="187"/>
      <c r="R235" s="187"/>
      <c r="S235" s="187"/>
      <c r="T235" s="187"/>
      <c r="U235" s="187"/>
      <c r="V235" s="187"/>
      <c r="W235" s="187"/>
      <c r="X235" s="187"/>
      <c r="Y235" s="187"/>
      <c r="Z235" s="187"/>
      <c r="AA235" s="187"/>
      <c r="AB235" s="187"/>
      <c r="AC235" s="187"/>
    </row>
    <row r="236" spans="1:30" ht="15" customHeight="1" thickBot="1">
      <c r="A236" s="187"/>
      <c r="B236" s="327" t="s">
        <v>171</v>
      </c>
      <c r="C236" s="328"/>
      <c r="D236" s="227">
        <f ca="1">SUM(J181:J234)</f>
        <v>134.41691669235576</v>
      </c>
      <c r="E236" s="327" t="s">
        <v>172</v>
      </c>
      <c r="F236" s="328"/>
      <c r="G236" s="227">
        <f ca="1">SUM($J$124:$J$177)</f>
        <v>11.775401678342217</v>
      </c>
      <c r="H236" s="329" t="s">
        <v>173</v>
      </c>
      <c r="I236" s="330"/>
      <c r="J236" s="228">
        <v>0.5</v>
      </c>
      <c r="K236" s="187"/>
      <c r="L236" s="327" t="s">
        <v>171</v>
      </c>
      <c r="M236" s="328"/>
      <c r="N236" s="227">
        <f ca="1">SUM(T181:T234)</f>
        <v>136.1938323063703</v>
      </c>
      <c r="O236" s="327" t="s">
        <v>172</v>
      </c>
      <c r="P236" s="328"/>
      <c r="Q236" s="227">
        <f ca="1">SUM($T$124:$T$177)</f>
        <v>12.711711651196973</v>
      </c>
      <c r="R236" s="329" t="s">
        <v>173</v>
      </c>
      <c r="S236" s="330"/>
      <c r="T236" s="228">
        <v>0.5</v>
      </c>
      <c r="U236" s="187"/>
      <c r="V236" s="229" t="s">
        <v>171</v>
      </c>
      <c r="W236" s="230"/>
      <c r="X236" s="227">
        <f ca="1">SUM(AD181:AD234)</f>
        <v>135.47843260450028</v>
      </c>
      <c r="Y236" s="229" t="s">
        <v>172</v>
      </c>
      <c r="Z236" s="230"/>
      <c r="AA236" s="227">
        <f ca="1">SUM($AD$124:$AD$177)</f>
        <v>12.323953285218705</v>
      </c>
      <c r="AB236" s="231" t="s">
        <v>173</v>
      </c>
      <c r="AC236" s="232"/>
      <c r="AD236" s="45">
        <v>0.5</v>
      </c>
    </row>
    <row r="237" spans="1:30" ht="15" customHeight="1" thickBot="1">
      <c r="A237" s="187"/>
      <c r="B237" s="327" t="s">
        <v>174</v>
      </c>
      <c r="C237" s="328"/>
      <c r="D237" s="233">
        <f ca="1">MAX(J181:J234)</f>
        <v>5.8942141696772978</v>
      </c>
      <c r="E237" s="327" t="s">
        <v>174</v>
      </c>
      <c r="F237" s="328"/>
      <c r="G237" s="227">
        <f ca="1">MAX($J$124:$J$177)</f>
        <v>0.90165735331340269</v>
      </c>
      <c r="H237" s="234"/>
      <c r="I237" s="234"/>
      <c r="J237" s="234"/>
      <c r="K237" s="187"/>
      <c r="L237" s="327" t="s">
        <v>174</v>
      </c>
      <c r="M237" s="328"/>
      <c r="N237" s="233">
        <f ca="1">MAX(T181:T234)</f>
        <v>5.8990447024037191</v>
      </c>
      <c r="O237" s="327" t="s">
        <v>174</v>
      </c>
      <c r="P237" s="328"/>
      <c r="Q237" s="227">
        <f ca="1">MAX($T$124:$T$177)</f>
        <v>0.91069051111821697</v>
      </c>
      <c r="R237" s="234"/>
      <c r="S237" s="234"/>
      <c r="T237" s="234"/>
      <c r="U237" s="187"/>
      <c r="V237" s="229" t="s">
        <v>174</v>
      </c>
      <c r="W237" s="230"/>
      <c r="X237" s="233">
        <f ca="1">MAX(AD181:AD234)</f>
        <v>5.9105287789138323</v>
      </c>
      <c r="Y237" s="229" t="s">
        <v>174</v>
      </c>
      <c r="Z237" s="230"/>
      <c r="AA237" s="227">
        <f ca="1">MAX($AD$124:$AD$177)</f>
        <v>0.91903551905123593</v>
      </c>
      <c r="AB237" s="234"/>
      <c r="AC237" s="234"/>
      <c r="AD237" s="46"/>
    </row>
    <row r="238" spans="1:30" ht="15" customHeight="1" thickBot="1">
      <c r="A238" s="187"/>
      <c r="B238" s="327" t="s">
        <v>175</v>
      </c>
      <c r="C238" s="328"/>
      <c r="D238" s="233">
        <f ca="1">MIN(J181:J234)</f>
        <v>3.0392113655165724</v>
      </c>
      <c r="E238" s="327" t="s">
        <v>175</v>
      </c>
      <c r="F238" s="328"/>
      <c r="G238" s="227">
        <f ca="1">MIN($J$124:$J$177)</f>
        <v>0.11145090093193517</v>
      </c>
      <c r="H238" s="234"/>
      <c r="I238" s="234"/>
      <c r="J238" s="234"/>
      <c r="K238" s="187"/>
      <c r="L238" s="327" t="s">
        <v>175</v>
      </c>
      <c r="M238" s="328"/>
      <c r="N238" s="233">
        <f ca="1">MIN(T181:T234)</f>
        <v>3.5703347737411457</v>
      </c>
      <c r="O238" s="327" t="s">
        <v>175</v>
      </c>
      <c r="P238" s="328"/>
      <c r="Q238" s="227">
        <f ca="1">MIN($T$124:$T$177)</f>
        <v>0.18523154878036771</v>
      </c>
      <c r="R238" s="234"/>
      <c r="S238" s="234"/>
      <c r="T238" s="234"/>
      <c r="U238" s="187"/>
      <c r="V238" s="229" t="s">
        <v>175</v>
      </c>
      <c r="W238" s="230"/>
      <c r="X238" s="233">
        <f ca="1">MIN(AD181:AD234)</f>
        <v>3.4690261286367452</v>
      </c>
      <c r="Y238" s="229" t="s">
        <v>175</v>
      </c>
      <c r="Z238" s="230"/>
      <c r="AA238" s="227">
        <f ca="1">MIN($AD$124:$AD$177)</f>
        <v>0.15815659885870681</v>
      </c>
      <c r="AB238" s="234"/>
      <c r="AC238" s="234"/>
      <c r="AD238" s="46"/>
    </row>
    <row r="239" spans="1:30" ht="15" customHeight="1" thickBot="1">
      <c r="A239" s="187"/>
      <c r="B239" s="187"/>
      <c r="C239" s="187"/>
      <c r="D239" s="187"/>
      <c r="E239" s="187"/>
      <c r="F239" s="187"/>
      <c r="G239" s="187"/>
      <c r="H239" s="187"/>
      <c r="I239" s="187"/>
      <c r="J239" s="187"/>
      <c r="K239" s="187"/>
      <c r="L239" s="187"/>
      <c r="M239" s="187"/>
      <c r="N239" s="187"/>
      <c r="O239" s="187"/>
      <c r="P239" s="187"/>
      <c r="Q239" s="187"/>
      <c r="R239" s="187"/>
      <c r="S239" s="187"/>
      <c r="T239" s="187"/>
      <c r="U239" s="187"/>
      <c r="V239" s="187"/>
      <c r="W239" s="187"/>
      <c r="X239" s="187"/>
      <c r="Y239" s="187"/>
      <c r="Z239" s="187"/>
      <c r="AA239" s="187"/>
      <c r="AB239" s="187"/>
      <c r="AC239" s="187"/>
    </row>
    <row r="240" spans="1:30" ht="15" customHeight="1" thickBot="1">
      <c r="A240" s="204"/>
      <c r="B240" s="294" t="s">
        <v>176</v>
      </c>
      <c r="C240" s="294"/>
      <c r="D240" s="294"/>
      <c r="E240" s="294"/>
      <c r="F240" s="294"/>
      <c r="G240" s="294"/>
      <c r="H240" s="294"/>
      <c r="I240" s="294"/>
      <c r="J240" s="187"/>
      <c r="K240" s="204"/>
      <c r="L240" s="294" t="s">
        <v>176</v>
      </c>
      <c r="M240" s="294"/>
      <c r="N240" s="294"/>
      <c r="O240" s="294"/>
      <c r="P240" s="294"/>
      <c r="Q240" s="294"/>
      <c r="R240" s="294"/>
      <c r="S240" s="294"/>
      <c r="T240" s="187"/>
      <c r="U240" s="204"/>
      <c r="V240" s="218" t="s">
        <v>176</v>
      </c>
      <c r="W240" s="218"/>
      <c r="X240" s="218"/>
      <c r="Y240" s="218"/>
      <c r="Z240" s="218"/>
      <c r="AA240" s="218"/>
      <c r="AB240" s="218"/>
      <c r="AC240" s="218"/>
    </row>
    <row r="241" spans="1:30" ht="15" customHeight="1">
      <c r="A241" s="204"/>
      <c r="B241" s="331"/>
      <c r="C241" s="331" t="s">
        <v>25</v>
      </c>
      <c r="D241" s="331" t="s">
        <v>177</v>
      </c>
      <c r="E241" s="333" t="s">
        <v>178</v>
      </c>
      <c r="F241" s="331" t="s">
        <v>179</v>
      </c>
      <c r="G241" s="335" t="s">
        <v>180</v>
      </c>
      <c r="H241" s="335" t="s">
        <v>181</v>
      </c>
      <c r="I241" s="337" t="s">
        <v>182</v>
      </c>
      <c r="J241" s="339" t="s">
        <v>183</v>
      </c>
      <c r="K241" s="204"/>
      <c r="L241" s="331"/>
      <c r="M241" s="331" t="s">
        <v>25</v>
      </c>
      <c r="N241" s="331" t="s">
        <v>177</v>
      </c>
      <c r="O241" s="333" t="s">
        <v>178</v>
      </c>
      <c r="P241" s="331" t="s">
        <v>179</v>
      </c>
      <c r="Q241" s="335" t="s">
        <v>180</v>
      </c>
      <c r="R241" s="335" t="s">
        <v>181</v>
      </c>
      <c r="S241" s="337" t="s">
        <v>182</v>
      </c>
      <c r="T241" s="339" t="s">
        <v>183</v>
      </c>
      <c r="U241" s="204"/>
      <c r="V241" s="235"/>
      <c r="W241" s="235" t="s">
        <v>25</v>
      </c>
      <c r="X241" s="235" t="s">
        <v>177</v>
      </c>
      <c r="Y241" s="236" t="s">
        <v>178</v>
      </c>
      <c r="Z241" s="235" t="s">
        <v>179</v>
      </c>
      <c r="AA241" s="237" t="s">
        <v>180</v>
      </c>
      <c r="AB241" s="237" t="s">
        <v>181</v>
      </c>
      <c r="AC241" s="238" t="s">
        <v>182</v>
      </c>
      <c r="AD241" s="341" t="s">
        <v>183</v>
      </c>
    </row>
    <row r="242" spans="1:30" ht="15" customHeight="1" thickBot="1">
      <c r="A242" s="296" t="s">
        <v>184</v>
      </c>
      <c r="B242" s="332"/>
      <c r="C242" s="332"/>
      <c r="D242" s="332"/>
      <c r="E242" s="334"/>
      <c r="F242" s="332"/>
      <c r="G242" s="336"/>
      <c r="H242" s="336"/>
      <c r="I242" s="338"/>
      <c r="J242" s="340"/>
      <c r="K242" s="296" t="s">
        <v>184</v>
      </c>
      <c r="L242" s="332"/>
      <c r="M242" s="332"/>
      <c r="N242" s="332"/>
      <c r="O242" s="334"/>
      <c r="P242" s="332"/>
      <c r="Q242" s="336"/>
      <c r="R242" s="336"/>
      <c r="S242" s="338"/>
      <c r="T242" s="340"/>
      <c r="U242" s="222" t="s">
        <v>184</v>
      </c>
      <c r="V242" s="239"/>
      <c r="W242" s="239"/>
      <c r="X242" s="239"/>
      <c r="Y242" s="240"/>
      <c r="Z242" s="239"/>
      <c r="AA242" s="241"/>
      <c r="AB242" s="241"/>
      <c r="AC242" s="242"/>
      <c r="AD242" s="342"/>
    </row>
    <row r="243" spans="1:30" ht="15" customHeight="1">
      <c r="A243" s="296"/>
      <c r="B243" s="206">
        <v>1</v>
      </c>
      <c r="C243" s="207" t="str">
        <f>C181</f>
        <v>Albania</v>
      </c>
      <c r="D243" s="226">
        <f ca="1">J124</f>
        <v>0.53021337338552244</v>
      </c>
      <c r="E243" s="226">
        <f ca="1">J181</f>
        <v>5.3655261133263714</v>
      </c>
      <c r="F243" s="226">
        <f ca="1">(D243+E243)/($G$236+$D$236)</f>
        <v>4.0328654421924848E-2</v>
      </c>
      <c r="G243" s="226">
        <f ca="1">(D243/$G$238)+(E243/$D$238)</f>
        <v>6.5228054844941568</v>
      </c>
      <c r="H243" s="226">
        <f ca="1">(($J$236*D243)+((1-$J$236)*E243))/(($J$236*$G$237)+((1-$J$236)*$D$237))</f>
        <v>0.86754722580707644</v>
      </c>
      <c r="I243" s="226">
        <f ca="1">POWER(F243*G243*H243,(1/3))+((1/3)*(F243+G243+H243))</f>
        <v>3.0879958678473347</v>
      </c>
      <c r="J243" s="243">
        <f t="shared" ref="J243:J269" ca="1" si="54">RANK(I243,$I$243:$I$269,0)</f>
        <v>8</v>
      </c>
      <c r="K243" s="296"/>
      <c r="L243" s="206">
        <v>1</v>
      </c>
      <c r="M243" s="207" t="str">
        <f t="shared" ref="M243:M269" si="55">M181</f>
        <v>Albania</v>
      </c>
      <c r="N243" s="226">
        <f t="shared" ref="N243:N269" ca="1" si="56">T124</f>
        <v>0.50915333383956807</v>
      </c>
      <c r="O243" s="226">
        <f t="shared" ref="O243:O269" ca="1" si="57">T181</f>
        <v>5.3095568113982115</v>
      </c>
      <c r="P243" s="226">
        <f t="shared" ref="P243:P269" ca="1" si="58">(N243+O243)/($Q$236+$N$236)</f>
        <v>3.9076517842048263E-2</v>
      </c>
      <c r="Q243" s="226">
        <f t="shared" ref="Q243:Q269" ca="1" si="59">(N243/$Q$238)+(O243/$N$238)</f>
        <v>4.2358711798761668</v>
      </c>
      <c r="R243" s="226">
        <f t="shared" ref="R243:R269" ca="1" si="60">(($T$236*N243)+((1-$T$236)*O243))/(($T$236*$Q$237)+((1-$T$236)*$N$237))</f>
        <v>0.85446936816040941</v>
      </c>
      <c r="S243" s="226">
        <f t="shared" ref="S243:S269" ca="1" si="61">POWER(P243*Q243*R243,(1/3))+((1/3)*(P243+Q243+R243))</f>
        <v>2.2308224554263445</v>
      </c>
      <c r="T243" s="243">
        <f t="shared" ref="T243:T269" ca="1" si="62">RANK(S243,$S$243:$S$269,0)</f>
        <v>10</v>
      </c>
      <c r="U243" s="222"/>
      <c r="V243" s="206">
        <v>1</v>
      </c>
      <c r="W243" s="207" t="str">
        <f t="shared" ref="W243:W269" si="63">W181</f>
        <v>Albania</v>
      </c>
      <c r="X243" s="226">
        <f t="shared" ref="X243:X269" ca="1" si="64">AD124</f>
        <v>0.52269989779903814</v>
      </c>
      <c r="Y243" s="226">
        <f t="shared" ref="Y243:Y269" ca="1" si="65">AD181</f>
        <v>5.3458533631147933</v>
      </c>
      <c r="Z243" s="226">
        <f t="shared" ref="Z243:Z269" ca="1" si="66">(X243+Y243)/($AA$236+$X$236)</f>
        <v>3.9705402761851111E-2</v>
      </c>
      <c r="AA243" s="226">
        <f t="shared" ref="AA243:AA269" ca="1" si="67">(X243/$AA$238)+(Y243/$X$238)</f>
        <v>4.8459758007495042</v>
      </c>
      <c r="AB243" s="226">
        <f t="shared" ref="AB243:AB269" ca="1" si="68">(($AD$236*X243)+((1-$AD$236)*Y243))/(($AD$236*$AA$237)+((1-$AD$236)*$X$237))</f>
        <v>0.85928662574601156</v>
      </c>
      <c r="AC243" s="226">
        <f t="shared" ref="AC243:AC269" ca="1" si="69">POWER(Z243*AA243*AB243,(1/3))+((1/3)*(Z243+AA243+AB243))</f>
        <v>2.4638426016430977</v>
      </c>
      <c r="AD243" s="47">
        <f t="shared" ref="AD243:AD269" ca="1" si="70">RANK(AC243,$AC$243:$AC$269,0)</f>
        <v>9</v>
      </c>
    </row>
    <row r="244" spans="1:30" ht="15" customHeight="1" thickBot="1">
      <c r="A244" s="297"/>
      <c r="B244" s="206">
        <v>2</v>
      </c>
      <c r="C244" s="207" t="str">
        <f t="shared" ref="C244:C269" si="71">C182</f>
        <v>Andorra</v>
      </c>
      <c r="D244" s="226">
        <f t="shared" ref="D244:D269" ca="1" si="72">J125</f>
        <v>0.11145090093193517</v>
      </c>
      <c r="E244" s="226">
        <f t="shared" ref="E244:E269" ca="1" si="73">J182</f>
        <v>3.3057755876120836</v>
      </c>
      <c r="F244" s="226">
        <f t="shared" ref="F244:F269" ca="1" si="74">(D244+E244)/($G$236+$D$236)</f>
        <v>2.3374870353167272E-2</v>
      </c>
      <c r="G244" s="226">
        <f t="shared" ref="G244:G269" ca="1" si="75">(D244/$G$238)+(E244/$D$238)</f>
        <v>2.0877083526075202</v>
      </c>
      <c r="H244" s="226">
        <f t="shared" ref="H244:H269" ca="1" si="76">(($J$236*D244)+((1-$J$236)*E244))/(($J$236*$G$237)+((1-$J$236)*$D$237))</f>
        <v>0.50283859501807937</v>
      </c>
      <c r="I244" s="226">
        <f t="shared" ref="I244:I269" ca="1" si="77">POWER(F244*G244*H244,(1/3))+((1/3)*(F244+G244+H244))</f>
        <v>1.1618985325783646</v>
      </c>
      <c r="J244" s="243">
        <f t="shared" ca="1" si="54"/>
        <v>27</v>
      </c>
      <c r="K244" s="297"/>
      <c r="L244" s="206">
        <v>2</v>
      </c>
      <c r="M244" s="207" t="str">
        <f t="shared" si="55"/>
        <v>Andorra</v>
      </c>
      <c r="N244" s="226">
        <f t="shared" ca="1" si="56"/>
        <v>0.21026696476963153</v>
      </c>
      <c r="O244" s="226">
        <f t="shared" ca="1" si="57"/>
        <v>3.5703347737411457</v>
      </c>
      <c r="P244" s="226">
        <f t="shared" ca="1" si="58"/>
        <v>2.5389261125080158E-2</v>
      </c>
      <c r="Q244" s="226">
        <f t="shared" ca="1" si="59"/>
        <v>2.1351574078719642</v>
      </c>
      <c r="R244" s="226">
        <f t="shared" ca="1" si="60"/>
        <v>0.55517602666895516</v>
      </c>
      <c r="S244" s="226">
        <f t="shared" ca="1" si="61"/>
        <v>1.2162956846463584</v>
      </c>
      <c r="T244" s="243">
        <f t="shared" ca="1" si="62"/>
        <v>27</v>
      </c>
      <c r="U244" s="223"/>
      <c r="V244" s="206">
        <v>2</v>
      </c>
      <c r="W244" s="207" t="str">
        <f t="shared" si="63"/>
        <v>Andorra</v>
      </c>
      <c r="X244" s="226">
        <f t="shared" ca="1" si="64"/>
        <v>0.15815659885870681</v>
      </c>
      <c r="Y244" s="226">
        <f t="shared" ca="1" si="65"/>
        <v>3.4690261286367452</v>
      </c>
      <c r="Z244" s="226">
        <f t="shared" ca="1" si="66"/>
        <v>2.4540758971251193E-2</v>
      </c>
      <c r="AA244" s="226">
        <f t="shared" ca="1" si="67"/>
        <v>2</v>
      </c>
      <c r="AB244" s="226">
        <f t="shared" ca="1" si="68"/>
        <v>0.53110016528817283</v>
      </c>
      <c r="AC244" s="226">
        <f t="shared" ca="1" si="69"/>
        <v>1.1483849344717583</v>
      </c>
      <c r="AD244" s="47">
        <f t="shared" ca="1" si="70"/>
        <v>27</v>
      </c>
    </row>
    <row r="245" spans="1:30" ht="15" customHeight="1">
      <c r="A245" s="203"/>
      <c r="B245" s="206">
        <f t="shared" ref="B245:B269" si="78">IFERROR(IF(OR($B244+1&gt;$C$5,$B244=" ")," ",$B244+1),"")</f>
        <v>3</v>
      </c>
      <c r="C245" s="207" t="str">
        <f t="shared" si="71"/>
        <v>Armenia</v>
      </c>
      <c r="D245" s="226">
        <f t="shared" ca="1" si="72"/>
        <v>0.88384388075756515</v>
      </c>
      <c r="E245" s="226">
        <f t="shared" ca="1" si="73"/>
        <v>5.8137444936212743</v>
      </c>
      <c r="F245" s="226">
        <f t="shared" ca="1" si="74"/>
        <v>4.5813545123457526E-2</v>
      </c>
      <c r="G245" s="226">
        <f t="shared" ca="1" si="75"/>
        <v>9.8432552762095789</v>
      </c>
      <c r="H245" s="226">
        <f t="shared" ca="1" si="76"/>
        <v>0.98553781538109353</v>
      </c>
      <c r="I245" s="226">
        <f t="shared" ca="1" si="77"/>
        <v>4.3880049472414884</v>
      </c>
      <c r="J245" s="243">
        <f t="shared" ca="1" si="54"/>
        <v>2</v>
      </c>
      <c r="K245" s="203"/>
      <c r="L245" s="206">
        <f t="shared" ref="L245:L269" si="79">IFERROR(IF(OR($L244+1&gt;$M$5,$L244=" ")," ",$L244+1),"")</f>
        <v>3</v>
      </c>
      <c r="M245" s="207" t="str">
        <f t="shared" si="55"/>
        <v>Armenia</v>
      </c>
      <c r="N245" s="226">
        <f t="shared" ca="1" si="56"/>
        <v>0.86367854533495347</v>
      </c>
      <c r="O245" s="226">
        <f t="shared" ca="1" si="57"/>
        <v>5.7005019443517275</v>
      </c>
      <c r="P245" s="226">
        <f t="shared" ca="1" si="58"/>
        <v>4.4082848195076178E-2</v>
      </c>
      <c r="Q245" s="226">
        <f t="shared" ca="1" si="59"/>
        <v>6.2593263096575891</v>
      </c>
      <c r="R245" s="226">
        <f t="shared" ca="1" si="60"/>
        <v>0.96394063555545262</v>
      </c>
      <c r="S245" s="226">
        <f t="shared" ca="1" si="61"/>
        <v>3.0655558538867211</v>
      </c>
      <c r="T245" s="243">
        <f t="shared" ca="1" si="62"/>
        <v>2</v>
      </c>
      <c r="U245" s="203"/>
      <c r="V245" s="206">
        <f t="shared" ref="V245:V269" si="80">IFERROR(IF(OR($V244+1&gt;$W$5,$V244=" ")," ",$V244+1),"")</f>
        <v>3</v>
      </c>
      <c r="W245" s="207" t="str">
        <f t="shared" si="63"/>
        <v>Armenia</v>
      </c>
      <c r="X245" s="226">
        <f t="shared" ca="1" si="64"/>
        <v>0.88214840233305325</v>
      </c>
      <c r="Y245" s="226">
        <f t="shared" ca="1" si="65"/>
        <v>5.7849647111440774</v>
      </c>
      <c r="Z245" s="226">
        <f t="shared" ca="1" si="66"/>
        <v>4.5108291543085904E-2</v>
      </c>
      <c r="AA245" s="226">
        <f t="shared" ca="1" si="67"/>
        <v>7.2452943349125629</v>
      </c>
      <c r="AB245" s="226">
        <f t="shared" ca="1" si="68"/>
        <v>0.97621353612025563</v>
      </c>
      <c r="AC245" s="226">
        <f t="shared" ca="1" si="69"/>
        <v>3.4388507701791462</v>
      </c>
      <c r="AD245" s="47">
        <f t="shared" ca="1" si="70"/>
        <v>2</v>
      </c>
    </row>
    <row r="246" spans="1:30" ht="15" customHeight="1">
      <c r="A246" s="203"/>
      <c r="B246" s="206">
        <f t="shared" si="78"/>
        <v>4</v>
      </c>
      <c r="C246" s="207" t="str">
        <f t="shared" si="71"/>
        <v>Azerbaijan</v>
      </c>
      <c r="D246" s="226">
        <f t="shared" ca="1" si="72"/>
        <v>0.26421807636172479</v>
      </c>
      <c r="E246" s="226">
        <f t="shared" ca="1" si="73"/>
        <v>4.7794221061223343</v>
      </c>
      <c r="F246" s="226">
        <f t="shared" ca="1" si="74"/>
        <v>3.4500035560657616E-2</v>
      </c>
      <c r="G246" s="226">
        <f t="shared" ca="1" si="75"/>
        <v>3.9432990741041332</v>
      </c>
      <c r="H246" s="226">
        <f t="shared" ca="1" si="76"/>
        <v>0.74216237982446043</v>
      </c>
      <c r="I246" s="226">
        <f t="shared" ca="1" si="77"/>
        <v>2.0389702727077812</v>
      </c>
      <c r="J246" s="243">
        <f t="shared" ca="1" si="54"/>
        <v>23</v>
      </c>
      <c r="K246" s="203"/>
      <c r="L246" s="206">
        <f t="shared" si="79"/>
        <v>4</v>
      </c>
      <c r="M246" s="207" t="str">
        <f t="shared" si="55"/>
        <v>Azerbaijan</v>
      </c>
      <c r="N246" s="226">
        <f t="shared" ca="1" si="56"/>
        <v>0.29326105752054521</v>
      </c>
      <c r="O246" s="226">
        <f t="shared" ca="1" si="57"/>
        <v>4.9061405561499907</v>
      </c>
      <c r="P246" s="226">
        <f t="shared" ca="1" si="58"/>
        <v>3.4917448172058517E-2</v>
      </c>
      <c r="Q246" s="226">
        <f t="shared" ca="1" si="59"/>
        <v>2.9573535364239047</v>
      </c>
      <c r="R246" s="226">
        <f t="shared" ca="1" si="60"/>
        <v>0.76352478483248543</v>
      </c>
      <c r="S246" s="226">
        <f t="shared" ca="1" si="61"/>
        <v>1.6807334211937477</v>
      </c>
      <c r="T246" s="243">
        <f t="shared" ca="1" si="62"/>
        <v>21</v>
      </c>
      <c r="U246" s="203"/>
      <c r="V246" s="206">
        <f t="shared" si="80"/>
        <v>4</v>
      </c>
      <c r="W246" s="207" t="str">
        <f t="shared" si="63"/>
        <v>Azerbaijan</v>
      </c>
      <c r="X246" s="226">
        <f t="shared" ca="1" si="64"/>
        <v>0.27804801079866887</v>
      </c>
      <c r="Y246" s="226">
        <f t="shared" ca="1" si="65"/>
        <v>4.8431336033138122</v>
      </c>
      <c r="Z246" s="226">
        <f t="shared" ca="1" si="66"/>
        <v>3.464884266437749E-2</v>
      </c>
      <c r="AA246" s="226">
        <f t="shared" ca="1" si="67"/>
        <v>3.154162631824994</v>
      </c>
      <c r="AB246" s="226">
        <f t="shared" ca="1" si="68"/>
        <v>0.74985480635102653</v>
      </c>
      <c r="AC246" s="226">
        <f t="shared" ca="1" si="69"/>
        <v>1.7472489340844561</v>
      </c>
      <c r="AD246" s="47">
        <f t="shared" ca="1" si="70"/>
        <v>22</v>
      </c>
    </row>
    <row r="247" spans="1:30" ht="15" customHeight="1">
      <c r="A247" s="199"/>
      <c r="B247" s="206">
        <f t="shared" si="78"/>
        <v>5</v>
      </c>
      <c r="C247" s="207" t="str">
        <f t="shared" si="71"/>
        <v>Belarus</v>
      </c>
      <c r="D247" s="226">
        <f t="shared" ca="1" si="72"/>
        <v>0.39345300153065593</v>
      </c>
      <c r="E247" s="226">
        <f t="shared" ca="1" si="73"/>
        <v>5.153010733755564</v>
      </c>
      <c r="F247" s="226">
        <f t="shared" ca="1" si="74"/>
        <v>3.7939501863717105E-2</v>
      </c>
      <c r="G247" s="226">
        <f t="shared" ca="1" si="75"/>
        <v>5.225790199753459</v>
      </c>
      <c r="H247" s="226">
        <f t="shared" ca="1" si="76"/>
        <v>0.81615194114872758</v>
      </c>
      <c r="I247" s="226">
        <f t="shared" ca="1" si="77"/>
        <v>2.5715540603037637</v>
      </c>
      <c r="J247" s="243">
        <f t="shared" ca="1" si="54"/>
        <v>14</v>
      </c>
      <c r="K247" s="199"/>
      <c r="L247" s="206">
        <f t="shared" si="79"/>
        <v>5</v>
      </c>
      <c r="M247" s="207" t="str">
        <f t="shared" si="55"/>
        <v>Belarus</v>
      </c>
      <c r="N247" s="226">
        <f t="shared" ca="1" si="56"/>
        <v>0.46978801269989751</v>
      </c>
      <c r="O247" s="226">
        <f t="shared" ca="1" si="57"/>
        <v>5.2537148326932552</v>
      </c>
      <c r="P247" s="226">
        <f t="shared" ca="1" si="58"/>
        <v>3.8437137350803716E-2</v>
      </c>
      <c r="Q247" s="226">
        <f t="shared" ca="1" si="59"/>
        <v>4.007711108673397</v>
      </c>
      <c r="R247" s="226">
        <f t="shared" ca="1" si="60"/>
        <v>0.84048831062155305</v>
      </c>
      <c r="S247" s="226">
        <f t="shared" ca="1" si="61"/>
        <v>2.1347730602750099</v>
      </c>
      <c r="T247" s="243">
        <f t="shared" ca="1" si="62"/>
        <v>13</v>
      </c>
      <c r="U247" s="199"/>
      <c r="V247" s="206">
        <f t="shared" si="80"/>
        <v>5</v>
      </c>
      <c r="W247" s="207" t="str">
        <f t="shared" si="63"/>
        <v>Belarus</v>
      </c>
      <c r="X247" s="226">
        <f t="shared" ca="1" si="64"/>
        <v>0.43340109377015446</v>
      </c>
      <c r="Y247" s="226">
        <f t="shared" ca="1" si="65"/>
        <v>5.2123300080126835</v>
      </c>
      <c r="Z247" s="226">
        <f t="shared" ca="1" si="66"/>
        <v>3.819783468174414E-2</v>
      </c>
      <c r="AA247" s="226">
        <f t="shared" ca="1" si="67"/>
        <v>4.2428629568997955</v>
      </c>
      <c r="AB247" s="226">
        <f t="shared" ca="1" si="68"/>
        <v>0.82666050943616354</v>
      </c>
      <c r="AC247" s="226">
        <f t="shared" ca="1" si="69"/>
        <v>2.2142653975551143</v>
      </c>
      <c r="AD247" s="47">
        <f t="shared" ca="1" si="70"/>
        <v>13</v>
      </c>
    </row>
    <row r="248" spans="1:30" ht="15" customHeight="1">
      <c r="A248" s="199"/>
      <c r="B248" s="206">
        <f t="shared" si="78"/>
        <v>6</v>
      </c>
      <c r="C248" s="207" t="str">
        <f t="shared" si="71"/>
        <v>Bosnia and Hercegovina</v>
      </c>
      <c r="D248" s="226">
        <f t="shared" ca="1" si="72"/>
        <v>0.27512265452722412</v>
      </c>
      <c r="E248" s="226">
        <f t="shared" ca="1" si="73"/>
        <v>4.8504814428562195</v>
      </c>
      <c r="F248" s="226">
        <f t="shared" ca="1" si="74"/>
        <v>3.5060693711597868E-2</v>
      </c>
      <c r="G248" s="226">
        <f t="shared" ca="1" si="75"/>
        <v>4.0645219134389645</v>
      </c>
      <c r="H248" s="226">
        <f t="shared" ca="1" si="76"/>
        <v>0.75422321920644375</v>
      </c>
      <c r="I248" s="226">
        <f t="shared" ca="1" si="77"/>
        <v>2.0933908650712141</v>
      </c>
      <c r="J248" s="243">
        <f t="shared" ca="1" si="54"/>
        <v>21</v>
      </c>
      <c r="K248" s="199"/>
      <c r="L248" s="206">
        <f t="shared" si="79"/>
        <v>6</v>
      </c>
      <c r="M248" s="207" t="str">
        <f t="shared" si="55"/>
        <v>Bosnia and Hercegovina</v>
      </c>
      <c r="N248" s="226">
        <f t="shared" ca="1" si="56"/>
        <v>0.28393042388004963</v>
      </c>
      <c r="O248" s="226">
        <f t="shared" ca="1" si="57"/>
        <v>4.8671197743455412</v>
      </c>
      <c r="P248" s="226">
        <f t="shared" ca="1" si="58"/>
        <v>3.4592736182431569E-2</v>
      </c>
      <c r="Q248" s="226">
        <f t="shared" ca="1" si="59"/>
        <v>2.8960515601656516</v>
      </c>
      <c r="R248" s="226">
        <f t="shared" ca="1" si="60"/>
        <v>0.75642444775198725</v>
      </c>
      <c r="S248" s="226">
        <f t="shared" ca="1" si="61"/>
        <v>1.6521968599522125</v>
      </c>
      <c r="T248" s="243">
        <f t="shared" ca="1" si="62"/>
        <v>22</v>
      </c>
      <c r="U248" s="199"/>
      <c r="V248" s="206">
        <f t="shared" si="80"/>
        <v>6</v>
      </c>
      <c r="W248" s="207" t="str">
        <f t="shared" si="63"/>
        <v>Bosnia and Hercegovina</v>
      </c>
      <c r="X248" s="226">
        <f t="shared" ca="1" si="64"/>
        <v>0.27934460478601214</v>
      </c>
      <c r="Y248" s="226">
        <f t="shared" ca="1" si="65"/>
        <v>4.8608444088700136</v>
      </c>
      <c r="Z248" s="226">
        <f t="shared" ca="1" si="66"/>
        <v>3.4777442750425679E-2</v>
      </c>
      <c r="AA248" s="226">
        <f t="shared" ca="1" si="67"/>
        <v>3.1674662088232317</v>
      </c>
      <c r="AB248" s="226">
        <f t="shared" ca="1" si="68"/>
        <v>0.75263791208285324</v>
      </c>
      <c r="AC248" s="226">
        <f t="shared" ca="1" si="69"/>
        <v>1.7543394546138433</v>
      </c>
      <c r="AD248" s="47">
        <f t="shared" ca="1" si="70"/>
        <v>21</v>
      </c>
    </row>
    <row r="249" spans="1:30" ht="15" customHeight="1">
      <c r="A249" s="199"/>
      <c r="B249" s="206">
        <f t="shared" si="78"/>
        <v>7</v>
      </c>
      <c r="C249" s="207" t="str">
        <f t="shared" si="71"/>
        <v>Georgia</v>
      </c>
      <c r="D249" s="226">
        <f t="shared" ca="1" si="72"/>
        <v>0.57774687894018584</v>
      </c>
      <c r="E249" s="226">
        <f t="shared" ca="1" si="73"/>
        <v>5.3586487796818574</v>
      </c>
      <c r="F249" s="226">
        <f t="shared" ca="1" si="74"/>
        <v>4.0606755025043122E-2</v>
      </c>
      <c r="G249" s="226">
        <f t="shared" ca="1" si="75"/>
        <v>6.9470398917563747</v>
      </c>
      <c r="H249" s="226">
        <f t="shared" ca="1" si="76"/>
        <v>0.87352970675490016</v>
      </c>
      <c r="I249" s="226">
        <f t="shared" ca="1" si="77"/>
        <v>3.2473310680818819</v>
      </c>
      <c r="J249" s="243">
        <f t="shared" ca="1" si="54"/>
        <v>6</v>
      </c>
      <c r="K249" s="199"/>
      <c r="L249" s="206">
        <f t="shared" si="79"/>
        <v>7</v>
      </c>
      <c r="M249" s="207" t="str">
        <f t="shared" si="55"/>
        <v>Georgia</v>
      </c>
      <c r="N249" s="226">
        <f t="shared" ca="1" si="56"/>
        <v>0.70099100136618353</v>
      </c>
      <c r="O249" s="226">
        <f t="shared" ca="1" si="57"/>
        <v>5.5601831654210585</v>
      </c>
      <c r="P249" s="226">
        <f t="shared" ca="1" si="58"/>
        <v>4.2047958728598123E-2</v>
      </c>
      <c r="Q249" s="226">
        <f t="shared" ca="1" si="59"/>
        <v>5.3417321699745504</v>
      </c>
      <c r="R249" s="226">
        <f t="shared" ca="1" si="60"/>
        <v>0.91944458491639602</v>
      </c>
      <c r="S249" s="226">
        <f t="shared" ca="1" si="61"/>
        <v>2.6921611614834449</v>
      </c>
      <c r="T249" s="243">
        <f t="shared" ca="1" si="62"/>
        <v>4</v>
      </c>
      <c r="U249" s="199"/>
      <c r="V249" s="206">
        <f t="shared" si="80"/>
        <v>7</v>
      </c>
      <c r="W249" s="207" t="str">
        <f t="shared" si="63"/>
        <v>Georgia</v>
      </c>
      <c r="X249" s="226">
        <f t="shared" ca="1" si="64"/>
        <v>0.64901768143304173</v>
      </c>
      <c r="Y249" s="226">
        <f t="shared" ca="1" si="65"/>
        <v>5.4804922102995164</v>
      </c>
      <c r="Z249" s="226">
        <f t="shared" ca="1" si="66"/>
        <v>4.1470980693816543E-2</v>
      </c>
      <c r="AA249" s="226">
        <f t="shared" ca="1" si="67"/>
        <v>5.683475551915631</v>
      </c>
      <c r="AB249" s="226">
        <f t="shared" ca="1" si="68"/>
        <v>0.89749647624796547</v>
      </c>
      <c r="AC249" s="226">
        <f t="shared" ca="1" si="69"/>
        <v>2.8033219582835129</v>
      </c>
      <c r="AD249" s="47">
        <f t="shared" ca="1" si="70"/>
        <v>5</v>
      </c>
    </row>
    <row r="250" spans="1:30" ht="15" customHeight="1">
      <c r="A250" s="199"/>
      <c r="B250" s="206">
        <f t="shared" si="78"/>
        <v>8</v>
      </c>
      <c r="C250" s="207" t="str">
        <f t="shared" si="71"/>
        <v>Iceland</v>
      </c>
      <c r="D250" s="226">
        <f t="shared" ca="1" si="72"/>
        <v>0.47696896593026256</v>
      </c>
      <c r="E250" s="226">
        <f t="shared" ca="1" si="73"/>
        <v>5.3047385179247915</v>
      </c>
      <c r="F250" s="226">
        <f t="shared" ca="1" si="74"/>
        <v>3.9548640778747715E-2</v>
      </c>
      <c r="G250" s="226">
        <f t="shared" ca="1" si="75"/>
        <v>6.0250656858806835</v>
      </c>
      <c r="H250" s="226">
        <f t="shared" ca="1" si="76"/>
        <v>0.85076762624121283</v>
      </c>
      <c r="I250" s="226">
        <f t="shared" ca="1" si="77"/>
        <v>2.8925735208743251</v>
      </c>
      <c r="J250" s="243">
        <f t="shared" ca="1" si="54"/>
        <v>10</v>
      </c>
      <c r="K250" s="199"/>
      <c r="L250" s="206">
        <f t="shared" si="79"/>
        <v>8</v>
      </c>
      <c r="M250" s="207" t="str">
        <f t="shared" si="55"/>
        <v>Iceland</v>
      </c>
      <c r="N250" s="226">
        <f t="shared" ca="1" si="56"/>
        <v>0.5187980867221702</v>
      </c>
      <c r="O250" s="226">
        <f t="shared" ca="1" si="57"/>
        <v>5.3710169942687251</v>
      </c>
      <c r="P250" s="226">
        <f t="shared" ca="1" si="58"/>
        <v>3.9554034889857974E-2</v>
      </c>
      <c r="Q250" s="226">
        <f t="shared" ca="1" si="59"/>
        <v>4.3051539326212218</v>
      </c>
      <c r="R250" s="226">
        <f t="shared" ca="1" si="60"/>
        <v>0.86491102756765403</v>
      </c>
      <c r="S250" s="226">
        <f t="shared" ca="1" si="61"/>
        <v>2.2646406413273366</v>
      </c>
      <c r="T250" s="243">
        <f t="shared" ca="1" si="62"/>
        <v>9</v>
      </c>
      <c r="U250" s="199"/>
      <c r="V250" s="206">
        <f t="shared" si="80"/>
        <v>8</v>
      </c>
      <c r="W250" s="207" t="str">
        <f t="shared" si="63"/>
        <v>Iceland</v>
      </c>
      <c r="X250" s="226">
        <f t="shared" ca="1" si="64"/>
        <v>0.50315281014720548</v>
      </c>
      <c r="Y250" s="226">
        <f t="shared" ca="1" si="65"/>
        <v>5.3531737985160639</v>
      </c>
      <c r="Z250" s="226">
        <f t="shared" ca="1" si="66"/>
        <v>3.9622679792414843E-2</v>
      </c>
      <c r="AA250" s="226">
        <f t="shared" ca="1" si="67"/>
        <v>4.7244927811496655</v>
      </c>
      <c r="AB250" s="226">
        <f t="shared" ca="1" si="68"/>
        <v>0.85749637211969965</v>
      </c>
      <c r="AC250" s="226">
        <f t="shared" ca="1" si="69"/>
        <v>2.4173425293171098</v>
      </c>
      <c r="AD250" s="47">
        <f t="shared" ca="1" si="70"/>
        <v>10</v>
      </c>
    </row>
    <row r="251" spans="1:30" ht="15" customHeight="1">
      <c r="A251" s="199"/>
      <c r="B251" s="206">
        <f t="shared" si="78"/>
        <v>9</v>
      </c>
      <c r="C251" s="207" t="str">
        <f t="shared" si="71"/>
        <v>Israel</v>
      </c>
      <c r="D251" s="226">
        <f t="shared" ca="1" si="72"/>
        <v>0.58073290527868371</v>
      </c>
      <c r="E251" s="226">
        <f t="shared" ca="1" si="73"/>
        <v>5.4723781385322035</v>
      </c>
      <c r="F251" s="226">
        <f t="shared" ca="1" si="74"/>
        <v>4.1405123820952697E-2</v>
      </c>
      <c r="G251" s="226">
        <f t="shared" ca="1" si="75"/>
        <v>7.0112528759860506</v>
      </c>
      <c r="H251" s="226">
        <f t="shared" ca="1" si="76"/>
        <v>0.8907041610973625</v>
      </c>
      <c r="I251" s="226">
        <f t="shared" ca="1" si="77"/>
        <v>3.2848680157610279</v>
      </c>
      <c r="J251" s="243">
        <f t="shared" ca="1" si="54"/>
        <v>5</v>
      </c>
      <c r="K251" s="199"/>
      <c r="L251" s="206">
        <f t="shared" si="79"/>
        <v>9</v>
      </c>
      <c r="M251" s="207" t="str">
        <f t="shared" si="55"/>
        <v>Israel</v>
      </c>
      <c r="N251" s="226">
        <f t="shared" ca="1" si="56"/>
        <v>0.54625609769529404</v>
      </c>
      <c r="O251" s="226">
        <f t="shared" ca="1" si="57"/>
        <v>5.3890311693693942</v>
      </c>
      <c r="P251" s="226">
        <f t="shared" ca="1" si="58"/>
        <v>3.9859410934733448E-2</v>
      </c>
      <c r="Q251" s="226">
        <f t="shared" ca="1" si="59"/>
        <v>4.4584355932527222</v>
      </c>
      <c r="R251" s="226">
        <f t="shared" ca="1" si="60"/>
        <v>0.87158855388079171</v>
      </c>
      <c r="S251" s="226">
        <f t="shared" ca="1" si="61"/>
        <v>2.3270032424857097</v>
      </c>
      <c r="T251" s="243">
        <f t="shared" ca="1" si="62"/>
        <v>8</v>
      </c>
      <c r="U251" s="199"/>
      <c r="V251" s="206">
        <f t="shared" si="80"/>
        <v>9</v>
      </c>
      <c r="W251" s="207" t="str">
        <f t="shared" si="63"/>
        <v>Israel</v>
      </c>
      <c r="X251" s="226">
        <f t="shared" ca="1" si="64"/>
        <v>0.56852645999411022</v>
      </c>
      <c r="Y251" s="226">
        <f t="shared" ca="1" si="65"/>
        <v>5.4443539553197411</v>
      </c>
      <c r="Z251" s="226">
        <f t="shared" ca="1" si="66"/>
        <v>4.0681890073143288E-2</v>
      </c>
      <c r="AA251" s="226">
        <f t="shared" ca="1" si="67"/>
        <v>5.1641244556214678</v>
      </c>
      <c r="AB251" s="226">
        <f t="shared" ca="1" si="68"/>
        <v>0.880419328815082</v>
      </c>
      <c r="AC251" s="226">
        <f t="shared" ca="1" si="69"/>
        <v>2.5981735967283992</v>
      </c>
      <c r="AD251" s="47">
        <f t="shared" ca="1" si="70"/>
        <v>7</v>
      </c>
    </row>
    <row r="252" spans="1:30" ht="15" customHeight="1">
      <c r="A252" s="199"/>
      <c r="B252" s="206">
        <f t="shared" si="78"/>
        <v>10</v>
      </c>
      <c r="C252" s="207" t="str">
        <f t="shared" si="71"/>
        <v>Kazakhstan</v>
      </c>
      <c r="D252" s="226">
        <f t="shared" ca="1" si="72"/>
        <v>0.42309098443726761</v>
      </c>
      <c r="E252" s="226">
        <f t="shared" ca="1" si="73"/>
        <v>5.1838224279909157</v>
      </c>
      <c r="F252" s="226">
        <f t="shared" ca="1" si="74"/>
        <v>3.8352996073369644E-2</v>
      </c>
      <c r="G252" s="226">
        <f t="shared" ca="1" si="75"/>
        <v>5.5018568631494515</v>
      </c>
      <c r="H252" s="226">
        <f t="shared" ca="1" si="76"/>
        <v>0.82504699999989339</v>
      </c>
      <c r="I252" s="226">
        <f t="shared" ca="1" si="77"/>
        <v>2.6801313049252902</v>
      </c>
      <c r="J252" s="243">
        <f t="shared" ca="1" si="54"/>
        <v>12</v>
      </c>
      <c r="K252" s="199"/>
      <c r="L252" s="206">
        <f t="shared" si="79"/>
        <v>10</v>
      </c>
      <c r="M252" s="207" t="str">
        <f t="shared" si="55"/>
        <v>Kazakhstan</v>
      </c>
      <c r="N252" s="226">
        <f t="shared" ca="1" si="56"/>
        <v>0.49055488867400265</v>
      </c>
      <c r="O252" s="226">
        <f t="shared" ca="1" si="57"/>
        <v>5.3127653216390476</v>
      </c>
      <c r="P252" s="226">
        <f t="shared" ca="1" si="58"/>
        <v>3.8973164168869277E-2</v>
      </c>
      <c r="Q252" s="226">
        <f t="shared" ca="1" si="59"/>
        <v>4.1363633721811492</v>
      </c>
      <c r="R252" s="226">
        <f t="shared" ca="1" si="60"/>
        <v>0.85220937794901763</v>
      </c>
      <c r="S252" s="226">
        <f t="shared" ca="1" si="61"/>
        <v>2.1918413330154545</v>
      </c>
      <c r="T252" s="243">
        <f t="shared" ca="1" si="62"/>
        <v>11</v>
      </c>
      <c r="U252" s="199"/>
      <c r="V252" s="206">
        <f t="shared" si="80"/>
        <v>10</v>
      </c>
      <c r="W252" s="207" t="str">
        <f t="shared" si="63"/>
        <v>Kazakhstan</v>
      </c>
      <c r="X252" s="226">
        <f t="shared" ca="1" si="64"/>
        <v>0.46075176686124281</v>
      </c>
      <c r="Y252" s="226">
        <f t="shared" ca="1" si="65"/>
        <v>5.2522672094950931</v>
      </c>
      <c r="Z252" s="226">
        <f t="shared" ca="1" si="66"/>
        <v>3.8653090354164095E-2</v>
      </c>
      <c r="AA252" s="226">
        <f t="shared" ca="1" si="67"/>
        <v>4.4273095932492321</v>
      </c>
      <c r="AB252" s="226">
        <f t="shared" ca="1" si="68"/>
        <v>0.83651294974389256</v>
      </c>
      <c r="AC252" s="226">
        <f t="shared" ca="1" si="69"/>
        <v>2.2906089908519269</v>
      </c>
      <c r="AD252" s="47">
        <f t="shared" ca="1" si="70"/>
        <v>12</v>
      </c>
    </row>
    <row r="253" spans="1:30" ht="15" customHeight="1">
      <c r="A253" s="199"/>
      <c r="B253" s="206">
        <f t="shared" si="78"/>
        <v>11</v>
      </c>
      <c r="C253" s="207" t="str">
        <f t="shared" si="71"/>
        <v>Kyrgyz Republic</v>
      </c>
      <c r="D253" s="226">
        <f t="shared" ca="1" si="72"/>
        <v>0.39546575665107619</v>
      </c>
      <c r="E253" s="226">
        <f t="shared" ca="1" si="73"/>
        <v>5.1190371566028698</v>
      </c>
      <c r="F253" s="226">
        <f t="shared" ca="1" si="74"/>
        <v>3.772088010309059E-2</v>
      </c>
      <c r="G253" s="226">
        <f t="shared" ca="1" si="75"/>
        <v>5.2326713490238781</v>
      </c>
      <c r="H253" s="226">
        <f t="shared" ca="1" si="76"/>
        <v>0.81144896494852281</v>
      </c>
      <c r="I253" s="226">
        <f t="shared" ca="1" si="77"/>
        <v>2.5703500017417937</v>
      </c>
      <c r="J253" s="243">
        <f t="shared" ca="1" si="54"/>
        <v>15</v>
      </c>
      <c r="K253" s="199"/>
      <c r="L253" s="206">
        <f t="shared" si="79"/>
        <v>11</v>
      </c>
      <c r="M253" s="207" t="str">
        <f t="shared" si="55"/>
        <v>Kyrgyz Republic</v>
      </c>
      <c r="N253" s="226">
        <f t="shared" ca="1" si="56"/>
        <v>0.41428768174850283</v>
      </c>
      <c r="O253" s="226">
        <f t="shared" ca="1" si="57"/>
        <v>5.1485031823148812</v>
      </c>
      <c r="P253" s="226">
        <f t="shared" ca="1" si="58"/>
        <v>3.7357849252735546E-2</v>
      </c>
      <c r="Q253" s="226">
        <f t="shared" ca="1" si="59"/>
        <v>3.6786160499549512</v>
      </c>
      <c r="R253" s="226">
        <f t="shared" ca="1" si="60"/>
        <v>0.81688798310652033</v>
      </c>
      <c r="S253" s="226">
        <f t="shared" ca="1" si="61"/>
        <v>1.9933565291096054</v>
      </c>
      <c r="T253" s="243">
        <f t="shared" ca="1" si="62"/>
        <v>18</v>
      </c>
      <c r="U253" s="199"/>
      <c r="V253" s="206">
        <f t="shared" si="80"/>
        <v>11</v>
      </c>
      <c r="W253" s="207" t="str">
        <f t="shared" si="63"/>
        <v>Kyrgyz Republic</v>
      </c>
      <c r="X253" s="226">
        <f t="shared" ca="1" si="64"/>
        <v>0.40700090191944172</v>
      </c>
      <c r="Y253" s="226">
        <f t="shared" ca="1" si="65"/>
        <v>5.128156944609529</v>
      </c>
      <c r="Z253" s="226">
        <f t="shared" ca="1" si="66"/>
        <v>3.7449719185581778E-2</v>
      </c>
      <c r="AA253" s="226">
        <f t="shared" ca="1" si="67"/>
        <v>4.0516744023279401</v>
      </c>
      <c r="AB253" s="226">
        <f t="shared" ca="1" si="68"/>
        <v>0.81047012738107205</v>
      </c>
      <c r="AC253" s="226">
        <f t="shared" ca="1" si="69"/>
        <v>2.1304846237550596</v>
      </c>
      <c r="AD253" s="47">
        <f t="shared" ca="1" si="70"/>
        <v>18</v>
      </c>
    </row>
    <row r="254" spans="1:30" ht="15" customHeight="1">
      <c r="A254" s="199"/>
      <c r="B254" s="206">
        <f t="shared" si="78"/>
        <v>12</v>
      </c>
      <c r="C254" s="207" t="str">
        <f t="shared" si="71"/>
        <v>Liechtenstein</v>
      </c>
      <c r="D254" s="226">
        <f t="shared" ca="1" si="72"/>
        <v>0.38032654791867126</v>
      </c>
      <c r="E254" s="226">
        <f t="shared" ca="1" si="73"/>
        <v>5.1149707569098455</v>
      </c>
      <c r="F254" s="226">
        <f t="shared" ca="1" si="74"/>
        <v>3.7589507889834284E-2</v>
      </c>
      <c r="G254" s="226">
        <f t="shared" ca="1" si="75"/>
        <v>5.0954958975720128</v>
      </c>
      <c r="H254" s="226">
        <f t="shared" ca="1" si="76"/>
        <v>0.80862289497935769</v>
      </c>
      <c r="I254" s="226">
        <f t="shared" ca="1" si="77"/>
        <v>2.5176008712320845</v>
      </c>
      <c r="J254" s="243">
        <f t="shared" ca="1" si="54"/>
        <v>17</v>
      </c>
      <c r="K254" s="199"/>
      <c r="L254" s="206">
        <f t="shared" si="79"/>
        <v>12</v>
      </c>
      <c r="M254" s="207" t="str">
        <f t="shared" si="55"/>
        <v>Liechtenstein</v>
      </c>
      <c r="N254" s="226">
        <f t="shared" ca="1" si="56"/>
        <v>0.42961651891638475</v>
      </c>
      <c r="O254" s="226">
        <f t="shared" ca="1" si="57"/>
        <v>5.1981345107094397</v>
      </c>
      <c r="P254" s="226">
        <f t="shared" ca="1" si="58"/>
        <v>3.7794100072120425E-2</v>
      </c>
      <c r="Q254" s="226">
        <f t="shared" ca="1" si="59"/>
        <v>3.7752720811630383</v>
      </c>
      <c r="R254" s="226">
        <f t="shared" ca="1" si="60"/>
        <v>0.82642729168836515</v>
      </c>
      <c r="S254" s="226">
        <f t="shared" ca="1" si="61"/>
        <v>2.0368697953892734</v>
      </c>
      <c r="T254" s="243">
        <f t="shared" ca="1" si="62"/>
        <v>16</v>
      </c>
      <c r="U254" s="199"/>
      <c r="V254" s="206">
        <f t="shared" si="80"/>
        <v>12</v>
      </c>
      <c r="W254" s="207" t="str">
        <f t="shared" si="63"/>
        <v>Liechtenstein</v>
      </c>
      <c r="X254" s="226">
        <f t="shared" ca="1" si="64"/>
        <v>0.40649624152198188</v>
      </c>
      <c r="Y254" s="226">
        <f t="shared" ca="1" si="65"/>
        <v>5.1598695919518951</v>
      </c>
      <c r="Z254" s="226">
        <f t="shared" ca="1" si="66"/>
        <v>3.7660865891753298E-2</v>
      </c>
      <c r="AA254" s="226">
        <f t="shared" ca="1" si="67"/>
        <v>4.0576251688742406</v>
      </c>
      <c r="AB254" s="226">
        <f t="shared" ca="1" si="68"/>
        <v>0.81503967026599733</v>
      </c>
      <c r="AC254" s="226">
        <f t="shared" ca="1" si="69"/>
        <v>2.1361734565977391</v>
      </c>
      <c r="AD254" s="47">
        <f t="shared" ca="1" si="70"/>
        <v>16</v>
      </c>
    </row>
    <row r="255" spans="1:30" ht="15" customHeight="1">
      <c r="A255" s="199"/>
      <c r="B255" s="206">
        <f t="shared" si="78"/>
        <v>13</v>
      </c>
      <c r="C255" s="207" t="str">
        <f t="shared" si="71"/>
        <v>Moldova</v>
      </c>
      <c r="D255" s="226">
        <f t="shared" ca="1" si="72"/>
        <v>0.42424022418738594</v>
      </c>
      <c r="E255" s="226">
        <f t="shared" ca="1" si="73"/>
        <v>5.1371489523592571</v>
      </c>
      <c r="F255" s="226">
        <f t="shared" ca="1" si="74"/>
        <v>3.8041596429469714E-2</v>
      </c>
      <c r="G255" s="226">
        <f t="shared" ca="1" si="75"/>
        <v>5.4968113859261134</v>
      </c>
      <c r="H255" s="226">
        <f t="shared" ca="1" si="76"/>
        <v>0.81834819238890033</v>
      </c>
      <c r="I255" s="226">
        <f t="shared" ca="1" si="77"/>
        <v>2.6729163919402268</v>
      </c>
      <c r="J255" s="243">
        <f t="shared" ca="1" si="54"/>
        <v>13</v>
      </c>
      <c r="K255" s="199"/>
      <c r="L255" s="206">
        <f t="shared" si="79"/>
        <v>13</v>
      </c>
      <c r="M255" s="207" t="str">
        <f t="shared" si="55"/>
        <v>Moldova</v>
      </c>
      <c r="N255" s="226">
        <f t="shared" ca="1" si="56"/>
        <v>0.43645052137700829</v>
      </c>
      <c r="O255" s="226">
        <f t="shared" ca="1" si="57"/>
        <v>5.1082147529011728</v>
      </c>
      <c r="P255" s="226">
        <f t="shared" ca="1" si="58"/>
        <v>3.7236123833362521E-2</v>
      </c>
      <c r="Q255" s="226">
        <f t="shared" ca="1" si="59"/>
        <v>3.786981211944366</v>
      </c>
      <c r="R255" s="226">
        <f t="shared" ca="1" si="60"/>
        <v>0.81422626584191782</v>
      </c>
      <c r="S255" s="226">
        <f t="shared" ca="1" si="61"/>
        <v>2.0321829011499983</v>
      </c>
      <c r="T255" s="243">
        <f t="shared" ca="1" si="62"/>
        <v>17</v>
      </c>
      <c r="U255" s="199"/>
      <c r="V255" s="206">
        <f t="shared" si="80"/>
        <v>13</v>
      </c>
      <c r="W255" s="207" t="str">
        <f t="shared" si="63"/>
        <v>Moldova</v>
      </c>
      <c r="X255" s="226">
        <f t="shared" ca="1" si="64"/>
        <v>0.43063502648466939</v>
      </c>
      <c r="Y255" s="226">
        <f t="shared" ca="1" si="65"/>
        <v>5.1315207618167396</v>
      </c>
      <c r="Z255" s="226">
        <f t="shared" ca="1" si="66"/>
        <v>3.7632381607503589E-2</v>
      </c>
      <c r="AA255" s="226">
        <f t="shared" ca="1" si="67"/>
        <v>4.2020790313403973</v>
      </c>
      <c r="AB255" s="226">
        <f t="shared" ca="1" si="68"/>
        <v>0.81442322608467199</v>
      </c>
      <c r="AC255" s="226">
        <f t="shared" ca="1" si="69"/>
        <v>2.1897122969112046</v>
      </c>
      <c r="AD255" s="47">
        <f t="shared" ca="1" si="70"/>
        <v>14</v>
      </c>
    </row>
    <row r="256" spans="1:30" ht="15" customHeight="1">
      <c r="A256" s="199"/>
      <c r="B256" s="206">
        <f t="shared" si="78"/>
        <v>14</v>
      </c>
      <c r="C256" s="207" t="str">
        <f t="shared" si="71"/>
        <v>Monaco</v>
      </c>
      <c r="D256" s="226">
        <f t="shared" ca="1" si="72"/>
        <v>0.23312687653135347</v>
      </c>
      <c r="E256" s="226">
        <f t="shared" ca="1" si="73"/>
        <v>3.8463578695660678</v>
      </c>
      <c r="F256" s="226">
        <f t="shared" ca="1" si="74"/>
        <v>2.7904918613802433E-2</v>
      </c>
      <c r="G256" s="226">
        <f t="shared" ca="1" si="75"/>
        <v>3.3573227199102988</v>
      </c>
      <c r="H256" s="226">
        <f t="shared" ca="1" si="76"/>
        <v>0.60028868001644287</v>
      </c>
      <c r="I256" s="226">
        <f t="shared" ca="1" si="77"/>
        <v>1.7116341234408017</v>
      </c>
      <c r="J256" s="243">
        <f t="shared" ca="1" si="54"/>
        <v>24</v>
      </c>
      <c r="K256" s="199"/>
      <c r="L256" s="206">
        <f t="shared" si="79"/>
        <v>14</v>
      </c>
      <c r="M256" s="207" t="str">
        <f t="shared" si="55"/>
        <v>Monaco</v>
      </c>
      <c r="N256" s="226">
        <f t="shared" ca="1" si="56"/>
        <v>0.23679282981870386</v>
      </c>
      <c r="O256" s="226">
        <f t="shared" ca="1" si="57"/>
        <v>3.9297507311277196</v>
      </c>
      <c r="P256" s="226">
        <f t="shared" ca="1" si="58"/>
        <v>2.7981117762369806E-2</v>
      </c>
      <c r="Q256" s="226">
        <f t="shared" ca="1" si="59"/>
        <v>2.3790285249127656</v>
      </c>
      <c r="R256" s="226">
        <f t="shared" ca="1" si="60"/>
        <v>0.61185103830072762</v>
      </c>
      <c r="S256" s="226">
        <f t="shared" ca="1" si="61"/>
        <v>1.3503489679675833</v>
      </c>
      <c r="T256" s="243">
        <f t="shared" ca="1" si="62"/>
        <v>26</v>
      </c>
      <c r="U256" s="199"/>
      <c r="V256" s="206">
        <f t="shared" si="80"/>
        <v>14</v>
      </c>
      <c r="W256" s="207" t="str">
        <f t="shared" si="63"/>
        <v>Monaco</v>
      </c>
      <c r="X256" s="226">
        <f t="shared" ca="1" si="64"/>
        <v>0.23368240106080732</v>
      </c>
      <c r="Y256" s="226">
        <f t="shared" ca="1" si="65"/>
        <v>3.919058562977165</v>
      </c>
      <c r="Z256" s="226">
        <f t="shared" ca="1" si="66"/>
        <v>2.8096575972301908E-2</v>
      </c>
      <c r="AA256" s="226">
        <f t="shared" ca="1" si="67"/>
        <v>2.6072668561970431</v>
      </c>
      <c r="AB256" s="226">
        <f t="shared" ca="1" si="68"/>
        <v>0.60805357162759566</v>
      </c>
      <c r="AC256" s="226">
        <f t="shared" ca="1" si="69"/>
        <v>1.4356205014449093</v>
      </c>
      <c r="AD256" s="47">
        <f t="shared" ca="1" si="70"/>
        <v>24</v>
      </c>
    </row>
    <row r="257" spans="1:30" ht="15" customHeight="1">
      <c r="A257" s="199"/>
      <c r="B257" s="206">
        <f t="shared" si="78"/>
        <v>15</v>
      </c>
      <c r="C257" s="207" t="str">
        <f t="shared" si="71"/>
        <v>Montenegro</v>
      </c>
      <c r="D257" s="226">
        <f t="shared" ca="1" si="72"/>
        <v>0.34231984521679371</v>
      </c>
      <c r="E257" s="226">
        <f t="shared" ca="1" si="73"/>
        <v>5.0511704254826437</v>
      </c>
      <c r="F257" s="226">
        <f t="shared" ca="1" si="74"/>
        <v>3.6893116757497714E-2</v>
      </c>
      <c r="G257" s="226">
        <f t="shared" ca="1" si="75"/>
        <v>4.7334860446384939</v>
      </c>
      <c r="H257" s="226">
        <f t="shared" ca="1" si="76"/>
        <v>0.79364217708546259</v>
      </c>
      <c r="I257" s="226">
        <f t="shared" ca="1" si="77"/>
        <v>2.3721817730210626</v>
      </c>
      <c r="J257" s="243">
        <f t="shared" ca="1" si="54"/>
        <v>18</v>
      </c>
      <c r="K257" s="199"/>
      <c r="L257" s="206">
        <f t="shared" si="79"/>
        <v>15</v>
      </c>
      <c r="M257" s="207" t="str">
        <f t="shared" si="55"/>
        <v>Montenegro</v>
      </c>
      <c r="N257" s="226">
        <f t="shared" ca="1" si="56"/>
        <v>0.45990322582168403</v>
      </c>
      <c r="O257" s="226">
        <f t="shared" ca="1" si="57"/>
        <v>5.2623676968339961</v>
      </c>
      <c r="P257" s="226">
        <f t="shared" ca="1" si="58"/>
        <v>3.8428864168323522E-2</v>
      </c>
      <c r="Q257" s="226">
        <f t="shared" ca="1" si="59"/>
        <v>3.9567701642487814</v>
      </c>
      <c r="R257" s="226">
        <f t="shared" ca="1" si="60"/>
        <v>0.84030740450716745</v>
      </c>
      <c r="S257" s="226">
        <f t="shared" ca="1" si="61"/>
        <v>2.1155048249080233</v>
      </c>
      <c r="T257" s="243">
        <f t="shared" ca="1" si="62"/>
        <v>14</v>
      </c>
      <c r="U257" s="199"/>
      <c r="V257" s="206">
        <f t="shared" si="80"/>
        <v>15</v>
      </c>
      <c r="W257" s="207" t="str">
        <f t="shared" si="63"/>
        <v>Montenegro</v>
      </c>
      <c r="X257" s="226">
        <f t="shared" ca="1" si="64"/>
        <v>0.40477606105955594</v>
      </c>
      <c r="Y257" s="226">
        <f t="shared" ca="1" si="65"/>
        <v>5.1701098902884688</v>
      </c>
      <c r="Z257" s="226">
        <f t="shared" ca="1" si="66"/>
        <v>3.7718511225574264E-2</v>
      </c>
      <c r="AA257" s="226">
        <f t="shared" ca="1" si="67"/>
        <v>4.0497006538358855</v>
      </c>
      <c r="AB257" s="226">
        <f t="shared" ca="1" si="68"/>
        <v>0.81628720488203221</v>
      </c>
      <c r="AC257" s="226">
        <f t="shared" ca="1" si="69"/>
        <v>2.1341508309619477</v>
      </c>
      <c r="AD257" s="47">
        <f t="shared" ca="1" si="70"/>
        <v>17</v>
      </c>
    </row>
    <row r="258" spans="1:30" ht="15" customHeight="1">
      <c r="A258" s="199"/>
      <c r="B258" s="206">
        <f t="shared" si="78"/>
        <v>16</v>
      </c>
      <c r="C258" s="207" t="str">
        <f t="shared" si="71"/>
        <v>North Macedonia</v>
      </c>
      <c r="D258" s="226">
        <f t="shared" ca="1" si="72"/>
        <v>0.38665808380337852</v>
      </c>
      <c r="E258" s="226">
        <f t="shared" ca="1" si="73"/>
        <v>5.1161809621212493</v>
      </c>
      <c r="F258" s="226">
        <f t="shared" ca="1" si="74"/>
        <v>3.7641095696773548E-2</v>
      </c>
      <c r="G258" s="226">
        <f t="shared" ca="1" si="75"/>
        <v>5.152704186236468</v>
      </c>
      <c r="H258" s="226">
        <f t="shared" ca="1" si="76"/>
        <v>0.80973264831571734</v>
      </c>
      <c r="I258" s="226">
        <f t="shared" ca="1" si="77"/>
        <v>2.5395527977656713</v>
      </c>
      <c r="J258" s="243">
        <f t="shared" ca="1" si="54"/>
        <v>16</v>
      </c>
      <c r="K258" s="199"/>
      <c r="L258" s="206">
        <f t="shared" si="79"/>
        <v>16</v>
      </c>
      <c r="M258" s="207" t="str">
        <f t="shared" si="55"/>
        <v>North Macedonia</v>
      </c>
      <c r="N258" s="226">
        <f t="shared" ca="1" si="56"/>
        <v>0.44860702079016723</v>
      </c>
      <c r="O258" s="226">
        <f t="shared" ca="1" si="57"/>
        <v>5.2452301031753858</v>
      </c>
      <c r="P258" s="226">
        <f t="shared" ca="1" si="58"/>
        <v>3.823791225387882E-2</v>
      </c>
      <c r="Q258" s="226">
        <f t="shared" ca="1" si="59"/>
        <v>3.8909859290134872</v>
      </c>
      <c r="R258" s="226">
        <f t="shared" ca="1" si="60"/>
        <v>0.8361319413212176</v>
      </c>
      <c r="S258" s="226">
        <f t="shared" ca="1" si="61"/>
        <v>2.087653811434321</v>
      </c>
      <c r="T258" s="243">
        <f t="shared" ca="1" si="62"/>
        <v>15</v>
      </c>
      <c r="U258" s="199"/>
      <c r="V258" s="206">
        <f t="shared" si="80"/>
        <v>16</v>
      </c>
      <c r="W258" s="207" t="str">
        <f t="shared" si="63"/>
        <v>North Macedonia</v>
      </c>
      <c r="X258" s="226">
        <f t="shared" ca="1" si="64"/>
        <v>0.42007676181157572</v>
      </c>
      <c r="Y258" s="226">
        <f t="shared" ca="1" si="65"/>
        <v>5.1883103098491361</v>
      </c>
      <c r="Z258" s="226">
        <f t="shared" ca="1" si="66"/>
        <v>3.7945172792036956E-2</v>
      </c>
      <c r="AA258" s="226">
        <f t="shared" ca="1" si="67"/>
        <v>4.1516911960966549</v>
      </c>
      <c r="AB258" s="226">
        <f t="shared" ca="1" si="68"/>
        <v>0.82119251345679289</v>
      </c>
      <c r="AC258" s="226">
        <f t="shared" ca="1" si="69"/>
        <v>2.1760336248981353</v>
      </c>
      <c r="AD258" s="47">
        <f t="shared" ca="1" si="70"/>
        <v>15</v>
      </c>
    </row>
    <row r="259" spans="1:30" ht="15" customHeight="1">
      <c r="A259" s="199"/>
      <c r="B259" s="206">
        <f t="shared" si="78"/>
        <v>17</v>
      </c>
      <c r="C259" s="207" t="str">
        <f t="shared" si="71"/>
        <v>Norway</v>
      </c>
      <c r="D259" s="226">
        <f t="shared" ca="1" si="72"/>
        <v>0.74355962554056332</v>
      </c>
      <c r="E259" s="226">
        <f t="shared" ca="1" si="73"/>
        <v>5.7045230025854261</v>
      </c>
      <c r="F259" s="226">
        <f t="shared" ca="1" si="74"/>
        <v>4.4106849798877058E-2</v>
      </c>
      <c r="G259" s="226">
        <f t="shared" ca="1" si="75"/>
        <v>8.5486088029775331</v>
      </c>
      <c r="H259" s="226">
        <f t="shared" ca="1" si="76"/>
        <v>0.94882350355092393</v>
      </c>
      <c r="I259" s="226">
        <f t="shared" ca="1" si="77"/>
        <v>3.8904105402246199</v>
      </c>
      <c r="J259" s="243">
        <f t="shared" ca="1" si="54"/>
        <v>3</v>
      </c>
      <c r="K259" s="199"/>
      <c r="L259" s="206">
        <f t="shared" si="79"/>
        <v>17</v>
      </c>
      <c r="M259" s="207" t="str">
        <f t="shared" si="55"/>
        <v>Norway</v>
      </c>
      <c r="N259" s="226">
        <f t="shared" ca="1" si="56"/>
        <v>0.71779933482165992</v>
      </c>
      <c r="O259" s="226">
        <f t="shared" ca="1" si="57"/>
        <v>5.6688448096437023</v>
      </c>
      <c r="P259" s="226">
        <f t="shared" ca="1" si="58"/>
        <v>4.2890573277011942E-2</v>
      </c>
      <c r="Q259" s="226">
        <f t="shared" ca="1" si="59"/>
        <v>5.4629090334658459</v>
      </c>
      <c r="R259" s="226">
        <f t="shared" ca="1" si="60"/>
        <v>0.93786967396082421</v>
      </c>
      <c r="S259" s="226">
        <f t="shared" ca="1" si="61"/>
        <v>2.7513418158594241</v>
      </c>
      <c r="T259" s="243">
        <f t="shared" ca="1" si="62"/>
        <v>3</v>
      </c>
      <c r="U259" s="199"/>
      <c r="V259" s="206">
        <f t="shared" si="80"/>
        <v>17</v>
      </c>
      <c r="W259" s="207" t="str">
        <f t="shared" si="63"/>
        <v>Norway</v>
      </c>
      <c r="X259" s="226">
        <f t="shared" ca="1" si="64"/>
        <v>0.73696144291100363</v>
      </c>
      <c r="Y259" s="226">
        <f t="shared" ca="1" si="65"/>
        <v>5.6951837165317638</v>
      </c>
      <c r="Z259" s="226">
        <f t="shared" ca="1" si="66"/>
        <v>4.351854755742602E-2</v>
      </c>
      <c r="AA259" s="226">
        <f t="shared" ca="1" si="67"/>
        <v>6.3014186336030811</v>
      </c>
      <c r="AB259" s="226">
        <f t="shared" ca="1" si="68"/>
        <v>0.94180900549677593</v>
      </c>
      <c r="AC259" s="226">
        <f t="shared" ca="1" si="69"/>
        <v>3.065747850041689</v>
      </c>
      <c r="AD259" s="47">
        <f t="shared" ca="1" si="70"/>
        <v>3</v>
      </c>
    </row>
    <row r="260" spans="1:30" ht="15" customHeight="1">
      <c r="A260" s="199"/>
      <c r="B260" s="206">
        <f t="shared" si="78"/>
        <v>18</v>
      </c>
      <c r="C260" s="207" t="str">
        <f t="shared" si="71"/>
        <v>Russia</v>
      </c>
      <c r="D260" s="226">
        <f t="shared" ca="1" si="72"/>
        <v>0.51448295264119315</v>
      </c>
      <c r="E260" s="226">
        <f t="shared" ca="1" si="73"/>
        <v>5.345830877789771</v>
      </c>
      <c r="F260" s="226">
        <f t="shared" ca="1" si="74"/>
        <v>4.008633213936072E-2</v>
      </c>
      <c r="G260" s="226">
        <f t="shared" ca="1" si="75"/>
        <v>6.3751829487798002</v>
      </c>
      <c r="H260" s="226">
        <f t="shared" ca="1" si="76"/>
        <v>0.86233440561748298</v>
      </c>
      <c r="I260" s="226">
        <f t="shared" ca="1" si="77"/>
        <v>3.0298928699085685</v>
      </c>
      <c r="J260" s="243">
        <f t="shared" ca="1" si="54"/>
        <v>9</v>
      </c>
      <c r="K260" s="199"/>
      <c r="L260" s="206">
        <f t="shared" si="79"/>
        <v>18</v>
      </c>
      <c r="M260" s="207" t="str">
        <f t="shared" si="55"/>
        <v>Russia</v>
      </c>
      <c r="N260" s="226">
        <f t="shared" ca="1" si="56"/>
        <v>0.57965861952447539</v>
      </c>
      <c r="O260" s="226">
        <f t="shared" ca="1" si="57"/>
        <v>5.4189035963401926</v>
      </c>
      <c r="P260" s="226">
        <f t="shared" ca="1" si="58"/>
        <v>4.0284344400058354E-2</v>
      </c>
      <c r="Q260" s="226">
        <f t="shared" ca="1" si="59"/>
        <v>4.6471309054877636</v>
      </c>
      <c r="R260" s="226">
        <f t="shared" ca="1" si="60"/>
        <v>0.88088039076078317</v>
      </c>
      <c r="S260" s="226">
        <f t="shared" ca="1" si="61"/>
        <v>2.4044757382997211</v>
      </c>
      <c r="T260" s="243">
        <f t="shared" ca="1" si="62"/>
        <v>7</v>
      </c>
      <c r="U260" s="199"/>
      <c r="V260" s="206">
        <f t="shared" si="80"/>
        <v>18</v>
      </c>
      <c r="W260" s="207" t="str">
        <f t="shared" si="63"/>
        <v>Russia</v>
      </c>
      <c r="X260" s="226">
        <f t="shared" ca="1" si="64"/>
        <v>0.55178151776221396</v>
      </c>
      <c r="Y260" s="226">
        <f t="shared" ca="1" si="65"/>
        <v>5.3892821758154676</v>
      </c>
      <c r="Z260" s="226">
        <f t="shared" ca="1" si="66"/>
        <v>4.0195993168950173E-2</v>
      </c>
      <c r="AA260" s="226">
        <f t="shared" ca="1" si="67"/>
        <v>5.0423734600906815</v>
      </c>
      <c r="AB260" s="226">
        <f t="shared" ca="1" si="68"/>
        <v>0.86990376462930086</v>
      </c>
      <c r="AC260" s="226">
        <f t="shared" ca="1" si="69"/>
        <v>2.5448996202633682</v>
      </c>
      <c r="AD260" s="47">
        <f t="shared" ca="1" si="70"/>
        <v>8</v>
      </c>
    </row>
    <row r="261" spans="1:30" ht="15" customHeight="1">
      <c r="A261" s="199"/>
      <c r="B261" s="206">
        <f t="shared" si="78"/>
        <v>19</v>
      </c>
      <c r="C261" s="207" t="str">
        <f t="shared" si="71"/>
        <v>San Marino</v>
      </c>
      <c r="D261" s="226">
        <f t="shared" ca="1" si="72"/>
        <v>0.20193614228158627</v>
      </c>
      <c r="E261" s="226">
        <f t="shared" ca="1" si="73"/>
        <v>3.0392113655165724</v>
      </c>
      <c r="F261" s="226">
        <f t="shared" ca="1" si="74"/>
        <v>2.2170436476557018E-2</v>
      </c>
      <c r="G261" s="226">
        <f t="shared" ca="1" si="75"/>
        <v>2.8118843418314929</v>
      </c>
      <c r="H261" s="226">
        <f t="shared" ca="1" si="76"/>
        <v>0.4769288967328516</v>
      </c>
      <c r="I261" s="226">
        <f t="shared" ca="1" si="77"/>
        <v>1.4134567293721658</v>
      </c>
      <c r="J261" s="243">
        <f t="shared" ca="1" si="54"/>
        <v>25</v>
      </c>
      <c r="K261" s="199"/>
      <c r="L261" s="206">
        <f t="shared" si="79"/>
        <v>19</v>
      </c>
      <c r="M261" s="207" t="str">
        <f t="shared" si="55"/>
        <v>San Marino</v>
      </c>
      <c r="N261" s="226">
        <f t="shared" ca="1" si="56"/>
        <v>0.24154815222526838</v>
      </c>
      <c r="O261" s="226">
        <f t="shared" ca="1" si="57"/>
        <v>3.9870670482080417</v>
      </c>
      <c r="P261" s="226">
        <f t="shared" ca="1" si="58"/>
        <v>2.8397970203435232E-2</v>
      </c>
      <c r="Q261" s="226">
        <f t="shared" ca="1" si="59"/>
        <v>2.4207543238768796</v>
      </c>
      <c r="R261" s="226">
        <f t="shared" ca="1" si="60"/>
        <v>0.62096617090729833</v>
      </c>
      <c r="S261" s="226">
        <f t="shared" ca="1" si="61"/>
        <v>1.3728632764590383</v>
      </c>
      <c r="T261" s="243">
        <f t="shared" ca="1" si="62"/>
        <v>24</v>
      </c>
      <c r="U261" s="199"/>
      <c r="V261" s="206">
        <f t="shared" si="80"/>
        <v>19</v>
      </c>
      <c r="W261" s="207" t="str">
        <f t="shared" si="63"/>
        <v>San Marino</v>
      </c>
      <c r="X261" s="226">
        <f t="shared" ca="1" si="64"/>
        <v>0.22146161088611416</v>
      </c>
      <c r="Y261" s="226">
        <f t="shared" ca="1" si="65"/>
        <v>3.8817141431170303</v>
      </c>
      <c r="Z261" s="226">
        <f t="shared" ca="1" si="66"/>
        <v>2.7761228137850775E-2</v>
      </c>
      <c r="AA261" s="226">
        <f t="shared" ca="1" si="67"/>
        <v>2.5192315659706805</v>
      </c>
      <c r="AB261" s="226">
        <f t="shared" ca="1" si="68"/>
        <v>0.60079612329379839</v>
      </c>
      <c r="AC261" s="226">
        <f t="shared" ca="1" si="69"/>
        <v>1.3969148896492001</v>
      </c>
      <c r="AD261" s="47">
        <f t="shared" ca="1" si="70"/>
        <v>25</v>
      </c>
    </row>
    <row r="262" spans="1:30" ht="15" customHeight="1">
      <c r="A262" s="199"/>
      <c r="B262" s="206">
        <f t="shared" si="78"/>
        <v>20</v>
      </c>
      <c r="C262" s="207" t="str">
        <f t="shared" si="71"/>
        <v>Serbia</v>
      </c>
      <c r="D262" s="226">
        <f t="shared" ca="1" si="72"/>
        <v>0.45120204852702023</v>
      </c>
      <c r="E262" s="226">
        <f t="shared" ca="1" si="73"/>
        <v>5.2601373479452702</v>
      </c>
      <c r="F262" s="226">
        <f t="shared" ca="1" si="74"/>
        <v>3.9067301621075065E-2</v>
      </c>
      <c r="G262" s="226">
        <f t="shared" ca="1" si="75"/>
        <v>5.7791952048094695</v>
      </c>
      <c r="H262" s="226">
        <f t="shared" ca="1" si="76"/>
        <v>0.84041309155869182</v>
      </c>
      <c r="I262" s="226">
        <f t="shared" ca="1" si="77"/>
        <v>2.7941923704123739</v>
      </c>
      <c r="J262" s="243">
        <f t="shared" ca="1" si="54"/>
        <v>11</v>
      </c>
      <c r="K262" s="199"/>
      <c r="L262" s="206">
        <f t="shared" si="79"/>
        <v>20</v>
      </c>
      <c r="M262" s="207" t="str">
        <f t="shared" si="55"/>
        <v>Serbia</v>
      </c>
      <c r="N262" s="226">
        <f t="shared" ca="1" si="56"/>
        <v>0.46801889999837226</v>
      </c>
      <c r="O262" s="226">
        <f t="shared" ca="1" si="57"/>
        <v>5.2829263893449951</v>
      </c>
      <c r="P262" s="226">
        <f t="shared" ca="1" si="58"/>
        <v>3.862143165725368E-2</v>
      </c>
      <c r="Q262" s="226">
        <f t="shared" ca="1" si="59"/>
        <v>4.0063420328905224</v>
      </c>
      <c r="R262" s="226">
        <f t="shared" ca="1" si="60"/>
        <v>0.84451819476385026</v>
      </c>
      <c r="S262" s="226">
        <f t="shared" ca="1" si="61"/>
        <v>2.1372794134393813</v>
      </c>
      <c r="T262" s="243">
        <f t="shared" ca="1" si="62"/>
        <v>12</v>
      </c>
      <c r="U262" s="199"/>
      <c r="V262" s="206">
        <f t="shared" si="80"/>
        <v>20</v>
      </c>
      <c r="W262" s="207" t="str">
        <f t="shared" si="63"/>
        <v>Serbia</v>
      </c>
      <c r="X262" s="226">
        <f t="shared" ca="1" si="64"/>
        <v>0.4614653369342594</v>
      </c>
      <c r="Y262" s="226">
        <f t="shared" ca="1" si="65"/>
        <v>5.2726765189199378</v>
      </c>
      <c r="Z262" s="226">
        <f t="shared" ca="1" si="66"/>
        <v>3.8796003334700298E-2</v>
      </c>
      <c r="AA262" s="226">
        <f t="shared" ca="1" si="67"/>
        <v>4.4377046842916226</v>
      </c>
      <c r="AB262" s="226">
        <f t="shared" ca="1" si="68"/>
        <v>0.8396058087574837</v>
      </c>
      <c r="AC262" s="226">
        <f t="shared" ca="1" si="69"/>
        <v>2.2968513456774549</v>
      </c>
      <c r="AD262" s="47">
        <f t="shared" ca="1" si="70"/>
        <v>11</v>
      </c>
    </row>
    <row r="263" spans="1:30" ht="15" customHeight="1">
      <c r="A263" s="199"/>
      <c r="B263" s="206">
        <f t="shared" si="78"/>
        <v>21</v>
      </c>
      <c r="C263" s="207" t="str">
        <f t="shared" si="71"/>
        <v>Switzerland</v>
      </c>
      <c r="D263" s="226">
        <f t="shared" ca="1" si="72"/>
        <v>0.68213202192735312</v>
      </c>
      <c r="E263" s="226">
        <f t="shared" ca="1" si="73"/>
        <v>5.6273581509333228</v>
      </c>
      <c r="F263" s="226">
        <f t="shared" ca="1" si="74"/>
        <v>4.3158835178068553E-2</v>
      </c>
      <c r="G263" s="226">
        <f t="shared" ca="1" si="75"/>
        <v>7.9720561249185344</v>
      </c>
      <c r="H263" s="226">
        <f t="shared" ca="1" si="76"/>
        <v>0.92842987856898451</v>
      </c>
      <c r="I263" s="226">
        <f t="shared" ca="1" si="77"/>
        <v>3.664806031258574</v>
      </c>
      <c r="J263" s="243">
        <f t="shared" ca="1" si="54"/>
        <v>4</v>
      </c>
      <c r="K263" s="199"/>
      <c r="L263" s="206">
        <f t="shared" si="79"/>
        <v>21</v>
      </c>
      <c r="M263" s="207" t="str">
        <f t="shared" si="55"/>
        <v>Switzerland</v>
      </c>
      <c r="N263" s="226">
        <f t="shared" ca="1" si="56"/>
        <v>0.6867783525091018</v>
      </c>
      <c r="O263" s="226">
        <f t="shared" ca="1" si="57"/>
        <v>5.6318082716228517</v>
      </c>
      <c r="P263" s="226">
        <f t="shared" ca="1" si="58"/>
        <v>4.243352165539601E-2</v>
      </c>
      <c r="Q263" s="226">
        <f t="shared" ca="1" si="59"/>
        <v>5.2850642500429785</v>
      </c>
      <c r="R263" s="226">
        <f t="shared" ca="1" si="60"/>
        <v>0.92787552320467315</v>
      </c>
      <c r="S263" s="226">
        <f t="shared" ca="1" si="61"/>
        <v>2.6777081144470363</v>
      </c>
      <c r="T263" s="243">
        <f t="shared" ca="1" si="62"/>
        <v>5</v>
      </c>
      <c r="U263" s="199"/>
      <c r="V263" s="206">
        <f t="shared" si="80"/>
        <v>21</v>
      </c>
      <c r="W263" s="207" t="str">
        <f t="shared" si="63"/>
        <v>Switzerland</v>
      </c>
      <c r="X263" s="226">
        <f t="shared" ca="1" si="64"/>
        <v>0.69334011407171636</v>
      </c>
      <c r="Y263" s="226">
        <f t="shared" ca="1" si="65"/>
        <v>5.6403411344831786</v>
      </c>
      <c r="Z263" s="226">
        <f t="shared" ca="1" si="66"/>
        <v>4.2852361350111744E-2</v>
      </c>
      <c r="AA263" s="226">
        <f t="shared" ca="1" si="67"/>
        <v>6.0097984233512278</v>
      </c>
      <c r="AB263" s="226">
        <f t="shared" ca="1" si="68"/>
        <v>0.92739170058653286</v>
      </c>
      <c r="AC263" s="226">
        <f t="shared" ca="1" si="69"/>
        <v>2.947120114751296</v>
      </c>
      <c r="AD263" s="47">
        <f t="shared" ca="1" si="70"/>
        <v>4</v>
      </c>
    </row>
    <row r="264" spans="1:30" ht="15" customHeight="1">
      <c r="A264" s="199"/>
      <c r="B264" s="206">
        <f t="shared" si="78"/>
        <v>22</v>
      </c>
      <c r="C264" s="207" t="str">
        <f t="shared" si="71"/>
        <v>Tajikistan</v>
      </c>
      <c r="D264" s="226">
        <f t="shared" ca="1" si="72"/>
        <v>0.15529827207781163</v>
      </c>
      <c r="E264" s="226">
        <f t="shared" ca="1" si="73"/>
        <v>3.6095687231706712</v>
      </c>
      <c r="F264" s="226">
        <f t="shared" ca="1" si="74"/>
        <v>2.5752837339250333E-2</v>
      </c>
      <c r="G264" s="226">
        <f t="shared" ca="1" si="75"/>
        <v>2.5810894455879838</v>
      </c>
      <c r="H264" s="226">
        <f t="shared" ca="1" si="76"/>
        <v>0.55399325642219543</v>
      </c>
      <c r="I264" s="226">
        <f t="shared" ca="1" si="77"/>
        <v>1.3863052622230096</v>
      </c>
      <c r="J264" s="243">
        <f t="shared" ca="1" si="54"/>
        <v>26</v>
      </c>
      <c r="K264" s="199"/>
      <c r="L264" s="206">
        <f t="shared" si="79"/>
        <v>22</v>
      </c>
      <c r="M264" s="207" t="str">
        <f t="shared" si="55"/>
        <v>Tajikistan</v>
      </c>
      <c r="N264" s="226">
        <f t="shared" ca="1" si="56"/>
        <v>0.18523154878036771</v>
      </c>
      <c r="O264" s="226">
        <f t="shared" ca="1" si="57"/>
        <v>4.5163124849090241</v>
      </c>
      <c r="P264" s="226">
        <f t="shared" ca="1" si="58"/>
        <v>3.1574002610870976E-2</v>
      </c>
      <c r="Q264" s="226">
        <f t="shared" ca="1" si="59"/>
        <v>2.2649549051044993</v>
      </c>
      <c r="R264" s="226">
        <f t="shared" ca="1" si="60"/>
        <v>0.69041510224268976</v>
      </c>
      <c r="S264" s="226">
        <f t="shared" ca="1" si="61"/>
        <v>1.3625075521517211</v>
      </c>
      <c r="T264" s="243">
        <f t="shared" ca="1" si="62"/>
        <v>25</v>
      </c>
      <c r="U264" s="199"/>
      <c r="V264" s="206">
        <f t="shared" si="80"/>
        <v>22</v>
      </c>
      <c r="W264" s="207" t="str">
        <f t="shared" si="63"/>
        <v>Tajikistan</v>
      </c>
      <c r="X264" s="226">
        <f t="shared" ca="1" si="64"/>
        <v>0.16802612557712368</v>
      </c>
      <c r="Y264" s="226">
        <f t="shared" ca="1" si="65"/>
        <v>4.3963131650248268</v>
      </c>
      <c r="Z264" s="226">
        <f t="shared" ca="1" si="66"/>
        <v>3.088136408033074E-2</v>
      </c>
      <c r="AA264" s="226">
        <f t="shared" ca="1" si="67"/>
        <v>2.3297082226352206</v>
      </c>
      <c r="AB264" s="226">
        <f t="shared" ca="1" si="68"/>
        <v>0.66832071439197638</v>
      </c>
      <c r="AC264" s="226">
        <f t="shared" ca="1" si="69"/>
        <v>1.3732678310650757</v>
      </c>
      <c r="AD264" s="47">
        <f t="shared" ca="1" si="70"/>
        <v>26</v>
      </c>
    </row>
    <row r="265" spans="1:30" ht="15" customHeight="1">
      <c r="A265" s="199"/>
      <c r="B265" s="206">
        <f t="shared" si="78"/>
        <v>23</v>
      </c>
      <c r="C265" s="207" t="str">
        <f t="shared" si="71"/>
        <v>Turkey</v>
      </c>
      <c r="D265" s="226">
        <f t="shared" ca="1" si="72"/>
        <v>0.54485907523661159</v>
      </c>
      <c r="E265" s="226">
        <f t="shared" ca="1" si="73"/>
        <v>5.4194452921580423</v>
      </c>
      <c r="F265" s="226">
        <f t="shared" ca="1" si="74"/>
        <v>4.0797659096362675E-2</v>
      </c>
      <c r="G265" s="226">
        <f t="shared" ca="1" si="75"/>
        <v>6.6719561111917018</v>
      </c>
      <c r="H265" s="226">
        <f t="shared" ca="1" si="76"/>
        <v>0.87763642193899305</v>
      </c>
      <c r="I265" s="226">
        <f t="shared" ca="1" si="77"/>
        <v>3.1506194466984869</v>
      </c>
      <c r="J265" s="243">
        <f t="shared" ca="1" si="54"/>
        <v>7</v>
      </c>
      <c r="K265" s="199"/>
      <c r="L265" s="206">
        <f t="shared" si="79"/>
        <v>23</v>
      </c>
      <c r="M265" s="207" t="str">
        <f t="shared" si="55"/>
        <v>Turkey</v>
      </c>
      <c r="N265" s="226">
        <f t="shared" ca="1" si="56"/>
        <v>0.58489616872141192</v>
      </c>
      <c r="O265" s="226">
        <f t="shared" ca="1" si="57"/>
        <v>5.4594049922886976</v>
      </c>
      <c r="P265" s="226">
        <f t="shared" ca="1" si="58"/>
        <v>4.0591511909942847E-2</v>
      </c>
      <c r="Q265" s="226">
        <f t="shared" ca="1" si="59"/>
        <v>4.6867504570295537</v>
      </c>
      <c r="R265" s="226">
        <f t="shared" ca="1" si="60"/>
        <v>0.88759709026689881</v>
      </c>
      <c r="S265" s="226">
        <f t="shared" ca="1" si="61"/>
        <v>2.4243694876990158</v>
      </c>
      <c r="T265" s="243">
        <f t="shared" ca="1" si="62"/>
        <v>6</v>
      </c>
      <c r="U265" s="199"/>
      <c r="V265" s="206">
        <f t="shared" si="80"/>
        <v>23</v>
      </c>
      <c r="W265" s="207" t="str">
        <f t="shared" si="63"/>
        <v>Turkey</v>
      </c>
      <c r="X265" s="226">
        <f t="shared" ca="1" si="64"/>
        <v>0.56966576394635637</v>
      </c>
      <c r="Y265" s="226">
        <f t="shared" ca="1" si="65"/>
        <v>5.4440416815721484</v>
      </c>
      <c r="Z265" s="226">
        <f t="shared" ca="1" si="66"/>
        <v>4.0687485586366395E-2</v>
      </c>
      <c r="AA265" s="226">
        <f t="shared" ca="1" si="67"/>
        <v>5.1712380826680651</v>
      </c>
      <c r="AB265" s="226">
        <f t="shared" ca="1" si="68"/>
        <v>0.88054042441775449</v>
      </c>
      <c r="AC265" s="226">
        <f t="shared" ca="1" si="69"/>
        <v>2.6009008024839915</v>
      </c>
      <c r="AD265" s="47">
        <f t="shared" ca="1" si="70"/>
        <v>6</v>
      </c>
    </row>
    <row r="266" spans="1:30" ht="15" customHeight="1">
      <c r="A266" s="199"/>
      <c r="B266" s="206">
        <f t="shared" si="78"/>
        <v>24</v>
      </c>
      <c r="C266" s="207" t="str">
        <f t="shared" si="71"/>
        <v>Turkmenistan</v>
      </c>
      <c r="D266" s="226">
        <f t="shared" ca="1" si="72"/>
        <v>0.27587065427022822</v>
      </c>
      <c r="E266" s="226">
        <f t="shared" ca="1" si="73"/>
        <v>4.7860769069430171</v>
      </c>
      <c r="F266" s="226">
        <f t="shared" ca="1" si="74"/>
        <v>3.4625263609116115E-2</v>
      </c>
      <c r="G266" s="226">
        <f t="shared" ca="1" si="75"/>
        <v>4.050042186705304</v>
      </c>
      <c r="H266" s="226">
        <f t="shared" ca="1" si="76"/>
        <v>0.74485627694527157</v>
      </c>
      <c r="I266" s="226">
        <f t="shared" ca="1" si="77"/>
        <v>2.0807915004009176</v>
      </c>
      <c r="J266" s="243">
        <f t="shared" ca="1" si="54"/>
        <v>22</v>
      </c>
      <c r="K266" s="199"/>
      <c r="L266" s="206">
        <f t="shared" si="79"/>
        <v>24</v>
      </c>
      <c r="M266" s="207" t="str">
        <f t="shared" si="55"/>
        <v>Turkmenistan</v>
      </c>
      <c r="N266" s="226">
        <f t="shared" ca="1" si="56"/>
        <v>0.27133184574102065</v>
      </c>
      <c r="O266" s="226">
        <f t="shared" ca="1" si="57"/>
        <v>4.0050789206391171</v>
      </c>
      <c r="P266" s="226">
        <f t="shared" ca="1" si="58"/>
        <v>2.8718949293108663E-2</v>
      </c>
      <c r="Q266" s="226">
        <f t="shared" ca="1" si="59"/>
        <v>2.586590881845134</v>
      </c>
      <c r="R266" s="226">
        <f t="shared" ca="1" si="60"/>
        <v>0.62798488227391958</v>
      </c>
      <c r="S266" s="226">
        <f t="shared" ca="1" si="61"/>
        <v>1.4410811002738515</v>
      </c>
      <c r="T266" s="243">
        <f t="shared" ca="1" si="62"/>
        <v>23</v>
      </c>
      <c r="U266" s="199"/>
      <c r="V266" s="206">
        <f t="shared" si="80"/>
        <v>24</v>
      </c>
      <c r="W266" s="207" t="str">
        <f t="shared" si="63"/>
        <v>Turkmenistan</v>
      </c>
      <c r="X266" s="226">
        <f t="shared" ca="1" si="64"/>
        <v>0.27178429794827047</v>
      </c>
      <c r="Y266" s="226">
        <f t="shared" ca="1" si="65"/>
        <v>4.008322363223491</v>
      </c>
      <c r="Z266" s="226">
        <f t="shared" ca="1" si="66"/>
        <v>2.895830561466926E-2</v>
      </c>
      <c r="AA266" s="226">
        <f t="shared" ca="1" si="67"/>
        <v>2.873910986077119</v>
      </c>
      <c r="AB266" s="226">
        <f t="shared" ca="1" si="68"/>
        <v>0.62670274038521889</v>
      </c>
      <c r="AC266" s="226">
        <f t="shared" ca="1" si="69"/>
        <v>1.5501490879303885</v>
      </c>
      <c r="AD266" s="47">
        <f t="shared" ca="1" si="70"/>
        <v>23</v>
      </c>
    </row>
    <row r="267" spans="1:30" ht="15" customHeight="1">
      <c r="A267" s="199"/>
      <c r="B267" s="206">
        <f t="shared" si="78"/>
        <v>25</v>
      </c>
      <c r="C267" s="207" t="str">
        <f t="shared" si="71"/>
        <v>Ukraine</v>
      </c>
      <c r="D267" s="226">
        <f t="shared" ca="1" si="72"/>
        <v>0.31863366147842959</v>
      </c>
      <c r="E267" s="226">
        <f t="shared" ca="1" si="73"/>
        <v>4.8483725440839862</v>
      </c>
      <c r="F267" s="226">
        <f t="shared" ca="1" si="74"/>
        <v>3.5343896746069144E-2</v>
      </c>
      <c r="G267" s="226">
        <f t="shared" ca="1" si="75"/>
        <v>4.4542331779901172</v>
      </c>
      <c r="H267" s="226">
        <f t="shared" ca="1" si="76"/>
        <v>0.76031546330477717</v>
      </c>
      <c r="I267" s="226">
        <f t="shared" ca="1" si="77"/>
        <v>2.242790317824654</v>
      </c>
      <c r="J267" s="243">
        <f t="shared" ca="1" si="54"/>
        <v>19</v>
      </c>
      <c r="K267" s="199"/>
      <c r="L267" s="206">
        <f t="shared" si="79"/>
        <v>25</v>
      </c>
      <c r="M267" s="207" t="str">
        <f t="shared" si="55"/>
        <v>Ukraine</v>
      </c>
      <c r="N267" s="226">
        <f t="shared" ca="1" si="56"/>
        <v>0.39700471535272541</v>
      </c>
      <c r="O267" s="226">
        <f t="shared" ca="1" si="57"/>
        <v>4.2027247286038358</v>
      </c>
      <c r="P267" s="226">
        <f t="shared" ca="1" si="58"/>
        <v>3.0890249763080139E-2</v>
      </c>
      <c r="Q267" s="226">
        <f t="shared" ca="1" si="59"/>
        <v>3.3204122955663076</v>
      </c>
      <c r="R267" s="226">
        <f t="shared" ca="1" si="60"/>
        <v>0.6754637735139809</v>
      </c>
      <c r="S267" s="226">
        <f t="shared" ca="1" si="61"/>
        <v>1.7529684858448178</v>
      </c>
      <c r="T267" s="243">
        <f t="shared" ca="1" si="62"/>
        <v>20</v>
      </c>
      <c r="U267" s="199"/>
      <c r="V267" s="206">
        <f t="shared" si="80"/>
        <v>25</v>
      </c>
      <c r="W267" s="207" t="str">
        <f t="shared" si="63"/>
        <v>Ukraine</v>
      </c>
      <c r="X267" s="226">
        <f t="shared" ca="1" si="64"/>
        <v>0.36075034958396407</v>
      </c>
      <c r="Y267" s="226">
        <f t="shared" ca="1" si="65"/>
        <v>4.1581950050057817</v>
      </c>
      <c r="Z267" s="226">
        <f t="shared" ca="1" si="66"/>
        <v>3.0574238212646335E-2</v>
      </c>
      <c r="AA267" s="226">
        <f t="shared" ca="1" si="67"/>
        <v>3.4796328201070179</v>
      </c>
      <c r="AB267" s="226">
        <f t="shared" ca="1" si="68"/>
        <v>0.66167403328147989</v>
      </c>
      <c r="AC267" s="226">
        <f t="shared" ca="1" si="69"/>
        <v>1.8035265571815513</v>
      </c>
      <c r="AD267" s="47">
        <f t="shared" ca="1" si="70"/>
        <v>20</v>
      </c>
    </row>
    <row r="268" spans="1:30" ht="15" customHeight="1">
      <c r="A268" s="199"/>
      <c r="B268" s="206">
        <f t="shared" si="78"/>
        <v>26</v>
      </c>
      <c r="C268" s="207" t="str">
        <f t="shared" si="71"/>
        <v>United Kingdom</v>
      </c>
      <c r="D268" s="226">
        <f t="shared" ca="1" si="72"/>
        <v>0.90165735331340269</v>
      </c>
      <c r="E268" s="226">
        <f t="shared" ca="1" si="73"/>
        <v>5.8942141696772978</v>
      </c>
      <c r="F268" s="226">
        <f t="shared" ca="1" si="74"/>
        <v>4.6485831805187582E-2</v>
      </c>
      <c r="G268" s="226">
        <f t="shared" ca="1" si="75"/>
        <v>10.029564901061349</v>
      </c>
      <c r="H268" s="226">
        <f t="shared" ca="1" si="76"/>
        <v>1</v>
      </c>
      <c r="I268" s="226">
        <f t="shared" ca="1" si="77"/>
        <v>4.4674319738505179</v>
      </c>
      <c r="J268" s="243">
        <f t="shared" ca="1" si="54"/>
        <v>1</v>
      </c>
      <c r="K268" s="199"/>
      <c r="L268" s="206">
        <f t="shared" si="79"/>
        <v>26</v>
      </c>
      <c r="M268" s="207" t="str">
        <f t="shared" si="55"/>
        <v>United Kingdom</v>
      </c>
      <c r="N268" s="226">
        <f t="shared" ca="1" si="56"/>
        <v>0.91069051111821697</v>
      </c>
      <c r="O268" s="226">
        <f t="shared" ca="1" si="57"/>
        <v>5.8990447024037191</v>
      </c>
      <c r="P268" s="226">
        <f t="shared" ca="1" si="58"/>
        <v>4.5731911872015099E-2</v>
      </c>
      <c r="Q268" s="226">
        <f t="shared" ca="1" si="59"/>
        <v>6.568736385638493</v>
      </c>
      <c r="R268" s="226">
        <f t="shared" ca="1" si="60"/>
        <v>1</v>
      </c>
      <c r="S268" s="226">
        <f t="shared" ca="1" si="61"/>
        <v>3.2078870920153748</v>
      </c>
      <c r="T268" s="243">
        <f t="shared" ca="1" si="62"/>
        <v>1</v>
      </c>
      <c r="U268" s="199"/>
      <c r="V268" s="206">
        <f t="shared" si="80"/>
        <v>26</v>
      </c>
      <c r="W268" s="207" t="str">
        <f t="shared" si="63"/>
        <v>United Kingdom</v>
      </c>
      <c r="X268" s="226">
        <f t="shared" ca="1" si="64"/>
        <v>0.91903551905123593</v>
      </c>
      <c r="Y268" s="226">
        <f t="shared" ca="1" si="65"/>
        <v>5.9105287789138323</v>
      </c>
      <c r="Z268" s="226">
        <f t="shared" ca="1" si="66"/>
        <v>4.620740224762588E-2</v>
      </c>
      <c r="AA268" s="226">
        <f t="shared" ca="1" si="67"/>
        <v>7.5147217044610768</v>
      </c>
      <c r="AB268" s="226">
        <f t="shared" ca="1" si="68"/>
        <v>1</v>
      </c>
      <c r="AC268" s="226">
        <f t="shared" ca="1" si="69"/>
        <v>3.5565127302193194</v>
      </c>
      <c r="AD268" s="47">
        <f t="shared" ca="1" si="70"/>
        <v>1</v>
      </c>
    </row>
    <row r="269" spans="1:30" ht="15" customHeight="1">
      <c r="A269" s="199"/>
      <c r="B269" s="206">
        <f t="shared" si="78"/>
        <v>27</v>
      </c>
      <c r="C269" s="207" t="str">
        <f t="shared" si="71"/>
        <v>Uzbekistan</v>
      </c>
      <c r="D269" s="226">
        <f t="shared" ca="1" si="72"/>
        <v>0.30679091465832942</v>
      </c>
      <c r="E269" s="226">
        <f t="shared" ca="1" si="73"/>
        <v>4.9097638470868352</v>
      </c>
      <c r="F269" s="226">
        <f t="shared" ca="1" si="74"/>
        <v>3.5682823966972158E-2</v>
      </c>
      <c r="G269" s="226">
        <f t="shared" ca="1" si="75"/>
        <v>4.3681731582653356</v>
      </c>
      <c r="H269" s="226">
        <f t="shared" ca="1" si="76"/>
        <v>0.76760644224914421</v>
      </c>
      <c r="I269" s="226">
        <f t="shared" ca="1" si="77"/>
        <v>2.2165775308687583</v>
      </c>
      <c r="J269" s="243">
        <f t="shared" ca="1" si="54"/>
        <v>20</v>
      </c>
      <c r="K269" s="199"/>
      <c r="L269" s="206">
        <f t="shared" si="79"/>
        <v>27</v>
      </c>
      <c r="M269" s="207" t="str">
        <f t="shared" si="55"/>
        <v>Uzbekistan</v>
      </c>
      <c r="N269" s="226">
        <f t="shared" ca="1" si="56"/>
        <v>0.35641729142961043</v>
      </c>
      <c r="O269" s="226">
        <f t="shared" ca="1" si="57"/>
        <v>4.9891500419254253</v>
      </c>
      <c r="P269" s="226">
        <f t="shared" ca="1" si="58"/>
        <v>3.5899048425479245E-2</v>
      </c>
      <c r="Q269" s="226">
        <f t="shared" ca="1" si="59"/>
        <v>3.3215616126205747</v>
      </c>
      <c r="R269" s="226">
        <f t="shared" ca="1" si="60"/>
        <v>0.78498901436585444</v>
      </c>
      <c r="S269" s="226">
        <f t="shared" ca="1" si="61"/>
        <v>1.8348588179373317</v>
      </c>
      <c r="T269" s="243">
        <f t="shared" ca="1" si="62"/>
        <v>19</v>
      </c>
      <c r="U269" s="199"/>
      <c r="V269" s="206">
        <f t="shared" si="80"/>
        <v>27</v>
      </c>
      <c r="W269" s="207" t="str">
        <f t="shared" si="63"/>
        <v>Uzbekistan</v>
      </c>
      <c r="X269" s="226">
        <f t="shared" ca="1" si="64"/>
        <v>0.33176648590718166</v>
      </c>
      <c r="Y269" s="226">
        <f t="shared" ca="1" si="65"/>
        <v>4.93836846367733</v>
      </c>
      <c r="Z269" s="226">
        <f t="shared" ca="1" si="66"/>
        <v>3.5656629748296226E-2</v>
      </c>
      <c r="AA269" s="226">
        <f t="shared" ca="1" si="67"/>
        <v>3.5212692484494461</v>
      </c>
      <c r="AB269" s="226">
        <f t="shared" ca="1" si="68"/>
        <v>0.77166488514571818</v>
      </c>
      <c r="AC269" s="226">
        <f t="shared" ca="1" si="69"/>
        <v>1.9021561591224816</v>
      </c>
      <c r="AD269" s="47">
        <f t="shared" ca="1" si="70"/>
        <v>19</v>
      </c>
    </row>
    <row r="270" spans="1:30">
      <c r="A270" s="187"/>
      <c r="B270" s="187"/>
      <c r="C270" s="187"/>
      <c r="D270" s="187"/>
      <c r="E270" s="187"/>
      <c r="F270" s="187"/>
      <c r="G270" s="187"/>
      <c r="H270" s="187"/>
      <c r="I270" s="187"/>
      <c r="J270" s="187"/>
      <c r="K270" s="187"/>
      <c r="L270" s="187"/>
      <c r="M270" s="187"/>
      <c r="N270" s="187"/>
      <c r="O270" s="187"/>
      <c r="P270" s="187"/>
      <c r="Q270" s="187"/>
      <c r="R270" s="187"/>
      <c r="S270" s="187"/>
      <c r="T270" s="187"/>
      <c r="U270" s="187"/>
      <c r="V270" s="187"/>
      <c r="W270" s="187"/>
      <c r="X270" s="187"/>
      <c r="Y270" s="187"/>
      <c r="Z270" s="187"/>
      <c r="AA270" s="187"/>
      <c r="AB270" s="187"/>
      <c r="AC270" s="187"/>
    </row>
    <row r="271" spans="1:30">
      <c r="A271" s="187"/>
      <c r="B271" s="187"/>
      <c r="C271" s="187"/>
      <c r="D271" s="187"/>
      <c r="E271" s="187"/>
      <c r="F271" s="187"/>
      <c r="G271" s="187"/>
      <c r="H271" s="187"/>
      <c r="I271" s="187"/>
      <c r="J271" s="187"/>
      <c r="K271" s="187"/>
      <c r="L271" s="187"/>
      <c r="M271" s="187"/>
      <c r="N271" s="187"/>
      <c r="O271" s="187"/>
      <c r="P271" s="187"/>
      <c r="Q271" s="187"/>
      <c r="R271" s="187"/>
      <c r="S271" s="187"/>
      <c r="T271" s="187"/>
      <c r="U271" s="187"/>
      <c r="V271" s="187"/>
      <c r="W271" s="187"/>
      <c r="X271" s="187"/>
      <c r="Y271" s="187"/>
      <c r="Z271" s="187"/>
      <c r="AA271" s="187"/>
      <c r="AB271" s="187"/>
      <c r="AC271" s="187"/>
    </row>
    <row r="272" spans="1:30">
      <c r="A272" s="187"/>
      <c r="B272" s="187"/>
      <c r="C272" s="187"/>
      <c r="D272" s="187"/>
      <c r="E272" s="187"/>
      <c r="F272" s="187"/>
      <c r="G272" s="187"/>
      <c r="H272" s="187"/>
      <c r="I272" s="187"/>
      <c r="J272" s="187"/>
      <c r="K272" s="187"/>
      <c r="L272" s="187"/>
      <c r="M272" s="187"/>
      <c r="N272" s="187"/>
      <c r="O272" s="187"/>
      <c r="P272" s="187"/>
      <c r="Q272" s="187"/>
      <c r="R272" s="187"/>
      <c r="S272" s="187"/>
      <c r="T272" s="187"/>
      <c r="U272" s="187"/>
      <c r="V272" s="187"/>
      <c r="W272" s="187"/>
      <c r="X272" s="187"/>
      <c r="Y272" s="187"/>
      <c r="Z272" s="187"/>
      <c r="AA272" s="187"/>
      <c r="AB272" s="187"/>
      <c r="AC272" s="187"/>
    </row>
    <row r="273" spans="1:29">
      <c r="A273" s="187"/>
      <c r="B273" s="187"/>
      <c r="C273" s="187"/>
      <c r="D273" s="187"/>
      <c r="E273" s="187"/>
      <c r="F273" s="187"/>
      <c r="G273" s="187"/>
      <c r="H273" s="187"/>
      <c r="I273" s="187"/>
      <c r="J273" s="187"/>
      <c r="K273" s="187"/>
      <c r="L273" s="187"/>
      <c r="M273" s="187"/>
      <c r="N273" s="187"/>
      <c r="O273" s="187"/>
      <c r="P273" s="187"/>
      <c r="Q273" s="187"/>
      <c r="R273" s="187"/>
      <c r="S273" s="187"/>
      <c r="T273" s="187"/>
      <c r="U273" s="187"/>
      <c r="V273" s="187"/>
      <c r="W273" s="187"/>
      <c r="X273" s="187"/>
      <c r="Y273" s="187"/>
      <c r="Z273" s="187"/>
      <c r="AA273" s="187"/>
      <c r="AB273" s="187"/>
      <c r="AC273" s="187"/>
    </row>
    <row r="274" spans="1:29">
      <c r="A274" s="187"/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87"/>
      <c r="N274" s="187"/>
      <c r="O274" s="187"/>
      <c r="P274" s="187"/>
      <c r="Q274" s="187"/>
      <c r="R274" s="187"/>
      <c r="S274" s="187"/>
      <c r="T274" s="187"/>
      <c r="U274" s="187"/>
      <c r="V274" s="187"/>
      <c r="W274" s="187"/>
      <c r="X274" s="187"/>
      <c r="Y274" s="187"/>
      <c r="Z274" s="187"/>
      <c r="AA274" s="187"/>
      <c r="AB274" s="187"/>
      <c r="AC274" s="187"/>
    </row>
    <row r="275" spans="1:29">
      <c r="A275" s="187"/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87"/>
      <c r="N275" s="187"/>
      <c r="O275" s="187"/>
      <c r="P275" s="187"/>
      <c r="Q275" s="187"/>
      <c r="R275" s="187"/>
      <c r="S275" s="187"/>
      <c r="T275" s="187"/>
      <c r="U275" s="187"/>
      <c r="V275" s="187"/>
      <c r="W275" s="187"/>
      <c r="X275" s="187"/>
      <c r="Y275" s="187"/>
      <c r="Z275" s="187"/>
      <c r="AA275" s="187"/>
      <c r="AB275" s="187"/>
      <c r="AC275" s="187"/>
    </row>
    <row r="276" spans="1:29">
      <c r="A276" s="187"/>
      <c r="B276" s="187"/>
      <c r="C276" s="187"/>
      <c r="D276" s="187"/>
      <c r="E276" s="187"/>
      <c r="F276" s="187"/>
      <c r="G276" s="187"/>
      <c r="H276" s="187"/>
      <c r="I276" s="187"/>
      <c r="J276" s="187"/>
      <c r="K276" s="187"/>
      <c r="L276" s="187"/>
      <c r="M276" s="187"/>
      <c r="N276" s="187"/>
      <c r="O276" s="187"/>
      <c r="P276" s="187"/>
      <c r="Q276" s="187"/>
      <c r="R276" s="187"/>
      <c r="S276" s="187"/>
      <c r="T276" s="187"/>
      <c r="U276" s="187"/>
      <c r="V276" s="187"/>
      <c r="W276" s="187"/>
      <c r="X276" s="187"/>
      <c r="Y276" s="187"/>
      <c r="Z276" s="187"/>
      <c r="AA276" s="187"/>
      <c r="AB276" s="187"/>
      <c r="AC276" s="187"/>
    </row>
    <row r="277" spans="1:29">
      <c r="A277" s="187"/>
      <c r="B277" s="187"/>
      <c r="C277" s="187"/>
      <c r="D277" s="187"/>
      <c r="E277" s="187"/>
      <c r="F277" s="187"/>
      <c r="G277" s="187"/>
      <c r="H277" s="187"/>
      <c r="I277" s="187"/>
      <c r="J277" s="187"/>
      <c r="K277" s="187"/>
      <c r="L277" s="187"/>
      <c r="M277" s="187"/>
      <c r="N277" s="187"/>
      <c r="O277" s="187"/>
      <c r="P277" s="187"/>
      <c r="Q277" s="187"/>
      <c r="R277" s="187"/>
      <c r="S277" s="187"/>
      <c r="T277" s="187"/>
      <c r="U277" s="187"/>
      <c r="V277" s="187"/>
      <c r="W277" s="187"/>
      <c r="X277" s="187"/>
      <c r="Y277" s="187"/>
      <c r="Z277" s="187"/>
      <c r="AA277" s="187"/>
      <c r="AB277" s="187"/>
      <c r="AC277" s="187"/>
    </row>
    <row r="278" spans="1:29">
      <c r="A278" s="187"/>
      <c r="B278" s="187"/>
      <c r="C278" s="187"/>
      <c r="D278" s="187"/>
      <c r="E278" s="187"/>
      <c r="F278" s="187"/>
      <c r="G278" s="187"/>
      <c r="H278" s="187"/>
      <c r="I278" s="187"/>
      <c r="J278" s="187"/>
      <c r="K278" s="187"/>
      <c r="L278" s="187"/>
      <c r="M278" s="187"/>
      <c r="N278" s="187"/>
      <c r="O278" s="187"/>
      <c r="P278" s="187"/>
      <c r="Q278" s="187"/>
      <c r="R278" s="187"/>
      <c r="S278" s="187"/>
      <c r="T278" s="187"/>
      <c r="U278" s="187"/>
      <c r="V278" s="187"/>
      <c r="W278" s="187"/>
      <c r="X278" s="187"/>
      <c r="Y278" s="187"/>
      <c r="Z278" s="187"/>
      <c r="AA278" s="187"/>
      <c r="AB278" s="187"/>
      <c r="AC278" s="187"/>
    </row>
    <row r="279" spans="1:29">
      <c r="A279" s="187"/>
      <c r="B279" s="187"/>
      <c r="C279" s="187"/>
      <c r="D279" s="187"/>
      <c r="E279" s="187"/>
      <c r="F279" s="187"/>
      <c r="G279" s="187"/>
      <c r="H279" s="187"/>
      <c r="I279" s="187"/>
      <c r="J279" s="187"/>
      <c r="K279" s="187"/>
      <c r="L279" s="187"/>
      <c r="M279" s="187"/>
      <c r="N279" s="187"/>
      <c r="O279" s="187"/>
      <c r="P279" s="187"/>
      <c r="Q279" s="187"/>
      <c r="R279" s="187"/>
      <c r="S279" s="187"/>
      <c r="T279" s="187"/>
      <c r="U279" s="187"/>
      <c r="V279" s="187"/>
      <c r="W279" s="187"/>
      <c r="X279" s="187"/>
      <c r="Y279" s="187"/>
      <c r="Z279" s="187"/>
      <c r="AA279" s="187"/>
      <c r="AB279" s="187"/>
      <c r="AC279" s="187"/>
    </row>
    <row r="280" spans="1:29">
      <c r="A280" s="187"/>
      <c r="B280" s="187"/>
      <c r="C280" s="187"/>
      <c r="D280" s="187"/>
      <c r="E280" s="187"/>
      <c r="F280" s="187"/>
      <c r="G280" s="187"/>
      <c r="H280" s="187"/>
      <c r="I280" s="187"/>
      <c r="J280" s="187"/>
      <c r="K280" s="187"/>
      <c r="L280" s="187"/>
      <c r="M280" s="187"/>
      <c r="N280" s="187"/>
      <c r="O280" s="187"/>
      <c r="P280" s="187"/>
      <c r="Q280" s="187"/>
      <c r="R280" s="187"/>
      <c r="S280" s="187"/>
      <c r="T280" s="187"/>
      <c r="U280" s="187"/>
      <c r="V280" s="187"/>
      <c r="W280" s="187"/>
      <c r="X280" s="187"/>
      <c r="Y280" s="187"/>
      <c r="Z280" s="187"/>
      <c r="AA280" s="187"/>
      <c r="AB280" s="187"/>
      <c r="AC280" s="187"/>
    </row>
    <row r="281" spans="1:29">
      <c r="A281" s="187"/>
      <c r="B281" s="187"/>
      <c r="C281" s="187"/>
      <c r="D281" s="187"/>
      <c r="E281" s="187"/>
      <c r="F281" s="187"/>
      <c r="G281" s="187"/>
      <c r="H281" s="187"/>
      <c r="I281" s="187"/>
      <c r="J281" s="187"/>
      <c r="K281" s="187"/>
      <c r="L281" s="187"/>
      <c r="M281" s="187"/>
      <c r="N281" s="187"/>
      <c r="O281" s="187"/>
      <c r="P281" s="187"/>
      <c r="Q281" s="187"/>
      <c r="R281" s="187"/>
      <c r="S281" s="187"/>
      <c r="T281" s="187"/>
      <c r="U281" s="187"/>
      <c r="V281" s="187"/>
      <c r="W281" s="187"/>
      <c r="X281" s="187"/>
      <c r="Y281" s="187"/>
      <c r="Z281" s="187"/>
      <c r="AA281" s="187"/>
      <c r="AB281" s="187"/>
      <c r="AC281" s="187"/>
    </row>
    <row r="282" spans="1:29">
      <c r="A282" s="187"/>
      <c r="B282" s="187"/>
      <c r="C282" s="187"/>
      <c r="D282" s="187"/>
      <c r="E282" s="187"/>
      <c r="F282" s="187"/>
      <c r="G282" s="187"/>
      <c r="H282" s="187"/>
      <c r="I282" s="187"/>
      <c r="J282" s="187"/>
      <c r="K282" s="187"/>
      <c r="L282" s="187"/>
      <c r="M282" s="187"/>
      <c r="N282" s="187"/>
      <c r="O282" s="187"/>
      <c r="P282" s="187"/>
      <c r="Q282" s="187"/>
      <c r="R282" s="187"/>
      <c r="S282" s="187"/>
      <c r="T282" s="187"/>
      <c r="U282" s="187"/>
      <c r="V282" s="187"/>
      <c r="W282" s="187"/>
      <c r="X282" s="187"/>
      <c r="Y282" s="187"/>
      <c r="Z282" s="187"/>
      <c r="AA282" s="187"/>
      <c r="AB282" s="187"/>
      <c r="AC282" s="187"/>
    </row>
    <row r="283" spans="1:29">
      <c r="A283" s="187"/>
      <c r="B283" s="187"/>
      <c r="C283" s="187"/>
      <c r="D283" s="187"/>
      <c r="E283" s="187"/>
      <c r="F283" s="187"/>
      <c r="G283" s="187"/>
      <c r="H283" s="187"/>
      <c r="I283" s="187"/>
      <c r="J283" s="187"/>
      <c r="K283" s="187"/>
      <c r="L283" s="187"/>
      <c r="M283" s="187"/>
      <c r="N283" s="187"/>
      <c r="O283" s="187"/>
      <c r="P283" s="187"/>
      <c r="Q283" s="187"/>
      <c r="R283" s="187"/>
      <c r="S283" s="187"/>
      <c r="T283" s="187"/>
      <c r="U283" s="187"/>
      <c r="V283" s="187"/>
      <c r="W283" s="187"/>
      <c r="X283" s="187"/>
      <c r="Y283" s="187"/>
      <c r="Z283" s="187"/>
      <c r="AA283" s="187"/>
      <c r="AB283" s="187"/>
      <c r="AC283" s="187"/>
    </row>
    <row r="284" spans="1:29">
      <c r="A284" s="187"/>
      <c r="B284" s="187"/>
      <c r="C284" s="187"/>
      <c r="D284" s="187"/>
      <c r="E284" s="187"/>
      <c r="F284" s="187"/>
      <c r="G284" s="187"/>
      <c r="H284" s="187"/>
      <c r="I284" s="187"/>
      <c r="J284" s="187"/>
      <c r="K284" s="187"/>
      <c r="L284" s="187"/>
      <c r="M284" s="187"/>
      <c r="N284" s="187"/>
      <c r="O284" s="187"/>
      <c r="P284" s="187"/>
      <c r="Q284" s="187"/>
      <c r="R284" s="187"/>
      <c r="S284" s="187"/>
      <c r="T284" s="187"/>
      <c r="U284" s="187"/>
      <c r="V284" s="187"/>
      <c r="W284" s="187"/>
      <c r="X284" s="187"/>
      <c r="Y284" s="187"/>
      <c r="Z284" s="187"/>
      <c r="AA284" s="187"/>
      <c r="AB284" s="187"/>
      <c r="AC284" s="187"/>
    </row>
    <row r="285" spans="1:29">
      <c r="A285" s="187"/>
      <c r="B285" s="187"/>
      <c r="C285" s="187"/>
      <c r="D285" s="187"/>
      <c r="E285" s="187"/>
      <c r="F285" s="187"/>
      <c r="G285" s="187"/>
      <c r="H285" s="187"/>
      <c r="I285" s="187"/>
      <c r="J285" s="187"/>
      <c r="K285" s="187"/>
      <c r="L285" s="187"/>
      <c r="M285" s="187"/>
      <c r="N285" s="187"/>
      <c r="O285" s="187"/>
      <c r="P285" s="187"/>
      <c r="Q285" s="187"/>
      <c r="R285" s="187"/>
      <c r="S285" s="187"/>
      <c r="T285" s="187"/>
      <c r="U285" s="187"/>
      <c r="V285" s="187"/>
      <c r="W285" s="187"/>
      <c r="X285" s="187"/>
      <c r="Y285" s="187"/>
      <c r="Z285" s="187"/>
      <c r="AA285" s="187"/>
      <c r="AB285" s="187"/>
      <c r="AC285" s="187"/>
    </row>
    <row r="286" spans="1:29">
      <c r="A286" s="187"/>
      <c r="B286" s="187"/>
      <c r="C286" s="187"/>
      <c r="D286" s="187"/>
      <c r="E286" s="187"/>
      <c r="F286" s="187"/>
      <c r="G286" s="187"/>
      <c r="H286" s="187"/>
      <c r="I286" s="187"/>
      <c r="J286" s="187"/>
      <c r="K286" s="187"/>
      <c r="L286" s="187"/>
      <c r="M286" s="187"/>
      <c r="N286" s="187"/>
      <c r="O286" s="187"/>
      <c r="P286" s="187"/>
      <c r="Q286" s="187"/>
      <c r="R286" s="187"/>
      <c r="S286" s="187"/>
      <c r="T286" s="187"/>
      <c r="U286" s="187"/>
      <c r="V286" s="187"/>
      <c r="W286" s="187"/>
      <c r="X286" s="187"/>
      <c r="Y286" s="187"/>
      <c r="Z286" s="187"/>
      <c r="AA286" s="187"/>
      <c r="AB286" s="187"/>
      <c r="AC286" s="187"/>
    </row>
    <row r="287" spans="1:29">
      <c r="A287" s="187"/>
      <c r="B287" s="187"/>
      <c r="C287" s="187"/>
      <c r="D287" s="187"/>
      <c r="E287" s="187"/>
      <c r="F287" s="187"/>
      <c r="G287" s="187"/>
      <c r="H287" s="187"/>
      <c r="I287" s="187"/>
      <c r="J287" s="187"/>
      <c r="K287" s="187"/>
      <c r="L287" s="187"/>
      <c r="M287" s="187"/>
      <c r="N287" s="187"/>
      <c r="O287" s="187"/>
      <c r="P287" s="187"/>
      <c r="Q287" s="187"/>
      <c r="R287" s="187"/>
      <c r="S287" s="187"/>
      <c r="T287" s="187"/>
      <c r="U287" s="187"/>
      <c r="V287" s="187"/>
      <c r="W287" s="187"/>
      <c r="X287" s="187"/>
      <c r="Y287" s="187"/>
      <c r="Z287" s="187"/>
      <c r="AA287" s="187"/>
      <c r="AB287" s="187"/>
      <c r="AC287" s="187"/>
    </row>
  </sheetData>
  <sheetProtection algorithmName="SHA-512" hashValue="4f5ZXJcN3tRD7PaI1hAJhCQM66Jy6jNAeC25/a7SxavawXm4dYe2jyzK6L9LRNEyuJ5ankmXXkNHn9xTpDOg/w==" saltValue="nHSingF4bbxDhrJKPUFXxQ==" spinCount="100000" sheet="1" formatCells="0" formatColumns="0" formatRows="0" insertColumns="0" insertRows="0" insertHyperlinks="0" deleteColumns="0" deleteRows="0" sort="0" autoFilter="0" pivotTables="0"/>
  <mergeCells count="78">
    <mergeCell ref="A2:H2"/>
    <mergeCell ref="K2:R2"/>
    <mergeCell ref="U2:AB2"/>
    <mergeCell ref="A1:AC1"/>
    <mergeCell ref="U6:V6"/>
    <mergeCell ref="V8:AC8"/>
    <mergeCell ref="U9:U12"/>
    <mergeCell ref="U3:AC3"/>
    <mergeCell ref="U4:V4"/>
    <mergeCell ref="W4:AC4"/>
    <mergeCell ref="U5:V5"/>
    <mergeCell ref="AD241:AD242"/>
    <mergeCell ref="K3:S3"/>
    <mergeCell ref="K4:L4"/>
    <mergeCell ref="M4:S4"/>
    <mergeCell ref="K5:L5"/>
    <mergeCell ref="K6:L6"/>
    <mergeCell ref="L8:S8"/>
    <mergeCell ref="L178:S178"/>
    <mergeCell ref="L179:S179"/>
    <mergeCell ref="K181:K183"/>
    <mergeCell ref="O236:P236"/>
    <mergeCell ref="R236:S236"/>
    <mergeCell ref="K9:K12"/>
    <mergeCell ref="L64:S64"/>
    <mergeCell ref="K65:K68"/>
    <mergeCell ref="L121:M121"/>
    <mergeCell ref="T241:T242"/>
    <mergeCell ref="K242:K244"/>
    <mergeCell ref="L237:M237"/>
    <mergeCell ref="O237:P237"/>
    <mergeCell ref="L238:M238"/>
    <mergeCell ref="O238:P238"/>
    <mergeCell ref="L240:S240"/>
    <mergeCell ref="L241:L242"/>
    <mergeCell ref="M241:M242"/>
    <mergeCell ref="N241:N242"/>
    <mergeCell ref="S241:S242"/>
    <mergeCell ref="J241:J242"/>
    <mergeCell ref="A242:A244"/>
    <mergeCell ref="Q241:Q242"/>
    <mergeCell ref="R241:R242"/>
    <mergeCell ref="O241:O242"/>
    <mergeCell ref="P241:P242"/>
    <mergeCell ref="B240:I240"/>
    <mergeCell ref="B241:B242"/>
    <mergeCell ref="C241:C242"/>
    <mergeCell ref="D241:D242"/>
    <mergeCell ref="E241:E242"/>
    <mergeCell ref="F241:F242"/>
    <mergeCell ref="G241:G242"/>
    <mergeCell ref="H241:H242"/>
    <mergeCell ref="I241:I242"/>
    <mergeCell ref="A181:A183"/>
    <mergeCell ref="E236:F236"/>
    <mergeCell ref="H236:I236"/>
    <mergeCell ref="B238:C238"/>
    <mergeCell ref="E238:F238"/>
    <mergeCell ref="B237:C237"/>
    <mergeCell ref="E237:F237"/>
    <mergeCell ref="B236:C236"/>
    <mergeCell ref="L236:M236"/>
    <mergeCell ref="B122:I122"/>
    <mergeCell ref="B178:I178"/>
    <mergeCell ref="B179:I179"/>
    <mergeCell ref="L122:S122"/>
    <mergeCell ref="A123:A126"/>
    <mergeCell ref="K123:K126"/>
    <mergeCell ref="B121:C121"/>
    <mergeCell ref="B64:I64"/>
    <mergeCell ref="A65:A68"/>
    <mergeCell ref="B8:I8"/>
    <mergeCell ref="A9:A12"/>
    <mergeCell ref="A5:B5"/>
    <mergeCell ref="A6:B6"/>
    <mergeCell ref="A3:I3"/>
    <mergeCell ref="A4:B4"/>
    <mergeCell ref="C4:I4"/>
  </mergeCells>
  <conditionalFormatting sqref="B37:B63">
    <cfRule type="notContainsBlanks" dxfId="53" priority="84">
      <formula>LEN(TRIM(B37))&gt;0</formula>
    </cfRule>
  </conditionalFormatting>
  <conditionalFormatting sqref="A178">
    <cfRule type="notContainsBlanks" dxfId="52" priority="52">
      <formula>LEN(TRIM(A178))&gt;0</formula>
    </cfRule>
  </conditionalFormatting>
  <conditionalFormatting sqref="B66:B119">
    <cfRule type="notContainsBlanks" dxfId="51" priority="49">
      <formula>LEN(TRIM(B66))&gt;0</formula>
    </cfRule>
  </conditionalFormatting>
  <conditionalFormatting sqref="B121">
    <cfRule type="notContainsBlanks" dxfId="50" priority="47">
      <formula>LEN(TRIM(B121))&gt;0</formula>
    </cfRule>
  </conditionalFormatting>
  <conditionalFormatting sqref="B124:B177">
    <cfRule type="notContainsBlanks" dxfId="49" priority="46">
      <formula>LEN(TRIM(B124))&gt;0</formula>
    </cfRule>
  </conditionalFormatting>
  <conditionalFormatting sqref="B181:B234">
    <cfRule type="notContainsBlanks" dxfId="48" priority="42">
      <formula>LEN(TRIM(B181))&gt;0</formula>
    </cfRule>
  </conditionalFormatting>
  <conditionalFormatting sqref="B243:B269">
    <cfRule type="notContainsBlanks" dxfId="47" priority="39">
      <formula>LEN(TRIM(B243))&gt;0</formula>
    </cfRule>
  </conditionalFormatting>
  <conditionalFormatting sqref="C66:C119 C124:C177 C243:C269 M243:M269 W243:W269 M124:M177 W124:W177">
    <cfRule type="expression" dxfId="46" priority="51">
      <formula>B66&lt;$C$5+1</formula>
    </cfRule>
  </conditionalFormatting>
  <conditionalFormatting sqref="C181:C234">
    <cfRule type="expression" dxfId="45" priority="43">
      <formula>B181&lt;$C$5+1</formula>
    </cfRule>
  </conditionalFormatting>
  <conditionalFormatting sqref="C65:I65">
    <cfRule type="notContainsBlanks" dxfId="44" priority="48">
      <formula>LEN(TRIM(C65))&gt;0</formula>
    </cfRule>
  </conditionalFormatting>
  <conditionalFormatting sqref="C123:J123">
    <cfRule type="notContainsBlanks" dxfId="43" priority="45">
      <formula>LEN(TRIM(C123))&gt;0</formula>
    </cfRule>
  </conditionalFormatting>
  <conditionalFormatting sqref="C180:J180">
    <cfRule type="notContainsBlanks" dxfId="42" priority="41">
      <formula>LEN(TRIM(C180))&gt;0</formula>
    </cfRule>
  </conditionalFormatting>
  <conditionalFormatting sqref="D66:I119 D181:J234 X66:AC119 X181:AD234 X124:AD177 D121:I121 X121:AC121 D243:J269 X243:AD269 N243:T269 N181:T234 N121:S121">
    <cfRule type="expression" dxfId="41" priority="50">
      <formula>AND($B66&lt;$C$5+1,D$5&lt;$C$6+1)</formula>
    </cfRule>
  </conditionalFormatting>
  <conditionalFormatting sqref="D124:J177">
    <cfRule type="expression" dxfId="40" priority="44">
      <formula>AND($B124&lt;$C$5+1,D$5&lt;$C$6+1)</formula>
    </cfRule>
  </conditionalFormatting>
  <conditionalFormatting sqref="L37:L63">
    <cfRule type="notContainsBlanks" dxfId="39" priority="38">
      <formula>LEN(TRIM(L37))&gt;0</formula>
    </cfRule>
  </conditionalFormatting>
  <conditionalFormatting sqref="K178">
    <cfRule type="notContainsBlanks" dxfId="38" priority="36">
      <formula>LEN(TRIM(K178))&gt;0</formula>
    </cfRule>
  </conditionalFormatting>
  <conditionalFormatting sqref="L66:L119">
    <cfRule type="notContainsBlanks" dxfId="37" priority="33">
      <formula>LEN(TRIM(L66))&gt;0</formula>
    </cfRule>
  </conditionalFormatting>
  <conditionalFormatting sqref="L121">
    <cfRule type="notContainsBlanks" dxfId="36" priority="31">
      <formula>LEN(TRIM(L121))&gt;0</formula>
    </cfRule>
  </conditionalFormatting>
  <conditionalFormatting sqref="L124:L177">
    <cfRule type="notContainsBlanks" dxfId="35" priority="30">
      <formula>LEN(TRIM(L124))&gt;0</formula>
    </cfRule>
  </conditionalFormatting>
  <conditionalFormatting sqref="L181:L234">
    <cfRule type="notContainsBlanks" dxfId="34" priority="26">
      <formula>LEN(TRIM(L181))&gt;0</formula>
    </cfRule>
  </conditionalFormatting>
  <conditionalFormatting sqref="L243:L269">
    <cfRule type="notContainsBlanks" dxfId="33" priority="23">
      <formula>LEN(TRIM(L243))&gt;0</formula>
    </cfRule>
  </conditionalFormatting>
  <conditionalFormatting sqref="M66:M119">
    <cfRule type="expression" dxfId="32" priority="35">
      <formula>L66&lt;$C$5+1</formula>
    </cfRule>
  </conditionalFormatting>
  <conditionalFormatting sqref="M181:M234">
    <cfRule type="expression" dxfId="31" priority="27">
      <formula>L181&lt;$C$5+1</formula>
    </cfRule>
  </conditionalFormatting>
  <conditionalFormatting sqref="M65:S65">
    <cfRule type="notContainsBlanks" dxfId="30" priority="32">
      <formula>LEN(TRIM(M65))&gt;0</formula>
    </cfRule>
  </conditionalFormatting>
  <conditionalFormatting sqref="M123:T123">
    <cfRule type="notContainsBlanks" dxfId="29" priority="29">
      <formula>LEN(TRIM(M123))&gt;0</formula>
    </cfRule>
  </conditionalFormatting>
  <conditionalFormatting sqref="M180:T180">
    <cfRule type="notContainsBlanks" dxfId="28" priority="25">
      <formula>LEN(TRIM(M180))&gt;0</formula>
    </cfRule>
  </conditionalFormatting>
  <conditionalFormatting sqref="N66:S119">
    <cfRule type="expression" dxfId="27" priority="34">
      <formula>AND($B66&lt;$C$5+1,N$5&lt;$C$6+1)</formula>
    </cfRule>
  </conditionalFormatting>
  <conditionalFormatting sqref="N124:T177">
    <cfRule type="expression" dxfId="26" priority="28">
      <formula>AND($B124&lt;$C$5+1,N$5&lt;$C$6+1)</formula>
    </cfRule>
  </conditionalFormatting>
  <conditionalFormatting sqref="V37:V63">
    <cfRule type="notContainsBlanks" dxfId="25" priority="22">
      <formula>LEN(TRIM(V37))&gt;0</formula>
    </cfRule>
  </conditionalFormatting>
  <conditionalFormatting sqref="U178">
    <cfRule type="notContainsBlanks" dxfId="24" priority="20">
      <formula>LEN(TRIM(U178))&gt;0</formula>
    </cfRule>
  </conditionalFormatting>
  <conditionalFormatting sqref="V66:V119">
    <cfRule type="notContainsBlanks" dxfId="23" priority="17">
      <formula>LEN(TRIM(V66))&gt;0</formula>
    </cfRule>
  </conditionalFormatting>
  <conditionalFormatting sqref="V121">
    <cfRule type="notContainsBlanks" dxfId="22" priority="15">
      <formula>LEN(TRIM(V121))&gt;0</formula>
    </cfRule>
  </conditionalFormatting>
  <conditionalFormatting sqref="V124:V177">
    <cfRule type="notContainsBlanks" dxfId="21" priority="14">
      <formula>LEN(TRIM(V124))&gt;0</formula>
    </cfRule>
  </conditionalFormatting>
  <conditionalFormatting sqref="V181:V234">
    <cfRule type="notContainsBlanks" dxfId="20" priority="10">
      <formula>LEN(TRIM(V181))&gt;0</formula>
    </cfRule>
  </conditionalFormatting>
  <conditionalFormatting sqref="V243:V269">
    <cfRule type="notContainsBlanks" dxfId="19" priority="7">
      <formula>LEN(TRIM(V243))&gt;0</formula>
    </cfRule>
  </conditionalFormatting>
  <conditionalFormatting sqref="W66:W119">
    <cfRule type="expression" dxfId="18" priority="19">
      <formula>V66&lt;$C$5+1</formula>
    </cfRule>
  </conditionalFormatting>
  <conditionalFormatting sqref="W181:W234">
    <cfRule type="expression" dxfId="17" priority="11">
      <formula>V181&lt;$C$5+1</formula>
    </cfRule>
  </conditionalFormatting>
  <conditionalFormatting sqref="W65:AC65">
    <cfRule type="notContainsBlanks" dxfId="16" priority="16">
      <formula>LEN(TRIM(W65))&gt;0</formula>
    </cfRule>
  </conditionalFormatting>
  <conditionalFormatting sqref="W123:AD123">
    <cfRule type="notContainsBlanks" dxfId="15" priority="13">
      <formula>LEN(TRIM(W123))&gt;0</formula>
    </cfRule>
  </conditionalFormatting>
  <conditionalFormatting sqref="W180:AD180">
    <cfRule type="notContainsBlanks" dxfId="14" priority="9">
      <formula>LEN(TRIM(W180))&gt;0</formula>
    </cfRule>
  </conditionalFormatting>
  <conditionalFormatting sqref="B10:B36">
    <cfRule type="notContainsBlanks" dxfId="13" priority="6">
      <formula>LEN(TRIM(B10))&gt;0</formula>
    </cfRule>
  </conditionalFormatting>
  <conditionalFormatting sqref="C9:I9">
    <cfRule type="notContainsBlanks" dxfId="12" priority="5">
      <formula>LEN(TRIM(C9))&gt;0</formula>
    </cfRule>
  </conditionalFormatting>
  <conditionalFormatting sqref="L10:L36">
    <cfRule type="notContainsBlanks" dxfId="11" priority="4">
      <formula>LEN(TRIM(L10))&gt;0</formula>
    </cfRule>
  </conditionalFormatting>
  <conditionalFormatting sqref="M9:S9">
    <cfRule type="notContainsBlanks" dxfId="10" priority="3">
      <formula>LEN(TRIM(M9))&gt;0</formula>
    </cfRule>
  </conditionalFormatting>
  <conditionalFormatting sqref="V10:V36">
    <cfRule type="notContainsBlanks" dxfId="9" priority="2">
      <formula>LEN(TRIM(V10))&gt;0</formula>
    </cfRule>
  </conditionalFormatting>
  <conditionalFormatting sqref="W9:AC9">
    <cfRule type="notContainsBlanks" dxfId="8" priority="1">
      <formula>LEN(TRIM(W9))&gt;0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5"/>
  <sheetViews>
    <sheetView topLeftCell="N13" workbookViewId="0">
      <selection activeCell="K12" sqref="K12"/>
    </sheetView>
  </sheetViews>
  <sheetFormatPr defaultRowHeight="14.25"/>
  <cols>
    <col min="3" max="3" width="31.375" customWidth="1"/>
    <col min="11" max="11" width="11.625" customWidth="1"/>
    <col min="13" max="13" width="15.25" customWidth="1"/>
    <col min="23" max="23" width="21.75" customWidth="1"/>
  </cols>
  <sheetData>
    <row r="1" spans="1:29" ht="49.5" customHeight="1">
      <c r="A1" s="282" t="str">
        <f>Main!B29</f>
        <v>Step 4: Clustering Non-EU Countries based on their  Entropy-CoCoSo HeS performance scores using the K-Means clustering model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</row>
    <row r="2" spans="1:29" ht="18">
      <c r="A2" s="283" t="str">
        <f>Main!C29</f>
        <v>4.a. Non-EU countries based on 2019 data</v>
      </c>
      <c r="B2" s="283"/>
      <c r="C2" s="283"/>
      <c r="D2" s="283"/>
      <c r="E2" s="283"/>
      <c r="F2" s="283"/>
      <c r="G2" s="283"/>
      <c r="H2" s="283"/>
      <c r="K2" s="283" t="str">
        <f>Main!C30</f>
        <v>4.b. Non-EU countries based on 2021 data</v>
      </c>
      <c r="L2" s="283"/>
      <c r="M2" s="283"/>
      <c r="N2" s="283"/>
      <c r="O2" s="283"/>
      <c r="P2" s="283"/>
      <c r="Q2" s="283"/>
      <c r="R2" s="283"/>
      <c r="U2" s="283" t="str">
        <f>Main!C31</f>
        <v>4.c. Non-EU countries based on 2017-2021 data</v>
      </c>
      <c r="V2" s="283"/>
      <c r="W2" s="283"/>
      <c r="X2" s="283"/>
      <c r="Y2" s="283"/>
      <c r="Z2" s="283"/>
      <c r="AA2" s="283"/>
      <c r="AB2" s="283"/>
    </row>
    <row r="4" spans="1:29" ht="18">
      <c r="A4" s="283"/>
      <c r="B4" s="283"/>
      <c r="C4" s="283"/>
      <c r="D4" s="283"/>
      <c r="E4" s="283"/>
      <c r="F4" s="283"/>
      <c r="G4" s="283"/>
      <c r="H4" s="283"/>
      <c r="K4" s="283"/>
      <c r="L4" s="283"/>
      <c r="M4" s="283"/>
      <c r="N4" s="283"/>
      <c r="O4" s="283"/>
      <c r="P4" s="283"/>
      <c r="Q4" s="283"/>
      <c r="R4" s="283"/>
      <c r="U4" s="283"/>
      <c r="V4" s="283"/>
      <c r="W4" s="283"/>
      <c r="X4" s="283"/>
      <c r="Y4" s="283"/>
      <c r="Z4" s="283"/>
      <c r="AA4" s="283"/>
      <c r="AB4" s="283"/>
    </row>
    <row r="6" spans="1:29" ht="15.75" thickBot="1">
      <c r="A6" s="7"/>
      <c r="B6" s="343" t="s">
        <v>198</v>
      </c>
      <c r="C6" s="343"/>
      <c r="D6" s="343"/>
      <c r="E6" s="343"/>
      <c r="F6" s="343"/>
      <c r="G6" s="343"/>
      <c r="H6" s="343"/>
      <c r="I6" s="343"/>
      <c r="K6" s="7"/>
      <c r="L6" s="343" t="s">
        <v>198</v>
      </c>
      <c r="M6" s="343"/>
      <c r="N6" s="343"/>
      <c r="O6" s="343"/>
      <c r="P6" s="343"/>
      <c r="Q6" s="343"/>
      <c r="R6" s="343"/>
      <c r="S6" s="343"/>
      <c r="U6" s="7"/>
      <c r="V6" s="343" t="s">
        <v>198</v>
      </c>
      <c r="W6" s="343"/>
      <c r="X6" s="343"/>
      <c r="Y6" s="343"/>
      <c r="Z6" s="343"/>
      <c r="AA6" s="343"/>
      <c r="AB6" s="343"/>
      <c r="AC6" s="343"/>
    </row>
    <row r="7" spans="1:29" ht="18.75" thickBot="1">
      <c r="A7" s="347" t="s">
        <v>199</v>
      </c>
      <c r="B7" s="348"/>
      <c r="C7" s="348"/>
      <c r="D7" s="348"/>
      <c r="E7" s="348"/>
      <c r="F7" s="348"/>
      <c r="G7" s="348"/>
      <c r="H7" s="348"/>
      <c r="I7" s="349"/>
      <c r="K7" s="347" t="s">
        <v>199</v>
      </c>
      <c r="L7" s="348"/>
      <c r="M7" s="348"/>
      <c r="N7" s="348"/>
      <c r="O7" s="348"/>
      <c r="P7" s="348"/>
      <c r="Q7" s="348"/>
      <c r="R7" s="348"/>
      <c r="S7" s="349"/>
      <c r="U7" s="344" t="s">
        <v>199</v>
      </c>
      <c r="V7" s="345"/>
      <c r="W7" s="345"/>
      <c r="X7" s="345"/>
      <c r="Y7" s="345"/>
      <c r="Z7" s="345"/>
      <c r="AA7" s="345"/>
      <c r="AB7" s="345"/>
      <c r="AC7" s="346"/>
    </row>
    <row r="8" spans="1:29" ht="15">
      <c r="A8" s="54" t="s">
        <v>200</v>
      </c>
      <c r="B8" s="55" t="s">
        <v>187</v>
      </c>
      <c r="C8" s="55">
        <v>0</v>
      </c>
      <c r="D8" s="55">
        <v>0</v>
      </c>
      <c r="E8" s="55">
        <v>0</v>
      </c>
      <c r="F8" s="55">
        <v>0</v>
      </c>
      <c r="G8" s="55">
        <v>0</v>
      </c>
      <c r="H8" s="55">
        <v>0</v>
      </c>
      <c r="I8" s="56">
        <v>0</v>
      </c>
      <c r="K8" s="54" t="s">
        <v>200</v>
      </c>
      <c r="L8" s="55" t="s">
        <v>187</v>
      </c>
      <c r="M8" s="55">
        <v>0</v>
      </c>
      <c r="N8" s="55">
        <v>0</v>
      </c>
      <c r="O8" s="55">
        <v>0</v>
      </c>
      <c r="P8" s="55">
        <v>0</v>
      </c>
      <c r="Q8" s="55">
        <v>0</v>
      </c>
      <c r="R8" s="55">
        <v>0</v>
      </c>
      <c r="S8" s="56">
        <v>0</v>
      </c>
      <c r="U8" s="112" t="s">
        <v>200</v>
      </c>
      <c r="V8" s="113" t="s">
        <v>187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4">
        <v>0</v>
      </c>
    </row>
    <row r="9" spans="1:29" ht="15.75" thickBot="1">
      <c r="A9" s="57"/>
      <c r="B9" s="58"/>
      <c r="C9" s="58"/>
      <c r="D9" s="58"/>
      <c r="E9" s="58"/>
      <c r="F9" s="58"/>
      <c r="G9" s="58"/>
      <c r="H9" s="58"/>
      <c r="I9" s="59"/>
      <c r="K9" s="57"/>
      <c r="L9" s="58"/>
      <c r="M9" s="58"/>
      <c r="N9" s="58"/>
      <c r="O9" s="58"/>
      <c r="P9" s="58"/>
      <c r="Q9" s="58"/>
      <c r="R9" s="58"/>
      <c r="S9" s="59"/>
      <c r="U9" s="115"/>
      <c r="V9" s="116"/>
      <c r="W9" s="116"/>
      <c r="X9" s="116"/>
      <c r="Y9" s="116"/>
      <c r="Z9" s="116"/>
      <c r="AA9" s="116"/>
      <c r="AB9" s="116"/>
      <c r="AC9" s="117"/>
    </row>
    <row r="10" spans="1:29">
      <c r="A10" s="60" t="s">
        <v>201</v>
      </c>
      <c r="B10" s="61">
        <v>3.1940124029186001</v>
      </c>
      <c r="C10" s="62" t="s">
        <v>142</v>
      </c>
      <c r="D10" s="62" t="s">
        <v>142</v>
      </c>
      <c r="E10" s="62" t="s">
        <v>142</v>
      </c>
      <c r="F10" s="62" t="s">
        <v>142</v>
      </c>
      <c r="G10" s="62" t="s">
        <v>142</v>
      </c>
      <c r="H10" s="62" t="s">
        <v>142</v>
      </c>
      <c r="I10" s="63" t="s">
        <v>142</v>
      </c>
      <c r="K10" s="60" t="s">
        <v>201</v>
      </c>
      <c r="L10" s="61">
        <v>2.3071921497089303</v>
      </c>
      <c r="M10" s="62" t="s">
        <v>142</v>
      </c>
      <c r="N10" s="62" t="s">
        <v>142</v>
      </c>
      <c r="O10" s="62" t="s">
        <v>142</v>
      </c>
      <c r="P10" s="62" t="s">
        <v>142</v>
      </c>
      <c r="Q10" s="62" t="s">
        <v>142</v>
      </c>
      <c r="R10" s="62" t="s">
        <v>142</v>
      </c>
      <c r="S10" s="63" t="s">
        <v>142</v>
      </c>
      <c r="U10" s="118" t="s">
        <v>201</v>
      </c>
      <c r="V10" s="119">
        <v>2.6250858890672539</v>
      </c>
      <c r="W10" s="120" t="s">
        <v>142</v>
      </c>
      <c r="X10" s="120" t="s">
        <v>142</v>
      </c>
      <c r="Y10" s="120" t="s">
        <v>142</v>
      </c>
      <c r="Z10" s="120" t="s">
        <v>142</v>
      </c>
      <c r="AA10" s="120" t="s">
        <v>142</v>
      </c>
      <c r="AB10" s="120" t="s">
        <v>142</v>
      </c>
      <c r="AC10" s="121" t="s">
        <v>142</v>
      </c>
    </row>
    <row r="11" spans="1:29">
      <c r="A11" s="64" t="s">
        <v>202</v>
      </c>
      <c r="B11" s="65">
        <v>1.3205535080578468</v>
      </c>
      <c r="C11" s="66" t="s">
        <v>142</v>
      </c>
      <c r="D11" s="66" t="s">
        <v>142</v>
      </c>
      <c r="E11" s="66" t="s">
        <v>142</v>
      </c>
      <c r="F11" s="66" t="s">
        <v>142</v>
      </c>
      <c r="G11" s="66" t="s">
        <v>142</v>
      </c>
      <c r="H11" s="66" t="s">
        <v>142</v>
      </c>
      <c r="I11" s="67" t="s">
        <v>142</v>
      </c>
      <c r="K11" s="64" t="s">
        <v>202</v>
      </c>
      <c r="L11" s="65">
        <v>1.3486193162997107</v>
      </c>
      <c r="M11" s="66" t="s">
        <v>142</v>
      </c>
      <c r="N11" s="66" t="s">
        <v>142</v>
      </c>
      <c r="O11" s="66" t="s">
        <v>142</v>
      </c>
      <c r="P11" s="66" t="s">
        <v>142</v>
      </c>
      <c r="Q11" s="66" t="s">
        <v>142</v>
      </c>
      <c r="R11" s="66" t="s">
        <v>142</v>
      </c>
      <c r="S11" s="67" t="s">
        <v>142</v>
      </c>
      <c r="U11" s="122" t="s">
        <v>202</v>
      </c>
      <c r="V11" s="123">
        <v>1.3385470391577359</v>
      </c>
      <c r="W11" s="124" t="s">
        <v>142</v>
      </c>
      <c r="X11" s="124" t="s">
        <v>142</v>
      </c>
      <c r="Y11" s="124" t="s">
        <v>142</v>
      </c>
      <c r="Z11" s="124" t="s">
        <v>142</v>
      </c>
      <c r="AA11" s="124" t="s">
        <v>142</v>
      </c>
      <c r="AB11" s="124" t="s">
        <v>142</v>
      </c>
      <c r="AC11" s="125" t="s">
        <v>142</v>
      </c>
    </row>
    <row r="12" spans="1:29">
      <c r="A12" s="60" t="s">
        <v>203</v>
      </c>
      <c r="B12" s="68">
        <v>4.248615820438876</v>
      </c>
      <c r="C12" s="69" t="s">
        <v>142</v>
      </c>
      <c r="D12" s="69" t="s">
        <v>142</v>
      </c>
      <c r="E12" s="69" t="s">
        <v>142</v>
      </c>
      <c r="F12" s="69" t="s">
        <v>142</v>
      </c>
      <c r="G12" s="69" t="s">
        <v>142</v>
      </c>
      <c r="H12" s="69" t="s">
        <v>142</v>
      </c>
      <c r="I12" s="70" t="s">
        <v>142</v>
      </c>
      <c r="K12" s="60" t="s">
        <v>203</v>
      </c>
      <c r="L12" s="68">
        <v>2.8789308075384001</v>
      </c>
      <c r="M12" s="69" t="s">
        <v>142</v>
      </c>
      <c r="N12" s="69" t="s">
        <v>142</v>
      </c>
      <c r="O12" s="69" t="s">
        <v>142</v>
      </c>
      <c r="P12" s="69" t="s">
        <v>142</v>
      </c>
      <c r="Q12" s="69" t="s">
        <v>142</v>
      </c>
      <c r="R12" s="69" t="s">
        <v>142</v>
      </c>
      <c r="S12" s="70" t="s">
        <v>142</v>
      </c>
      <c r="U12" s="118" t="s">
        <v>203</v>
      </c>
      <c r="V12" s="126">
        <v>3.3537037834800514</v>
      </c>
      <c r="W12" s="127" t="s">
        <v>142</v>
      </c>
      <c r="X12" s="127" t="s">
        <v>142</v>
      </c>
      <c r="Y12" s="127" t="s">
        <v>142</v>
      </c>
      <c r="Z12" s="127" t="s">
        <v>142</v>
      </c>
      <c r="AA12" s="127" t="s">
        <v>142</v>
      </c>
      <c r="AB12" s="127" t="s">
        <v>142</v>
      </c>
      <c r="AC12" s="128" t="s">
        <v>142</v>
      </c>
    </row>
    <row r="13" spans="1:29">
      <c r="A13" s="64" t="s">
        <v>204</v>
      </c>
      <c r="B13" s="71">
        <v>2.064025768385688</v>
      </c>
      <c r="C13" s="72" t="s">
        <v>142</v>
      </c>
      <c r="D13" s="72" t="s">
        <v>142</v>
      </c>
      <c r="E13" s="72" t="s">
        <v>142</v>
      </c>
      <c r="F13" s="72" t="s">
        <v>142</v>
      </c>
      <c r="G13" s="72" t="s">
        <v>142</v>
      </c>
      <c r="H13" s="72" t="s">
        <v>142</v>
      </c>
      <c r="I13" s="73" t="s">
        <v>142</v>
      </c>
      <c r="K13" s="64" t="s">
        <v>204</v>
      </c>
      <c r="L13" s="71">
        <v>1.7301893962320274</v>
      </c>
      <c r="M13" s="72" t="s">
        <v>142</v>
      </c>
      <c r="N13" s="72" t="s">
        <v>142</v>
      </c>
      <c r="O13" s="72" t="s">
        <v>142</v>
      </c>
      <c r="P13" s="72" t="s">
        <v>142</v>
      </c>
      <c r="Q13" s="72" t="s">
        <v>142</v>
      </c>
      <c r="R13" s="72" t="s">
        <v>142</v>
      </c>
      <c r="S13" s="73" t="s">
        <v>142</v>
      </c>
      <c r="U13" s="122" t="s">
        <v>204</v>
      </c>
      <c r="V13" s="129">
        <v>1.751484038586544</v>
      </c>
      <c r="W13" s="130" t="s">
        <v>142</v>
      </c>
      <c r="X13" s="130" t="s">
        <v>142</v>
      </c>
      <c r="Y13" s="130" t="s">
        <v>142</v>
      </c>
      <c r="Z13" s="130" t="s">
        <v>142</v>
      </c>
      <c r="AA13" s="130" t="s">
        <v>142</v>
      </c>
      <c r="AB13" s="130" t="s">
        <v>142</v>
      </c>
      <c r="AC13" s="131" t="s">
        <v>142</v>
      </c>
    </row>
    <row r="14" spans="1:29">
      <c r="A14" s="60" t="s">
        <v>205</v>
      </c>
      <c r="B14" s="74">
        <v>2.5898099464177835</v>
      </c>
      <c r="C14" s="75" t="s">
        <v>142</v>
      </c>
      <c r="D14" s="75" t="s">
        <v>142</v>
      </c>
      <c r="E14" s="75" t="s">
        <v>142</v>
      </c>
      <c r="F14" s="75" t="s">
        <v>142</v>
      </c>
      <c r="G14" s="75" t="s">
        <v>142</v>
      </c>
      <c r="H14" s="75" t="s">
        <v>142</v>
      </c>
      <c r="I14" s="76" t="s">
        <v>142</v>
      </c>
      <c r="K14" s="60" t="s">
        <v>205</v>
      </c>
      <c r="L14" s="74">
        <v>2.0768029051008017</v>
      </c>
      <c r="M14" s="75" t="s">
        <v>142</v>
      </c>
      <c r="N14" s="75" t="s">
        <v>142</v>
      </c>
      <c r="O14" s="75" t="s">
        <v>142</v>
      </c>
      <c r="P14" s="75" t="s">
        <v>142</v>
      </c>
      <c r="Q14" s="75" t="s">
        <v>142</v>
      </c>
      <c r="R14" s="75" t="s">
        <v>142</v>
      </c>
      <c r="S14" s="76" t="s">
        <v>142</v>
      </c>
      <c r="U14" s="118" t="s">
        <v>205</v>
      </c>
      <c r="V14" s="132">
        <v>2.1960350709010727</v>
      </c>
      <c r="W14" s="133" t="s">
        <v>142</v>
      </c>
      <c r="X14" s="133" t="s">
        <v>142</v>
      </c>
      <c r="Y14" s="133" t="s">
        <v>142</v>
      </c>
      <c r="Z14" s="133" t="s">
        <v>142</v>
      </c>
      <c r="AA14" s="133" t="s">
        <v>142</v>
      </c>
      <c r="AB14" s="133" t="s">
        <v>142</v>
      </c>
      <c r="AC14" s="134" t="s">
        <v>142</v>
      </c>
    </row>
    <row r="15" spans="1:29" ht="15" thickBot="1">
      <c r="A15" s="77" t="s">
        <v>206</v>
      </c>
      <c r="B15" s="78">
        <v>2.6728973699102507</v>
      </c>
      <c r="C15" s="79" t="s">
        <v>142</v>
      </c>
      <c r="D15" s="79" t="s">
        <v>142</v>
      </c>
      <c r="E15" s="79" t="s">
        <v>142</v>
      </c>
      <c r="F15" s="79" t="s">
        <v>142</v>
      </c>
      <c r="G15" s="79" t="s">
        <v>142</v>
      </c>
      <c r="H15" s="79" t="s">
        <v>142</v>
      </c>
      <c r="I15" s="80" t="s">
        <v>142</v>
      </c>
      <c r="K15" s="77" t="s">
        <v>206</v>
      </c>
      <c r="L15" s="78">
        <v>2.0903437569658467</v>
      </c>
      <c r="M15" s="79" t="s">
        <v>142</v>
      </c>
      <c r="N15" s="79" t="s">
        <v>142</v>
      </c>
      <c r="O15" s="79" t="s">
        <v>142</v>
      </c>
      <c r="P15" s="79" t="s">
        <v>142</v>
      </c>
      <c r="Q15" s="79" t="s">
        <v>142</v>
      </c>
      <c r="R15" s="79" t="s">
        <v>142</v>
      </c>
      <c r="S15" s="80" t="s">
        <v>142</v>
      </c>
      <c r="U15" s="135" t="s">
        <v>206</v>
      </c>
      <c r="V15" s="136">
        <v>2.2265407959512289</v>
      </c>
      <c r="W15" s="137" t="s">
        <v>142</v>
      </c>
      <c r="X15" s="137" t="s">
        <v>142</v>
      </c>
      <c r="Y15" s="137" t="s">
        <v>142</v>
      </c>
      <c r="Z15" s="137" t="s">
        <v>142</v>
      </c>
      <c r="AA15" s="137" t="s">
        <v>142</v>
      </c>
      <c r="AB15" s="137" t="s">
        <v>142</v>
      </c>
      <c r="AC15" s="138" t="s">
        <v>142</v>
      </c>
    </row>
    <row r="16" spans="1:29" ht="15">
      <c r="A16" s="81" t="s">
        <v>207</v>
      </c>
      <c r="B16" s="82" t="s">
        <v>208</v>
      </c>
      <c r="C16" s="83" t="s">
        <v>209</v>
      </c>
      <c r="D16" s="84" t="s">
        <v>210</v>
      </c>
      <c r="E16" s="1"/>
      <c r="F16" s="1"/>
      <c r="G16" s="1"/>
      <c r="H16" s="1"/>
      <c r="I16" s="85"/>
      <c r="K16" s="81" t="s">
        <v>207</v>
      </c>
      <c r="L16" s="82" t="s">
        <v>208</v>
      </c>
      <c r="M16" s="83" t="s">
        <v>209</v>
      </c>
      <c r="N16" s="84" t="s">
        <v>210</v>
      </c>
      <c r="O16" s="1"/>
      <c r="P16" s="1"/>
      <c r="Q16" s="1"/>
      <c r="R16" s="1"/>
      <c r="S16" s="85"/>
      <c r="U16" s="139" t="s">
        <v>207</v>
      </c>
      <c r="V16" s="140" t="s">
        <v>208</v>
      </c>
      <c r="W16" s="141" t="s">
        <v>209</v>
      </c>
      <c r="X16" s="142" t="s">
        <v>210</v>
      </c>
      <c r="AC16" s="143"/>
    </row>
    <row r="17" spans="1:29" ht="15" thickBot="1">
      <c r="A17" s="86" t="s">
        <v>201</v>
      </c>
      <c r="B17" s="87">
        <v>7</v>
      </c>
      <c r="C17" s="88">
        <v>0.25925925925925924</v>
      </c>
      <c r="D17" s="89">
        <v>0.36366733800685547</v>
      </c>
      <c r="E17" s="1"/>
      <c r="F17" s="1"/>
      <c r="G17" s="1"/>
      <c r="H17" s="1"/>
      <c r="I17" s="85"/>
      <c r="K17" s="86" t="s">
        <v>201</v>
      </c>
      <c r="L17" s="87">
        <v>6</v>
      </c>
      <c r="M17" s="88">
        <v>0.22222222222222221</v>
      </c>
      <c r="N17" s="89">
        <v>4.4535876526771462E-2</v>
      </c>
      <c r="O17" s="1"/>
      <c r="P17" s="1"/>
      <c r="Q17" s="1"/>
      <c r="R17" s="1"/>
      <c r="S17" s="85"/>
      <c r="U17" s="144" t="s">
        <v>201</v>
      </c>
      <c r="V17" s="145">
        <v>7</v>
      </c>
      <c r="W17" s="146">
        <v>0.25925925925925924</v>
      </c>
      <c r="X17" s="147">
        <v>0.21236986773787137</v>
      </c>
      <c r="Y17" s="148"/>
      <c r="Z17" s="148"/>
      <c r="AC17" s="143"/>
    </row>
    <row r="18" spans="1:29" ht="15.75" thickBot="1">
      <c r="A18" s="86" t="s">
        <v>202</v>
      </c>
      <c r="B18" s="87">
        <v>3</v>
      </c>
      <c r="C18" s="88">
        <v>0.1111111111111111</v>
      </c>
      <c r="D18" s="89">
        <v>3.8125702950768441E-2</v>
      </c>
      <c r="E18" s="90" t="s">
        <v>211</v>
      </c>
      <c r="F18" s="91">
        <v>0.89124447827078157</v>
      </c>
      <c r="G18" s="1"/>
      <c r="H18" s="1"/>
      <c r="I18" s="85"/>
      <c r="K18" s="86" t="s">
        <v>202</v>
      </c>
      <c r="L18" s="87">
        <v>5</v>
      </c>
      <c r="M18" s="88">
        <v>0.18518518518518517</v>
      </c>
      <c r="N18" s="89">
        <v>2.6842369383793044E-2</v>
      </c>
      <c r="O18" s="90" t="s">
        <v>211</v>
      </c>
      <c r="P18" s="91">
        <v>0.34525754196475988</v>
      </c>
      <c r="Q18" s="1"/>
      <c r="R18" s="1"/>
      <c r="S18" s="85"/>
      <c r="U18" s="144" t="s">
        <v>202</v>
      </c>
      <c r="V18" s="145">
        <v>4</v>
      </c>
      <c r="W18" s="146">
        <v>0.14814814814814814</v>
      </c>
      <c r="X18" s="147">
        <v>5.0197222500686693E-2</v>
      </c>
      <c r="Y18" s="149" t="s">
        <v>211</v>
      </c>
      <c r="Z18" s="150">
        <v>0.4914300124359931</v>
      </c>
      <c r="AC18" s="143"/>
    </row>
    <row r="19" spans="1:29">
      <c r="A19" s="86" t="s">
        <v>203</v>
      </c>
      <c r="B19" s="87">
        <v>3</v>
      </c>
      <c r="C19" s="88">
        <v>0.1111111111111111</v>
      </c>
      <c r="D19" s="89">
        <v>0.19562086043803573</v>
      </c>
      <c r="E19" s="1"/>
      <c r="F19" s="1"/>
      <c r="G19" s="1"/>
      <c r="H19" s="1"/>
      <c r="I19" s="85"/>
      <c r="K19" s="86" t="s">
        <v>203</v>
      </c>
      <c r="L19" s="87">
        <v>5</v>
      </c>
      <c r="M19" s="88">
        <v>0.18518518518518517</v>
      </c>
      <c r="N19" s="89">
        <v>0.23469356872150157</v>
      </c>
      <c r="O19" s="1"/>
      <c r="P19" s="1"/>
      <c r="Q19" s="1"/>
      <c r="R19" s="1"/>
      <c r="S19" s="85"/>
      <c r="U19" s="144" t="s">
        <v>203</v>
      </c>
      <c r="V19" s="145">
        <v>3</v>
      </c>
      <c r="W19" s="146">
        <v>0.1111111111111111</v>
      </c>
      <c r="X19" s="147">
        <v>0.13130009782378563</v>
      </c>
      <c r="Y19" s="148"/>
      <c r="Z19" s="148"/>
      <c r="AC19" s="143"/>
    </row>
    <row r="20" spans="1:29">
      <c r="A20" s="86" t="s">
        <v>204</v>
      </c>
      <c r="B20" s="87">
        <v>6</v>
      </c>
      <c r="C20" s="88">
        <v>0.22222222222222221</v>
      </c>
      <c r="D20" s="89">
        <v>0.18117985233679282</v>
      </c>
      <c r="E20" s="1"/>
      <c r="F20" s="1"/>
      <c r="G20" s="1"/>
      <c r="H20" s="1"/>
      <c r="I20" s="85"/>
      <c r="K20" s="86" t="s">
        <v>204</v>
      </c>
      <c r="L20" s="87">
        <v>4</v>
      </c>
      <c r="M20" s="88">
        <v>0.14814814814814814</v>
      </c>
      <c r="N20" s="89">
        <v>2.0003303946055553E-2</v>
      </c>
      <c r="O20" s="1"/>
      <c r="P20" s="1"/>
      <c r="Q20" s="1"/>
      <c r="R20" s="1"/>
      <c r="S20" s="85"/>
      <c r="U20" s="144" t="s">
        <v>204</v>
      </c>
      <c r="V20" s="145">
        <v>5</v>
      </c>
      <c r="W20" s="146">
        <v>0.18518518518518517</v>
      </c>
      <c r="X20" s="147">
        <v>6.597236351505692E-2</v>
      </c>
      <c r="Y20" s="148"/>
      <c r="Z20" s="148"/>
      <c r="AC20" s="143"/>
    </row>
    <row r="21" spans="1:29">
      <c r="A21" s="86" t="s">
        <v>205</v>
      </c>
      <c r="B21" s="87">
        <v>8</v>
      </c>
      <c r="C21" s="92">
        <v>0.29629629629629628</v>
      </c>
      <c r="D21" s="89">
        <v>0.11265072453832919</v>
      </c>
      <c r="E21" s="1"/>
      <c r="F21" s="1"/>
      <c r="G21" s="1"/>
      <c r="H21" s="1"/>
      <c r="I21" s="85"/>
      <c r="K21" s="86" t="s">
        <v>205</v>
      </c>
      <c r="L21" s="87">
        <v>7</v>
      </c>
      <c r="M21" s="92">
        <v>0.25925925925925924</v>
      </c>
      <c r="N21" s="89">
        <v>1.918242338663826E-2</v>
      </c>
      <c r="O21" s="1"/>
      <c r="P21" s="1"/>
      <c r="Q21" s="1"/>
      <c r="R21" s="1"/>
      <c r="S21" s="85"/>
      <c r="U21" s="144" t="s">
        <v>205</v>
      </c>
      <c r="V21" s="145">
        <v>8</v>
      </c>
      <c r="W21" s="151">
        <v>0.29629629629629628</v>
      </c>
      <c r="X21" s="147">
        <v>3.1590460858592531E-2</v>
      </c>
      <c r="Y21" s="148"/>
      <c r="Z21" s="148"/>
      <c r="AC21" s="143"/>
    </row>
    <row r="22" spans="1:29" ht="15" thickBot="1">
      <c r="A22" s="93" t="s">
        <v>212</v>
      </c>
      <c r="B22" s="94">
        <v>27</v>
      </c>
      <c r="C22" s="95">
        <v>1</v>
      </c>
      <c r="D22" s="96"/>
      <c r="E22" s="97"/>
      <c r="F22" s="97"/>
      <c r="G22" s="97"/>
      <c r="H22" s="97"/>
      <c r="I22" s="98"/>
      <c r="K22" s="93" t="s">
        <v>212</v>
      </c>
      <c r="L22" s="94">
        <v>27</v>
      </c>
      <c r="M22" s="95">
        <v>1</v>
      </c>
      <c r="N22" s="96"/>
      <c r="O22" s="97"/>
      <c r="P22" s="97"/>
      <c r="Q22" s="97"/>
      <c r="R22" s="97"/>
      <c r="S22" s="98"/>
      <c r="U22" s="152" t="s">
        <v>212</v>
      </c>
      <c r="V22" s="153">
        <v>27</v>
      </c>
      <c r="W22" s="154">
        <v>1</v>
      </c>
      <c r="X22" s="155"/>
      <c r="Y22" s="156"/>
      <c r="Z22" s="156"/>
      <c r="AA22" s="156"/>
      <c r="AB22" s="156"/>
      <c r="AC22" s="157"/>
    </row>
    <row r="23" spans="1:29" ht="15">
      <c r="A23" s="7"/>
      <c r="B23" s="99"/>
      <c r="C23" s="99"/>
      <c r="D23" s="99"/>
      <c r="E23" s="99"/>
      <c r="F23" s="99"/>
      <c r="G23" s="99"/>
      <c r="H23" s="99"/>
      <c r="I23" s="99"/>
      <c r="K23" s="7"/>
      <c r="L23" s="99"/>
      <c r="M23" s="99"/>
      <c r="N23" s="99"/>
      <c r="O23" s="99"/>
      <c r="P23" s="99"/>
      <c r="Q23" s="99"/>
      <c r="R23" s="99"/>
      <c r="S23" s="99"/>
      <c r="U23" s="7"/>
      <c r="V23" s="158"/>
      <c r="W23" s="158"/>
      <c r="X23" s="158"/>
      <c r="Y23" s="158"/>
      <c r="Z23" s="158"/>
      <c r="AA23" s="158"/>
      <c r="AB23" s="158"/>
      <c r="AC23" s="158"/>
    </row>
    <row r="24" spans="1:29" ht="15">
      <c r="A24" s="7"/>
      <c r="B24" s="343"/>
      <c r="C24" s="343"/>
      <c r="D24" s="343"/>
      <c r="E24" s="343"/>
      <c r="F24" s="343"/>
      <c r="G24" s="343"/>
      <c r="H24" s="343"/>
      <c r="I24" s="343"/>
      <c r="K24" s="7"/>
      <c r="L24" s="343"/>
      <c r="M24" s="343"/>
      <c r="N24" s="343"/>
      <c r="O24" s="343"/>
      <c r="P24" s="343"/>
      <c r="Q24" s="343"/>
      <c r="R24" s="343"/>
      <c r="S24" s="343"/>
      <c r="U24" s="7"/>
      <c r="V24" s="321"/>
      <c r="W24" s="321"/>
      <c r="X24" s="321"/>
      <c r="Y24" s="321"/>
      <c r="Z24" s="321"/>
      <c r="AA24" s="321"/>
      <c r="AB24" s="321"/>
      <c r="AC24" s="321"/>
    </row>
    <row r="25" spans="1:29" ht="15">
      <c r="A25" s="100"/>
      <c r="B25" s="101" t="s">
        <v>213</v>
      </c>
      <c r="C25" s="101" t="str">
        <f>B8</f>
        <v>Ci</v>
      </c>
      <c r="D25" s="101" t="str">
        <f t="shared" ref="D25:F30" si="0">B16</f>
        <v>Number</v>
      </c>
      <c r="E25" s="101" t="str">
        <f t="shared" si="0"/>
        <v xml:space="preserve">% </v>
      </c>
      <c r="F25" s="101" t="str">
        <f t="shared" si="0"/>
        <v>SSE/Segment</v>
      </c>
      <c r="G25" s="99"/>
      <c r="H25" s="99"/>
      <c r="I25" s="99"/>
      <c r="K25" s="100"/>
      <c r="L25" s="101" t="s">
        <v>213</v>
      </c>
      <c r="M25" s="101" t="str">
        <f>L8</f>
        <v>Ci</v>
      </c>
      <c r="N25" s="101" t="str">
        <f t="shared" ref="N25:P30" si="1">L16</f>
        <v>Number</v>
      </c>
      <c r="O25" s="101" t="str">
        <f t="shared" si="1"/>
        <v xml:space="preserve">% </v>
      </c>
      <c r="P25" s="101" t="str">
        <f t="shared" si="1"/>
        <v>SSE/Segment</v>
      </c>
      <c r="Q25" s="99"/>
      <c r="R25" s="99"/>
      <c r="S25" s="99"/>
      <c r="U25" s="100"/>
      <c r="V25" s="159" t="s">
        <v>213</v>
      </c>
      <c r="W25" s="159" t="str">
        <f>V8</f>
        <v>Ci</v>
      </c>
      <c r="X25" s="159" t="str">
        <f t="shared" ref="X25:Z30" si="2">V16</f>
        <v>Number</v>
      </c>
      <c r="Y25" s="159" t="str">
        <f t="shared" si="2"/>
        <v xml:space="preserve">% </v>
      </c>
      <c r="Z25" s="159" t="str">
        <f t="shared" si="2"/>
        <v>SSE/Segment</v>
      </c>
      <c r="AA25" s="158"/>
      <c r="AB25" s="158"/>
      <c r="AC25" s="158"/>
    </row>
    <row r="26" spans="1:29" ht="15">
      <c r="A26" s="101">
        <f>RANK(B10,$B$10:$B$14,0)</f>
        <v>2</v>
      </c>
      <c r="B26" s="101">
        <v>1</v>
      </c>
      <c r="C26" s="101">
        <f>B10</f>
        <v>3.1940124029186001</v>
      </c>
      <c r="D26" s="102">
        <f t="shared" si="0"/>
        <v>7</v>
      </c>
      <c r="E26" s="103">
        <f t="shared" si="0"/>
        <v>0.25925925925925924</v>
      </c>
      <c r="F26" s="104">
        <f t="shared" si="0"/>
        <v>0.36366733800685547</v>
      </c>
      <c r="G26" s="99"/>
      <c r="H26" s="99"/>
      <c r="I26" s="99"/>
      <c r="K26" s="101">
        <f>RANK(L10,$L$10:$L$14,0)</f>
        <v>2</v>
      </c>
      <c r="L26" s="101">
        <v>1</v>
      </c>
      <c r="M26" s="101">
        <f>L10</f>
        <v>2.3071921497089303</v>
      </c>
      <c r="N26" s="102">
        <f t="shared" si="1"/>
        <v>6</v>
      </c>
      <c r="O26" s="103">
        <f t="shared" si="1"/>
        <v>0.22222222222222221</v>
      </c>
      <c r="P26" s="104">
        <f t="shared" si="1"/>
        <v>4.4535876526771462E-2</v>
      </c>
      <c r="Q26" s="99"/>
      <c r="R26" s="99"/>
      <c r="S26" s="99"/>
      <c r="U26" s="159">
        <f>RANK(V10,$V$10:$V$14,0)</f>
        <v>2</v>
      </c>
      <c r="V26" s="159">
        <v>1</v>
      </c>
      <c r="W26" s="159">
        <f>V10</f>
        <v>2.6250858890672539</v>
      </c>
      <c r="X26" s="160">
        <f t="shared" si="2"/>
        <v>7</v>
      </c>
      <c r="Y26" s="161">
        <f t="shared" si="2"/>
        <v>0.25925925925925924</v>
      </c>
      <c r="Z26" s="162">
        <f t="shared" si="2"/>
        <v>0.21236986773787137</v>
      </c>
      <c r="AA26" s="158"/>
      <c r="AB26" s="158"/>
      <c r="AC26" s="158"/>
    </row>
    <row r="27" spans="1:29" ht="15">
      <c r="A27" s="101">
        <f>RANK(B11,$B$10:$B$14,0)</f>
        <v>5</v>
      </c>
      <c r="B27" s="101">
        <v>2</v>
      </c>
      <c r="C27" s="101">
        <f t="shared" ref="C27:C30" si="3">B11</f>
        <v>1.3205535080578468</v>
      </c>
      <c r="D27" s="102">
        <f t="shared" si="0"/>
        <v>3</v>
      </c>
      <c r="E27" s="103">
        <f t="shared" si="0"/>
        <v>0.1111111111111111</v>
      </c>
      <c r="F27" s="104">
        <f t="shared" si="0"/>
        <v>3.8125702950768441E-2</v>
      </c>
      <c r="G27" s="99"/>
      <c r="H27" s="99"/>
      <c r="I27" s="99"/>
      <c r="K27" s="101">
        <f t="shared" ref="K27:K30" si="4">RANK(L11,$L$10:$L$14,0)</f>
        <v>5</v>
      </c>
      <c r="L27" s="101">
        <v>2</v>
      </c>
      <c r="M27" s="101">
        <f t="shared" ref="M27:M30" si="5">L11</f>
        <v>1.3486193162997107</v>
      </c>
      <c r="N27" s="102">
        <f t="shared" si="1"/>
        <v>5</v>
      </c>
      <c r="O27" s="103">
        <f t="shared" si="1"/>
        <v>0.18518518518518517</v>
      </c>
      <c r="P27" s="104">
        <f t="shared" si="1"/>
        <v>2.6842369383793044E-2</v>
      </c>
      <c r="Q27" s="99"/>
      <c r="R27" s="99"/>
      <c r="S27" s="99"/>
      <c r="U27" s="159">
        <f t="shared" ref="U27:U30" si="6">RANK(V11,$V$10:$V$14,0)</f>
        <v>5</v>
      </c>
      <c r="V27" s="159">
        <v>2</v>
      </c>
      <c r="W27" s="159">
        <f t="shared" ref="W27:W30" si="7">V11</f>
        <v>1.3385470391577359</v>
      </c>
      <c r="X27" s="160">
        <f t="shared" si="2"/>
        <v>4</v>
      </c>
      <c r="Y27" s="161">
        <f t="shared" si="2"/>
        <v>0.14814814814814814</v>
      </c>
      <c r="Z27" s="162">
        <f t="shared" si="2"/>
        <v>5.0197222500686693E-2</v>
      </c>
      <c r="AA27" s="158"/>
      <c r="AB27" s="158"/>
      <c r="AC27" s="158"/>
    </row>
    <row r="28" spans="1:29" ht="15">
      <c r="A28" s="101">
        <f>RANK(B12,$B$10:$B$14,0)</f>
        <v>1</v>
      </c>
      <c r="B28" s="101">
        <v>3</v>
      </c>
      <c r="C28" s="101">
        <f t="shared" si="3"/>
        <v>4.248615820438876</v>
      </c>
      <c r="D28" s="102">
        <f t="shared" si="0"/>
        <v>3</v>
      </c>
      <c r="E28" s="103">
        <f t="shared" si="0"/>
        <v>0.1111111111111111</v>
      </c>
      <c r="F28" s="104">
        <f t="shared" si="0"/>
        <v>0.19562086043803573</v>
      </c>
      <c r="G28" s="99"/>
      <c r="H28" s="99"/>
      <c r="I28" s="99"/>
      <c r="K28" s="101">
        <f t="shared" si="4"/>
        <v>1</v>
      </c>
      <c r="L28" s="101">
        <v>3</v>
      </c>
      <c r="M28" s="101">
        <f t="shared" si="5"/>
        <v>2.8789308075384001</v>
      </c>
      <c r="N28" s="102">
        <f t="shared" si="1"/>
        <v>5</v>
      </c>
      <c r="O28" s="103">
        <f t="shared" si="1"/>
        <v>0.18518518518518517</v>
      </c>
      <c r="P28" s="104">
        <f t="shared" si="1"/>
        <v>0.23469356872150157</v>
      </c>
      <c r="Q28" s="99"/>
      <c r="R28" s="99"/>
      <c r="S28" s="99"/>
      <c r="U28" s="159">
        <f t="shared" si="6"/>
        <v>1</v>
      </c>
      <c r="V28" s="159">
        <v>3</v>
      </c>
      <c r="W28" s="159">
        <f t="shared" si="7"/>
        <v>3.3537037834800514</v>
      </c>
      <c r="X28" s="160">
        <f t="shared" si="2"/>
        <v>3</v>
      </c>
      <c r="Y28" s="161">
        <f t="shared" si="2"/>
        <v>0.1111111111111111</v>
      </c>
      <c r="Z28" s="162">
        <f t="shared" si="2"/>
        <v>0.13130009782378563</v>
      </c>
      <c r="AA28" s="158"/>
      <c r="AB28" s="158"/>
      <c r="AC28" s="158"/>
    </row>
    <row r="29" spans="1:29" ht="15">
      <c r="A29" s="101">
        <f>RANK(B13,$B$10:$B$14,0)</f>
        <v>4</v>
      </c>
      <c r="B29" s="101">
        <v>4</v>
      </c>
      <c r="C29" s="101">
        <f t="shared" si="3"/>
        <v>2.064025768385688</v>
      </c>
      <c r="D29" s="102">
        <f t="shared" si="0"/>
        <v>6</v>
      </c>
      <c r="E29" s="103">
        <f t="shared" si="0"/>
        <v>0.22222222222222221</v>
      </c>
      <c r="F29" s="104">
        <f t="shared" si="0"/>
        <v>0.18117985233679282</v>
      </c>
      <c r="G29" s="99"/>
      <c r="H29" s="99"/>
      <c r="I29" s="99"/>
      <c r="K29" s="101">
        <f t="shared" si="4"/>
        <v>4</v>
      </c>
      <c r="L29" s="101">
        <v>4</v>
      </c>
      <c r="M29" s="101">
        <f t="shared" si="5"/>
        <v>1.7301893962320274</v>
      </c>
      <c r="N29" s="102">
        <f t="shared" si="1"/>
        <v>4</v>
      </c>
      <c r="O29" s="103">
        <f t="shared" si="1"/>
        <v>0.14814814814814814</v>
      </c>
      <c r="P29" s="104">
        <f t="shared" si="1"/>
        <v>2.0003303946055553E-2</v>
      </c>
      <c r="Q29" s="99"/>
      <c r="R29" s="99"/>
      <c r="S29" s="99"/>
      <c r="U29" s="159">
        <f t="shared" si="6"/>
        <v>4</v>
      </c>
      <c r="V29" s="159">
        <v>4</v>
      </c>
      <c r="W29" s="159">
        <f t="shared" si="7"/>
        <v>1.751484038586544</v>
      </c>
      <c r="X29" s="160">
        <f t="shared" si="2"/>
        <v>5</v>
      </c>
      <c r="Y29" s="161">
        <f t="shared" si="2"/>
        <v>0.18518518518518517</v>
      </c>
      <c r="Z29" s="162">
        <f t="shared" si="2"/>
        <v>6.597236351505692E-2</v>
      </c>
      <c r="AA29" s="158"/>
      <c r="AB29" s="158"/>
      <c r="AC29" s="158"/>
    </row>
    <row r="30" spans="1:29" ht="15">
      <c r="A30" s="101">
        <f>RANK(B14,$B$10:$B$14,0)</f>
        <v>3</v>
      </c>
      <c r="B30" s="101">
        <v>5</v>
      </c>
      <c r="C30" s="101">
        <f t="shared" si="3"/>
        <v>2.5898099464177835</v>
      </c>
      <c r="D30" s="102">
        <f t="shared" si="0"/>
        <v>8</v>
      </c>
      <c r="E30" s="103">
        <f t="shared" si="0"/>
        <v>0.29629629629629628</v>
      </c>
      <c r="F30" s="104">
        <f t="shared" si="0"/>
        <v>0.11265072453832919</v>
      </c>
      <c r="G30" s="99"/>
      <c r="H30" s="99"/>
      <c r="I30" s="99"/>
      <c r="K30" s="101">
        <f t="shared" si="4"/>
        <v>3</v>
      </c>
      <c r="L30" s="101">
        <v>5</v>
      </c>
      <c r="M30" s="101">
        <f t="shared" si="5"/>
        <v>2.0768029051008017</v>
      </c>
      <c r="N30" s="102">
        <f t="shared" si="1"/>
        <v>7</v>
      </c>
      <c r="O30" s="103">
        <f t="shared" si="1"/>
        <v>0.25925925925925924</v>
      </c>
      <c r="P30" s="104">
        <f t="shared" si="1"/>
        <v>1.918242338663826E-2</v>
      </c>
      <c r="Q30" s="99"/>
      <c r="R30" s="99"/>
      <c r="S30" s="99"/>
      <c r="U30" s="159">
        <f t="shared" si="6"/>
        <v>3</v>
      </c>
      <c r="V30" s="159">
        <v>5</v>
      </c>
      <c r="W30" s="159">
        <f t="shared" si="7"/>
        <v>2.1960350709010727</v>
      </c>
      <c r="X30" s="160">
        <f t="shared" si="2"/>
        <v>8</v>
      </c>
      <c r="Y30" s="161">
        <f t="shared" si="2"/>
        <v>0.29629629629629628</v>
      </c>
      <c r="Z30" s="162">
        <f t="shared" si="2"/>
        <v>3.1590460858592531E-2</v>
      </c>
      <c r="AA30" s="158"/>
      <c r="AB30" s="158"/>
      <c r="AC30" s="158"/>
    </row>
    <row r="31" spans="1:29" ht="15">
      <c r="A31" s="99"/>
      <c r="B31" s="99" t="s">
        <v>232</v>
      </c>
      <c r="C31" s="99" t="s">
        <v>187</v>
      </c>
      <c r="D31" s="99" t="s">
        <v>208</v>
      </c>
      <c r="E31" s="99" t="s">
        <v>209</v>
      </c>
      <c r="F31" s="99" t="s">
        <v>210</v>
      </c>
      <c r="G31" s="99"/>
      <c r="H31" s="99"/>
      <c r="I31" s="99"/>
      <c r="K31" s="99"/>
      <c r="L31" s="99" t="s">
        <v>232</v>
      </c>
      <c r="M31" s="99" t="s">
        <v>187</v>
      </c>
      <c r="N31" s="99" t="s">
        <v>208</v>
      </c>
      <c r="O31" s="99" t="s">
        <v>209</v>
      </c>
      <c r="P31" s="99" t="s">
        <v>210</v>
      </c>
      <c r="Q31" s="99"/>
      <c r="R31" s="99"/>
      <c r="S31" s="99"/>
      <c r="U31" s="158"/>
      <c r="V31" s="158" t="s">
        <v>232</v>
      </c>
      <c r="W31" s="158" t="s">
        <v>187</v>
      </c>
      <c r="X31" s="158" t="s">
        <v>208</v>
      </c>
      <c r="Y31" s="158" t="s">
        <v>209</v>
      </c>
      <c r="Z31" s="158" t="s">
        <v>210</v>
      </c>
      <c r="AA31" s="158"/>
      <c r="AB31" s="158"/>
      <c r="AC31" s="158"/>
    </row>
    <row r="32" spans="1:29" ht="15">
      <c r="A32" s="86" t="s">
        <v>214</v>
      </c>
      <c r="B32" s="99">
        <f>B26</f>
        <v>1</v>
      </c>
      <c r="C32" s="101">
        <f>INDEX(C$26:C$30,MATCH($B32,$A$26:$A$30,0))</f>
        <v>4.248615820438876</v>
      </c>
      <c r="D32" s="102">
        <f t="shared" ref="D32:F32" si="8">INDEX(D$26:D$30,MATCH($B32,$A$26:$A$30,0))</f>
        <v>3</v>
      </c>
      <c r="E32" s="103">
        <f t="shared" si="8"/>
        <v>0.1111111111111111</v>
      </c>
      <c r="F32" s="104">
        <f t="shared" si="8"/>
        <v>0.19562086043803573</v>
      </c>
      <c r="G32" s="99"/>
      <c r="H32" s="99"/>
      <c r="I32" s="99"/>
      <c r="K32" s="86" t="s">
        <v>214</v>
      </c>
      <c r="L32" s="99">
        <f>L26</f>
        <v>1</v>
      </c>
      <c r="M32" s="101">
        <f>INDEX(M$26:M$30,MATCH($B32,$A$26:$A$30,0))</f>
        <v>2.8789308075384001</v>
      </c>
      <c r="N32" s="102">
        <f t="shared" ref="N32:P32" si="9">INDEX(N$26:N$30,MATCH($B32,$A$26:$A$30,0))</f>
        <v>5</v>
      </c>
      <c r="O32" s="103">
        <f t="shared" si="9"/>
        <v>0.18518518518518517</v>
      </c>
      <c r="P32" s="104">
        <f t="shared" si="9"/>
        <v>0.23469356872150157</v>
      </c>
      <c r="Q32" s="99"/>
      <c r="R32" s="99"/>
      <c r="S32" s="99"/>
      <c r="U32" s="144" t="s">
        <v>214</v>
      </c>
      <c r="V32" s="158">
        <f>V26</f>
        <v>1</v>
      </c>
      <c r="W32" s="159">
        <f>INDEX(W$26:W$30,MATCH($B32,$A$26:$A$30,0))</f>
        <v>3.3537037834800514</v>
      </c>
      <c r="X32" s="160">
        <f t="shared" ref="X32:Z32" si="10">INDEX(X$26:X$30,MATCH($B32,$A$26:$A$30,0))</f>
        <v>3</v>
      </c>
      <c r="Y32" s="161">
        <f t="shared" si="10"/>
        <v>0.1111111111111111</v>
      </c>
      <c r="Z32" s="162">
        <f t="shared" si="10"/>
        <v>0.13130009782378563</v>
      </c>
      <c r="AA32" s="158"/>
      <c r="AB32" s="158"/>
      <c r="AC32" s="158"/>
    </row>
    <row r="33" spans="1:29" ht="15">
      <c r="A33" s="86" t="s">
        <v>215</v>
      </c>
      <c r="B33" s="99">
        <f t="shared" ref="B33:B36" si="11">B27</f>
        <v>2</v>
      </c>
      <c r="C33" s="101">
        <f t="shared" ref="C33:F36" si="12">INDEX(C$26:C$30,MATCH($B33,$A$26:$A$30,0))</f>
        <v>3.1940124029186001</v>
      </c>
      <c r="D33" s="102">
        <f t="shared" si="12"/>
        <v>7</v>
      </c>
      <c r="E33" s="103">
        <f t="shared" si="12"/>
        <v>0.25925925925925924</v>
      </c>
      <c r="F33" s="104">
        <f t="shared" si="12"/>
        <v>0.36366733800685547</v>
      </c>
      <c r="G33" s="99"/>
      <c r="H33" s="99"/>
      <c r="I33" s="99"/>
      <c r="K33" s="86" t="s">
        <v>215</v>
      </c>
      <c r="L33" s="99">
        <f t="shared" ref="L33:L36" si="13">L27</f>
        <v>2</v>
      </c>
      <c r="M33" s="101">
        <f t="shared" ref="M33:P36" si="14">INDEX(M$26:M$30,MATCH($B33,$A$26:$A$30,0))</f>
        <v>2.3071921497089303</v>
      </c>
      <c r="N33" s="102">
        <f t="shared" si="14"/>
        <v>6</v>
      </c>
      <c r="O33" s="103">
        <f t="shared" si="14"/>
        <v>0.22222222222222221</v>
      </c>
      <c r="P33" s="104">
        <f t="shared" si="14"/>
        <v>4.4535876526771462E-2</v>
      </c>
      <c r="Q33" s="99"/>
      <c r="R33" s="99"/>
      <c r="S33" s="99"/>
      <c r="U33" s="144" t="s">
        <v>215</v>
      </c>
      <c r="V33" s="158">
        <f t="shared" ref="V33:V36" si="15">V27</f>
        <v>2</v>
      </c>
      <c r="W33" s="159">
        <f t="shared" ref="W33:Z36" si="16">INDEX(W$26:W$30,MATCH($B33,$A$26:$A$30,0))</f>
        <v>2.6250858890672539</v>
      </c>
      <c r="X33" s="160">
        <f t="shared" si="16"/>
        <v>7</v>
      </c>
      <c r="Y33" s="161">
        <f t="shared" si="16"/>
        <v>0.25925925925925924</v>
      </c>
      <c r="Z33" s="162">
        <f t="shared" si="16"/>
        <v>0.21236986773787137</v>
      </c>
      <c r="AA33" s="158"/>
      <c r="AB33" s="158"/>
      <c r="AC33" s="158"/>
    </row>
    <row r="34" spans="1:29" ht="15">
      <c r="A34" s="86" t="s">
        <v>216</v>
      </c>
      <c r="B34" s="99">
        <f t="shared" si="11"/>
        <v>3</v>
      </c>
      <c r="C34" s="101">
        <f t="shared" si="12"/>
        <v>2.5898099464177835</v>
      </c>
      <c r="D34" s="102">
        <f t="shared" si="12"/>
        <v>8</v>
      </c>
      <c r="E34" s="103">
        <f t="shared" si="12"/>
        <v>0.29629629629629628</v>
      </c>
      <c r="F34" s="104">
        <f t="shared" si="12"/>
        <v>0.11265072453832919</v>
      </c>
      <c r="G34" s="99"/>
      <c r="H34" s="99"/>
      <c r="I34" s="99"/>
      <c r="K34" s="86" t="s">
        <v>216</v>
      </c>
      <c r="L34" s="99">
        <f t="shared" si="13"/>
        <v>3</v>
      </c>
      <c r="M34" s="101">
        <f t="shared" si="14"/>
        <v>2.0768029051008017</v>
      </c>
      <c r="N34" s="102">
        <f t="shared" si="14"/>
        <v>7</v>
      </c>
      <c r="O34" s="103">
        <f t="shared" si="14"/>
        <v>0.25925925925925924</v>
      </c>
      <c r="P34" s="104">
        <f t="shared" si="14"/>
        <v>1.918242338663826E-2</v>
      </c>
      <c r="Q34" s="99"/>
      <c r="R34" s="99"/>
      <c r="S34" s="99"/>
      <c r="U34" s="144" t="s">
        <v>216</v>
      </c>
      <c r="V34" s="158">
        <f t="shared" si="15"/>
        <v>3</v>
      </c>
      <c r="W34" s="159">
        <f t="shared" si="16"/>
        <v>2.1960350709010727</v>
      </c>
      <c r="X34" s="160">
        <f t="shared" si="16"/>
        <v>8</v>
      </c>
      <c r="Y34" s="161">
        <f t="shared" si="16"/>
        <v>0.29629629629629628</v>
      </c>
      <c r="Z34" s="162">
        <f t="shared" si="16"/>
        <v>3.1590460858592531E-2</v>
      </c>
      <c r="AA34" s="158"/>
      <c r="AB34" s="158"/>
      <c r="AC34" s="158"/>
    </row>
    <row r="35" spans="1:29" ht="15">
      <c r="A35" s="86" t="s">
        <v>217</v>
      </c>
      <c r="B35" s="99">
        <f t="shared" si="11"/>
        <v>4</v>
      </c>
      <c r="C35" s="101">
        <f t="shared" si="12"/>
        <v>2.064025768385688</v>
      </c>
      <c r="D35" s="102">
        <f t="shared" si="12"/>
        <v>6</v>
      </c>
      <c r="E35" s="103">
        <f t="shared" si="12"/>
        <v>0.22222222222222221</v>
      </c>
      <c r="F35" s="104">
        <f t="shared" si="12"/>
        <v>0.18117985233679282</v>
      </c>
      <c r="G35" s="99"/>
      <c r="H35" s="99"/>
      <c r="I35" s="99"/>
      <c r="K35" s="86" t="s">
        <v>217</v>
      </c>
      <c r="L35" s="99">
        <f t="shared" si="13"/>
        <v>4</v>
      </c>
      <c r="M35" s="101">
        <f t="shared" si="14"/>
        <v>1.7301893962320274</v>
      </c>
      <c r="N35" s="102">
        <f t="shared" si="14"/>
        <v>4</v>
      </c>
      <c r="O35" s="103">
        <f t="shared" si="14"/>
        <v>0.14814814814814814</v>
      </c>
      <c r="P35" s="104">
        <f t="shared" si="14"/>
        <v>2.0003303946055553E-2</v>
      </c>
      <c r="Q35" s="99"/>
      <c r="R35" s="99"/>
      <c r="S35" s="99"/>
      <c r="U35" s="144" t="s">
        <v>217</v>
      </c>
      <c r="V35" s="158">
        <f t="shared" si="15"/>
        <v>4</v>
      </c>
      <c r="W35" s="159">
        <f t="shared" si="16"/>
        <v>1.751484038586544</v>
      </c>
      <c r="X35" s="160">
        <f t="shared" si="16"/>
        <v>5</v>
      </c>
      <c r="Y35" s="161">
        <f t="shared" si="16"/>
        <v>0.18518518518518517</v>
      </c>
      <c r="Z35" s="162">
        <f t="shared" si="16"/>
        <v>6.597236351505692E-2</v>
      </c>
      <c r="AA35" s="158"/>
      <c r="AB35" s="158"/>
      <c r="AC35" s="158"/>
    </row>
    <row r="36" spans="1:29" ht="15">
      <c r="A36" s="86" t="s">
        <v>218</v>
      </c>
      <c r="B36" s="99">
        <f t="shared" si="11"/>
        <v>5</v>
      </c>
      <c r="C36" s="101">
        <f t="shared" si="12"/>
        <v>1.3205535080578468</v>
      </c>
      <c r="D36" s="102">
        <f t="shared" si="12"/>
        <v>3</v>
      </c>
      <c r="E36" s="103">
        <f t="shared" si="12"/>
        <v>0.1111111111111111</v>
      </c>
      <c r="F36" s="104">
        <f t="shared" si="12"/>
        <v>3.8125702950768441E-2</v>
      </c>
      <c r="G36" s="99"/>
      <c r="H36" s="99"/>
      <c r="I36" s="99"/>
      <c r="K36" s="86" t="s">
        <v>218</v>
      </c>
      <c r="L36" s="99">
        <f t="shared" si="13"/>
        <v>5</v>
      </c>
      <c r="M36" s="101">
        <f t="shared" si="14"/>
        <v>1.3486193162997107</v>
      </c>
      <c r="N36" s="102">
        <f t="shared" si="14"/>
        <v>5</v>
      </c>
      <c r="O36" s="103">
        <f t="shared" si="14"/>
        <v>0.18518518518518517</v>
      </c>
      <c r="P36" s="104">
        <f t="shared" si="14"/>
        <v>2.6842369383793044E-2</v>
      </c>
      <c r="Q36" s="99"/>
      <c r="R36" s="99"/>
      <c r="S36" s="99"/>
      <c r="U36" s="144" t="s">
        <v>218</v>
      </c>
      <c r="V36" s="158">
        <f t="shared" si="15"/>
        <v>5</v>
      </c>
      <c r="W36" s="159">
        <f t="shared" si="16"/>
        <v>1.3385470391577359</v>
      </c>
      <c r="X36" s="160">
        <f t="shared" si="16"/>
        <v>4</v>
      </c>
      <c r="Y36" s="161">
        <f t="shared" si="16"/>
        <v>0.14814814814814814</v>
      </c>
      <c r="Z36" s="162">
        <f t="shared" si="16"/>
        <v>5.0197222500686693E-2</v>
      </c>
      <c r="AA36" s="158"/>
      <c r="AB36" s="158"/>
      <c r="AC36" s="158"/>
    </row>
    <row r="37" spans="1:29" ht="15.75" thickBot="1">
      <c r="A37" s="86"/>
      <c r="B37" s="99"/>
      <c r="C37" s="99"/>
      <c r="D37" s="87"/>
      <c r="E37" s="105"/>
      <c r="F37" s="106"/>
      <c r="G37" s="99"/>
      <c r="H37" s="99"/>
      <c r="I37" s="99"/>
      <c r="K37" s="86"/>
      <c r="L37" s="99"/>
      <c r="M37" s="99"/>
      <c r="N37" s="87"/>
      <c r="O37" s="105"/>
      <c r="P37" s="106"/>
      <c r="Q37" s="99"/>
      <c r="R37" s="99"/>
      <c r="S37" s="99"/>
      <c r="U37" s="144"/>
      <c r="V37" s="158"/>
      <c r="W37" s="158"/>
      <c r="X37" s="145"/>
      <c r="Y37" s="163"/>
      <c r="Z37" s="164"/>
      <c r="AA37" s="158"/>
      <c r="AB37" s="158"/>
      <c r="AC37" s="158"/>
    </row>
    <row r="38" spans="1:29">
      <c r="A38" s="322"/>
      <c r="B38" s="10"/>
      <c r="C38" s="11" t="s">
        <v>25</v>
      </c>
      <c r="D38" s="11" t="s">
        <v>213</v>
      </c>
      <c r="E38" s="11" t="s">
        <v>219</v>
      </c>
      <c r="F38" s="11"/>
      <c r="G38" s="11"/>
      <c r="H38" s="11"/>
      <c r="I38" s="11"/>
      <c r="K38" s="322"/>
      <c r="L38" s="10"/>
      <c r="M38" s="11" t="s">
        <v>25</v>
      </c>
      <c r="N38" s="11" t="s">
        <v>213</v>
      </c>
      <c r="O38" s="11" t="s">
        <v>219</v>
      </c>
      <c r="P38" s="11"/>
      <c r="Q38" s="11"/>
      <c r="R38" s="11"/>
      <c r="S38" s="11"/>
      <c r="U38" s="322"/>
      <c r="V38" s="10"/>
      <c r="W38" s="11" t="s">
        <v>25</v>
      </c>
      <c r="X38" s="11" t="s">
        <v>213</v>
      </c>
      <c r="Y38" s="11" t="s">
        <v>219</v>
      </c>
      <c r="Z38" s="11"/>
      <c r="AA38" s="11"/>
      <c r="AB38" s="11"/>
      <c r="AC38" s="11"/>
    </row>
    <row r="39" spans="1:29">
      <c r="A39" s="310"/>
      <c r="B39" s="12">
        <v>1</v>
      </c>
      <c r="C39" s="107" t="s">
        <v>27</v>
      </c>
      <c r="D39" s="108">
        <v>1</v>
      </c>
      <c r="E39" s="107">
        <f>LOOKUP(D39,$B$26:$B$30,$A$26:$A$30)</f>
        <v>2</v>
      </c>
      <c r="F39" s="1"/>
      <c r="G39" s="1"/>
      <c r="H39" s="1"/>
      <c r="I39" s="1"/>
      <c r="K39" s="310"/>
      <c r="L39" s="12">
        <v>1</v>
      </c>
      <c r="M39" s="107" t="s">
        <v>27</v>
      </c>
      <c r="N39" s="108">
        <v>1</v>
      </c>
      <c r="O39" s="107">
        <f>LOOKUP(N39,$B$26:$B$30,$A$26:$A$30)</f>
        <v>2</v>
      </c>
      <c r="P39" s="1"/>
      <c r="Q39" s="1"/>
      <c r="R39" s="1"/>
      <c r="S39" s="1"/>
      <c r="U39" s="310"/>
      <c r="V39" s="12">
        <v>1</v>
      </c>
      <c r="W39" s="107" t="s">
        <v>27</v>
      </c>
      <c r="X39" s="165">
        <v>1</v>
      </c>
      <c r="Y39" s="13">
        <f>LOOKUP(X39,$B$26:$B$30,$A$26:$A$30)</f>
        <v>2</v>
      </c>
    </row>
    <row r="40" spans="1:29">
      <c r="A40" s="310"/>
      <c r="B40" s="12">
        <v>2</v>
      </c>
      <c r="C40" s="107" t="s">
        <v>28</v>
      </c>
      <c r="D40" s="109">
        <v>2</v>
      </c>
      <c r="E40" s="107">
        <f t="shared" ref="E40:E65" si="17">LOOKUP(D40,$B$26:$B$30,$A$26:$A$30)</f>
        <v>5</v>
      </c>
      <c r="F40" s="1"/>
      <c r="G40" s="1"/>
      <c r="H40" s="1"/>
      <c r="I40" s="1"/>
      <c r="K40" s="310"/>
      <c r="L40" s="12">
        <v>2</v>
      </c>
      <c r="M40" s="107" t="s">
        <v>28</v>
      </c>
      <c r="N40" s="109">
        <v>2</v>
      </c>
      <c r="O40" s="107">
        <f t="shared" ref="O40:O65" si="18">LOOKUP(N40,$B$26:$B$30,$A$26:$A$30)</f>
        <v>5</v>
      </c>
      <c r="P40" s="1"/>
      <c r="Q40" s="1"/>
      <c r="R40" s="1"/>
      <c r="S40" s="1"/>
      <c r="U40" s="310"/>
      <c r="V40" s="12">
        <v>2</v>
      </c>
      <c r="W40" s="107" t="s">
        <v>28</v>
      </c>
      <c r="X40" s="166">
        <v>2</v>
      </c>
      <c r="Y40" s="13">
        <f t="shared" ref="Y40:Y65" si="19">LOOKUP(X40,$B$26:$B$30,$A$26:$A$30)</f>
        <v>5</v>
      </c>
    </row>
    <row r="41" spans="1:29" ht="15" thickBot="1">
      <c r="A41" s="311"/>
      <c r="B41" s="12">
        <v>3</v>
      </c>
      <c r="C41" s="107" t="s">
        <v>29</v>
      </c>
      <c r="D41" s="109">
        <v>3</v>
      </c>
      <c r="E41" s="107">
        <f t="shared" si="17"/>
        <v>1</v>
      </c>
      <c r="F41" s="1"/>
      <c r="G41" s="1"/>
      <c r="H41" s="1"/>
      <c r="I41" s="1"/>
      <c r="K41" s="311"/>
      <c r="L41" s="12">
        <v>3</v>
      </c>
      <c r="M41" s="107" t="s">
        <v>29</v>
      </c>
      <c r="N41" s="109">
        <v>3</v>
      </c>
      <c r="O41" s="107">
        <f t="shared" si="18"/>
        <v>1</v>
      </c>
      <c r="P41" s="1"/>
      <c r="Q41" s="1"/>
      <c r="R41" s="1"/>
      <c r="S41" s="1"/>
      <c r="U41" s="311"/>
      <c r="V41" s="12">
        <v>3</v>
      </c>
      <c r="W41" s="107" t="s">
        <v>29</v>
      </c>
      <c r="X41" s="166">
        <v>3</v>
      </c>
      <c r="Y41" s="13">
        <f t="shared" si="19"/>
        <v>1</v>
      </c>
    </row>
    <row r="42" spans="1:29" ht="11.25" customHeight="1">
      <c r="A42" s="14"/>
      <c r="B42" s="12">
        <v>4</v>
      </c>
      <c r="C42" s="107" t="s">
        <v>30</v>
      </c>
      <c r="D42" s="109">
        <v>4</v>
      </c>
      <c r="E42" s="107">
        <f t="shared" si="17"/>
        <v>4</v>
      </c>
      <c r="F42" s="1"/>
      <c r="G42" s="1"/>
      <c r="H42" s="1"/>
      <c r="I42" s="1"/>
      <c r="K42" s="14"/>
      <c r="L42" s="12">
        <v>4</v>
      </c>
      <c r="M42" s="107" t="s">
        <v>30</v>
      </c>
      <c r="N42" s="109">
        <v>4</v>
      </c>
      <c r="O42" s="107">
        <f t="shared" si="18"/>
        <v>4</v>
      </c>
      <c r="P42" s="1"/>
      <c r="Q42" s="1"/>
      <c r="R42" s="1"/>
      <c r="S42" s="1"/>
      <c r="U42" s="14"/>
      <c r="V42" s="12">
        <v>4</v>
      </c>
      <c r="W42" s="107" t="s">
        <v>30</v>
      </c>
      <c r="X42" s="166">
        <v>4</v>
      </c>
      <c r="Y42" s="13">
        <f t="shared" si="19"/>
        <v>4</v>
      </c>
    </row>
    <row r="43" spans="1:29" ht="11.25" customHeight="1">
      <c r="A43" s="14"/>
      <c r="B43" s="12">
        <v>5</v>
      </c>
      <c r="C43" s="107" t="s">
        <v>31</v>
      </c>
      <c r="D43" s="109">
        <v>5</v>
      </c>
      <c r="E43" s="107">
        <f t="shared" si="17"/>
        <v>3</v>
      </c>
      <c r="F43" s="1"/>
      <c r="G43" s="1"/>
      <c r="H43" s="1"/>
      <c r="I43" s="1"/>
      <c r="K43" s="14"/>
      <c r="L43" s="12">
        <v>5</v>
      </c>
      <c r="M43" s="107" t="s">
        <v>31</v>
      </c>
      <c r="N43" s="109">
        <v>5</v>
      </c>
      <c r="O43" s="107">
        <f t="shared" si="18"/>
        <v>3</v>
      </c>
      <c r="P43" s="1"/>
      <c r="Q43" s="1"/>
      <c r="R43" s="1"/>
      <c r="S43" s="1"/>
      <c r="U43" s="14"/>
      <c r="V43" s="12">
        <v>5</v>
      </c>
      <c r="W43" s="107" t="s">
        <v>31</v>
      </c>
      <c r="X43" s="166">
        <v>5</v>
      </c>
      <c r="Y43" s="13">
        <f t="shared" si="19"/>
        <v>3</v>
      </c>
    </row>
    <row r="44" spans="1:29" ht="11.25" customHeight="1">
      <c r="A44" s="14"/>
      <c r="B44" s="12">
        <v>6</v>
      </c>
      <c r="C44" s="107" t="s">
        <v>32</v>
      </c>
      <c r="D44" s="109">
        <v>4</v>
      </c>
      <c r="E44" s="107">
        <f t="shared" si="17"/>
        <v>4</v>
      </c>
      <c r="F44" s="1"/>
      <c r="G44" s="1"/>
      <c r="H44" s="1"/>
      <c r="I44" s="1"/>
      <c r="K44" s="14"/>
      <c r="L44" s="12">
        <v>6</v>
      </c>
      <c r="M44" s="107" t="s">
        <v>32</v>
      </c>
      <c r="N44" s="109">
        <v>4</v>
      </c>
      <c r="O44" s="107">
        <f t="shared" si="18"/>
        <v>4</v>
      </c>
      <c r="P44" s="1"/>
      <c r="Q44" s="1"/>
      <c r="R44" s="1"/>
      <c r="S44" s="1"/>
      <c r="U44" s="14"/>
      <c r="V44" s="12">
        <v>6</v>
      </c>
      <c r="W44" s="107" t="s">
        <v>32</v>
      </c>
      <c r="X44" s="166">
        <v>4</v>
      </c>
      <c r="Y44" s="13">
        <f t="shared" si="19"/>
        <v>4</v>
      </c>
    </row>
    <row r="45" spans="1:29" ht="11.25" customHeight="1">
      <c r="A45" s="14"/>
      <c r="B45" s="12">
        <v>7</v>
      </c>
      <c r="C45" s="107" t="s">
        <v>33</v>
      </c>
      <c r="D45" s="109">
        <v>1</v>
      </c>
      <c r="E45" s="107">
        <f t="shared" si="17"/>
        <v>2</v>
      </c>
      <c r="F45" s="1"/>
      <c r="G45" s="1"/>
      <c r="H45" s="1"/>
      <c r="I45" s="1"/>
      <c r="K45" s="14"/>
      <c r="L45" s="12">
        <v>7</v>
      </c>
      <c r="M45" s="107" t="s">
        <v>33</v>
      </c>
      <c r="N45" s="109">
        <v>3</v>
      </c>
      <c r="O45" s="107">
        <f t="shared" si="18"/>
        <v>1</v>
      </c>
      <c r="P45" s="1"/>
      <c r="Q45" s="1"/>
      <c r="R45" s="1"/>
      <c r="S45" s="1"/>
      <c r="U45" s="14"/>
      <c r="V45" s="12">
        <v>7</v>
      </c>
      <c r="W45" s="107" t="s">
        <v>33</v>
      </c>
      <c r="X45" s="166">
        <v>1</v>
      </c>
      <c r="Y45" s="13">
        <f t="shared" si="19"/>
        <v>2</v>
      </c>
    </row>
    <row r="46" spans="1:29" ht="11.25" customHeight="1">
      <c r="A46" s="14"/>
      <c r="B46" s="12">
        <v>8</v>
      </c>
      <c r="C46" s="107" t="s">
        <v>34</v>
      </c>
      <c r="D46" s="109">
        <v>1</v>
      </c>
      <c r="E46" s="107">
        <f t="shared" si="17"/>
        <v>2</v>
      </c>
      <c r="F46" s="1"/>
      <c r="G46" s="1"/>
      <c r="H46" s="1"/>
      <c r="I46" s="1"/>
      <c r="K46" s="14"/>
      <c r="L46" s="12">
        <v>8</v>
      </c>
      <c r="M46" s="107" t="s">
        <v>34</v>
      </c>
      <c r="N46" s="109">
        <v>1</v>
      </c>
      <c r="O46" s="107">
        <f t="shared" si="18"/>
        <v>2</v>
      </c>
      <c r="P46" s="1"/>
      <c r="Q46" s="1"/>
      <c r="R46" s="1"/>
      <c r="S46" s="1"/>
      <c r="U46" s="14"/>
      <c r="V46" s="12">
        <v>8</v>
      </c>
      <c r="W46" s="107" t="s">
        <v>34</v>
      </c>
      <c r="X46" s="166">
        <v>1</v>
      </c>
      <c r="Y46" s="13">
        <f t="shared" si="19"/>
        <v>2</v>
      </c>
    </row>
    <row r="47" spans="1:29" ht="11.25" customHeight="1">
      <c r="A47" s="14"/>
      <c r="B47" s="12">
        <v>9</v>
      </c>
      <c r="C47" s="107" t="s">
        <v>35</v>
      </c>
      <c r="D47" s="109">
        <v>1</v>
      </c>
      <c r="E47" s="107">
        <f t="shared" si="17"/>
        <v>2</v>
      </c>
      <c r="F47" s="1"/>
      <c r="G47" s="1"/>
      <c r="H47" s="1"/>
      <c r="I47" s="1"/>
      <c r="K47" s="14"/>
      <c r="L47" s="12">
        <v>9</v>
      </c>
      <c r="M47" s="107" t="s">
        <v>35</v>
      </c>
      <c r="N47" s="109">
        <v>1</v>
      </c>
      <c r="O47" s="107">
        <f t="shared" si="18"/>
        <v>2</v>
      </c>
      <c r="P47" s="1"/>
      <c r="Q47" s="1"/>
      <c r="R47" s="1"/>
      <c r="S47" s="1"/>
      <c r="U47" s="14"/>
      <c r="V47" s="12">
        <v>9</v>
      </c>
      <c r="W47" s="107" t="s">
        <v>35</v>
      </c>
      <c r="X47" s="166">
        <v>1</v>
      </c>
      <c r="Y47" s="13">
        <f t="shared" si="19"/>
        <v>2</v>
      </c>
    </row>
    <row r="48" spans="1:29" ht="11.25" customHeight="1" thickBot="1">
      <c r="A48" s="14"/>
      <c r="B48" s="12">
        <v>10</v>
      </c>
      <c r="C48" s="107" t="s">
        <v>36</v>
      </c>
      <c r="D48" s="109">
        <v>5</v>
      </c>
      <c r="E48" s="107">
        <f t="shared" si="17"/>
        <v>3</v>
      </c>
      <c r="F48" s="1"/>
      <c r="G48" s="1"/>
      <c r="H48" s="1"/>
      <c r="I48" s="1"/>
      <c r="K48" s="14"/>
      <c r="L48" s="12">
        <v>10</v>
      </c>
      <c r="M48" s="107" t="s">
        <v>36</v>
      </c>
      <c r="N48" s="109">
        <v>1</v>
      </c>
      <c r="O48" s="107">
        <f t="shared" si="18"/>
        <v>2</v>
      </c>
      <c r="P48" s="1"/>
      <c r="Q48" s="1"/>
      <c r="R48" s="1"/>
      <c r="S48" s="1"/>
      <c r="U48" s="14"/>
      <c r="V48" s="12">
        <v>10</v>
      </c>
      <c r="W48" s="107" t="s">
        <v>36</v>
      </c>
      <c r="X48" s="166">
        <v>5</v>
      </c>
      <c r="Y48" s="13">
        <f t="shared" si="19"/>
        <v>3</v>
      </c>
    </row>
    <row r="49" spans="1:25" ht="11.25" customHeight="1">
      <c r="A49" s="14"/>
      <c r="B49" s="12">
        <v>11</v>
      </c>
      <c r="C49" s="107" t="s">
        <v>37</v>
      </c>
      <c r="D49" s="110">
        <v>5</v>
      </c>
      <c r="E49" s="107">
        <f t="shared" si="17"/>
        <v>3</v>
      </c>
      <c r="F49" s="1"/>
      <c r="G49" s="1"/>
      <c r="H49" s="1"/>
      <c r="I49" s="1"/>
      <c r="K49" s="14"/>
      <c r="L49" s="12">
        <v>11</v>
      </c>
      <c r="M49" s="107" t="s">
        <v>37</v>
      </c>
      <c r="N49" s="110">
        <v>5</v>
      </c>
      <c r="O49" s="107">
        <f t="shared" si="18"/>
        <v>3</v>
      </c>
      <c r="P49" s="1"/>
      <c r="Q49" s="1"/>
      <c r="R49" s="1"/>
      <c r="S49" s="1"/>
      <c r="U49" s="14"/>
      <c r="V49" s="12">
        <v>11</v>
      </c>
      <c r="W49" s="107" t="s">
        <v>37</v>
      </c>
      <c r="X49" s="167">
        <v>5</v>
      </c>
      <c r="Y49" s="13">
        <f t="shared" si="19"/>
        <v>3</v>
      </c>
    </row>
    <row r="50" spans="1:25" ht="11.25" customHeight="1">
      <c r="A50" s="14"/>
      <c r="B50" s="12">
        <v>12</v>
      </c>
      <c r="C50" s="107" t="s">
        <v>38</v>
      </c>
      <c r="D50" s="109">
        <v>5</v>
      </c>
      <c r="E50" s="107">
        <f t="shared" si="17"/>
        <v>3</v>
      </c>
      <c r="F50" s="1"/>
      <c r="G50" s="1"/>
      <c r="H50" s="1"/>
      <c r="I50" s="1"/>
      <c r="K50" s="14"/>
      <c r="L50" s="12">
        <v>12</v>
      </c>
      <c r="M50" s="107" t="s">
        <v>38</v>
      </c>
      <c r="N50" s="109">
        <v>5</v>
      </c>
      <c r="O50" s="107">
        <f t="shared" si="18"/>
        <v>3</v>
      </c>
      <c r="P50" s="1"/>
      <c r="Q50" s="1"/>
      <c r="R50" s="1"/>
      <c r="S50" s="1"/>
      <c r="U50" s="14"/>
      <c r="V50" s="12">
        <v>12</v>
      </c>
      <c r="W50" s="107" t="s">
        <v>38</v>
      </c>
      <c r="X50" s="166">
        <v>5</v>
      </c>
      <c r="Y50" s="13">
        <f t="shared" si="19"/>
        <v>3</v>
      </c>
    </row>
    <row r="51" spans="1:25" ht="11.25" customHeight="1">
      <c r="A51" s="14"/>
      <c r="B51" s="12">
        <v>13</v>
      </c>
      <c r="C51" s="107" t="s">
        <v>39</v>
      </c>
      <c r="D51" s="109">
        <v>5</v>
      </c>
      <c r="E51" s="107">
        <f t="shared" si="17"/>
        <v>3</v>
      </c>
      <c r="F51" s="1"/>
      <c r="G51" s="1"/>
      <c r="H51" s="1"/>
      <c r="I51" s="1"/>
      <c r="K51" s="14"/>
      <c r="L51" s="12">
        <v>13</v>
      </c>
      <c r="M51" s="107" t="s">
        <v>39</v>
      </c>
      <c r="N51" s="109">
        <v>5</v>
      </c>
      <c r="O51" s="107">
        <f t="shared" si="18"/>
        <v>3</v>
      </c>
      <c r="P51" s="1"/>
      <c r="Q51" s="1"/>
      <c r="R51" s="1"/>
      <c r="S51" s="1"/>
      <c r="U51" s="14"/>
      <c r="V51" s="12">
        <v>13</v>
      </c>
      <c r="W51" s="107" t="s">
        <v>39</v>
      </c>
      <c r="X51" s="166">
        <v>5</v>
      </c>
      <c r="Y51" s="13">
        <f t="shared" si="19"/>
        <v>3</v>
      </c>
    </row>
    <row r="52" spans="1:25" ht="11.25" customHeight="1">
      <c r="A52" s="14"/>
      <c r="B52" s="12">
        <v>14</v>
      </c>
      <c r="C52" s="107" t="s">
        <v>40</v>
      </c>
      <c r="D52" s="109">
        <v>4</v>
      </c>
      <c r="E52" s="107">
        <f t="shared" si="17"/>
        <v>4</v>
      </c>
      <c r="F52" s="1"/>
      <c r="G52" s="1"/>
      <c r="H52" s="1"/>
      <c r="I52" s="1"/>
      <c r="K52" s="14"/>
      <c r="L52" s="12">
        <v>14</v>
      </c>
      <c r="M52" s="107" t="s">
        <v>40</v>
      </c>
      <c r="N52" s="109">
        <v>2</v>
      </c>
      <c r="O52" s="107">
        <f t="shared" si="18"/>
        <v>5</v>
      </c>
      <c r="P52" s="1"/>
      <c r="Q52" s="1"/>
      <c r="R52" s="1"/>
      <c r="S52" s="1"/>
      <c r="U52" s="14"/>
      <c r="V52" s="12">
        <v>14</v>
      </c>
      <c r="W52" s="107" t="s">
        <v>40</v>
      </c>
      <c r="X52" s="166">
        <v>2</v>
      </c>
      <c r="Y52" s="13">
        <f t="shared" si="19"/>
        <v>5</v>
      </c>
    </row>
    <row r="53" spans="1:25" ht="11.25" customHeight="1">
      <c r="A53" s="14"/>
      <c r="B53" s="12">
        <v>15</v>
      </c>
      <c r="C53" s="107" t="s">
        <v>41</v>
      </c>
      <c r="D53" s="109">
        <v>5</v>
      </c>
      <c r="E53" s="107">
        <f t="shared" si="17"/>
        <v>3</v>
      </c>
      <c r="F53" s="1"/>
      <c r="G53" s="1"/>
      <c r="H53" s="1"/>
      <c r="I53" s="1"/>
      <c r="K53" s="14"/>
      <c r="L53" s="12">
        <v>15</v>
      </c>
      <c r="M53" s="107" t="s">
        <v>41</v>
      </c>
      <c r="N53" s="109">
        <v>5</v>
      </c>
      <c r="O53" s="107">
        <f t="shared" si="18"/>
        <v>3</v>
      </c>
      <c r="P53" s="1"/>
      <c r="Q53" s="1"/>
      <c r="R53" s="1"/>
      <c r="S53" s="1"/>
      <c r="U53" s="14"/>
      <c r="V53" s="12">
        <v>15</v>
      </c>
      <c r="W53" s="107" t="s">
        <v>41</v>
      </c>
      <c r="X53" s="166">
        <v>5</v>
      </c>
      <c r="Y53" s="13">
        <f t="shared" si="19"/>
        <v>3</v>
      </c>
    </row>
    <row r="54" spans="1:25" ht="11.25" customHeight="1">
      <c r="A54" s="14"/>
      <c r="B54" s="12">
        <v>16</v>
      </c>
      <c r="C54" s="107" t="s">
        <v>42</v>
      </c>
      <c r="D54" s="109">
        <v>5</v>
      </c>
      <c r="E54" s="107">
        <f t="shared" si="17"/>
        <v>3</v>
      </c>
      <c r="F54" s="1"/>
      <c r="G54" s="1"/>
      <c r="H54" s="1"/>
      <c r="I54" s="1"/>
      <c r="K54" s="14"/>
      <c r="L54" s="12">
        <v>16</v>
      </c>
      <c r="M54" s="107" t="s">
        <v>42</v>
      </c>
      <c r="N54" s="109">
        <v>5</v>
      </c>
      <c r="O54" s="107">
        <f t="shared" si="18"/>
        <v>3</v>
      </c>
      <c r="P54" s="1"/>
      <c r="Q54" s="1"/>
      <c r="R54" s="1"/>
      <c r="S54" s="1"/>
      <c r="U54" s="14"/>
      <c r="V54" s="12">
        <v>16</v>
      </c>
      <c r="W54" s="107" t="s">
        <v>42</v>
      </c>
      <c r="X54" s="166">
        <v>5</v>
      </c>
      <c r="Y54" s="13">
        <f t="shared" si="19"/>
        <v>3</v>
      </c>
    </row>
    <row r="55" spans="1:25" ht="11.25" customHeight="1">
      <c r="A55" s="14"/>
      <c r="B55" s="12">
        <v>17</v>
      </c>
      <c r="C55" s="107" t="s">
        <v>43</v>
      </c>
      <c r="D55" s="109">
        <v>3</v>
      </c>
      <c r="E55" s="107">
        <f t="shared" si="17"/>
        <v>1</v>
      </c>
      <c r="F55" s="1"/>
      <c r="G55" s="1"/>
      <c r="H55" s="1"/>
      <c r="I55" s="1"/>
      <c r="K55" s="14"/>
      <c r="L55" s="12">
        <v>17</v>
      </c>
      <c r="M55" s="107" t="s">
        <v>43</v>
      </c>
      <c r="N55" s="109">
        <v>3</v>
      </c>
      <c r="O55" s="107">
        <f t="shared" si="18"/>
        <v>1</v>
      </c>
      <c r="P55" s="1"/>
      <c r="Q55" s="1"/>
      <c r="R55" s="1"/>
      <c r="S55" s="1"/>
      <c r="U55" s="14"/>
      <c r="V55" s="12">
        <v>17</v>
      </c>
      <c r="W55" s="107" t="s">
        <v>43</v>
      </c>
      <c r="X55" s="166">
        <v>3</v>
      </c>
      <c r="Y55" s="13">
        <f t="shared" si="19"/>
        <v>1</v>
      </c>
    </row>
    <row r="56" spans="1:25" ht="11.25" customHeight="1">
      <c r="A56" s="14"/>
      <c r="B56" s="12">
        <v>18</v>
      </c>
      <c r="C56" s="107" t="s">
        <v>44</v>
      </c>
      <c r="D56" s="109">
        <v>1</v>
      </c>
      <c r="E56" s="107">
        <f t="shared" si="17"/>
        <v>2</v>
      </c>
      <c r="F56" s="1"/>
      <c r="G56" s="1"/>
      <c r="H56" s="1"/>
      <c r="I56" s="1"/>
      <c r="K56" s="14"/>
      <c r="L56" s="12">
        <v>18</v>
      </c>
      <c r="M56" s="107" t="s">
        <v>44</v>
      </c>
      <c r="N56" s="109">
        <v>1</v>
      </c>
      <c r="O56" s="107">
        <f t="shared" si="18"/>
        <v>2</v>
      </c>
      <c r="P56" s="1"/>
      <c r="Q56" s="1"/>
      <c r="R56" s="1"/>
      <c r="S56" s="1"/>
      <c r="U56" s="14"/>
      <c r="V56" s="12">
        <v>18</v>
      </c>
      <c r="W56" s="107" t="s">
        <v>44</v>
      </c>
      <c r="X56" s="166">
        <v>1</v>
      </c>
      <c r="Y56" s="13">
        <f t="shared" si="19"/>
        <v>2</v>
      </c>
    </row>
    <row r="57" spans="1:25" ht="11.25" customHeight="1">
      <c r="A57" s="14"/>
      <c r="B57" s="12">
        <v>19</v>
      </c>
      <c r="C57" s="107" t="s">
        <v>45</v>
      </c>
      <c r="D57" s="109">
        <v>2</v>
      </c>
      <c r="E57" s="107">
        <f t="shared" si="17"/>
        <v>5</v>
      </c>
      <c r="F57" s="1"/>
      <c r="G57" s="1"/>
      <c r="H57" s="1"/>
      <c r="I57" s="1"/>
      <c r="K57" s="14"/>
      <c r="L57" s="12">
        <v>19</v>
      </c>
      <c r="M57" s="107" t="s">
        <v>45</v>
      </c>
      <c r="N57" s="109">
        <v>2</v>
      </c>
      <c r="O57" s="107">
        <f t="shared" si="18"/>
        <v>5</v>
      </c>
      <c r="P57" s="1"/>
      <c r="Q57" s="1"/>
      <c r="R57" s="1"/>
      <c r="S57" s="1"/>
      <c r="U57" s="14"/>
      <c r="V57" s="12">
        <v>19</v>
      </c>
      <c r="W57" s="107" t="s">
        <v>45</v>
      </c>
      <c r="X57" s="166">
        <v>2</v>
      </c>
      <c r="Y57" s="13">
        <f t="shared" si="19"/>
        <v>5</v>
      </c>
    </row>
    <row r="58" spans="1:25" ht="11.25" customHeight="1" thickBot="1">
      <c r="A58" s="14"/>
      <c r="B58" s="12">
        <v>20</v>
      </c>
      <c r="C58" s="107" t="s">
        <v>46</v>
      </c>
      <c r="D58" s="111">
        <v>5</v>
      </c>
      <c r="E58" s="107">
        <f t="shared" si="17"/>
        <v>3</v>
      </c>
      <c r="F58" s="1"/>
      <c r="G58" s="1"/>
      <c r="H58" s="1"/>
      <c r="I58" s="1"/>
      <c r="K58" s="14"/>
      <c r="L58" s="12">
        <v>20</v>
      </c>
      <c r="M58" s="107" t="s">
        <v>46</v>
      </c>
      <c r="N58" s="111">
        <v>5</v>
      </c>
      <c r="O58" s="107">
        <f t="shared" si="18"/>
        <v>3</v>
      </c>
      <c r="P58" s="1"/>
      <c r="Q58" s="1"/>
      <c r="R58" s="1"/>
      <c r="S58" s="1"/>
      <c r="U58" s="14"/>
      <c r="V58" s="12">
        <v>20</v>
      </c>
      <c r="W58" s="107" t="s">
        <v>46</v>
      </c>
      <c r="X58" s="168">
        <v>5</v>
      </c>
      <c r="Y58" s="13">
        <f t="shared" si="19"/>
        <v>3</v>
      </c>
    </row>
    <row r="59" spans="1:25" ht="11.25" customHeight="1">
      <c r="A59" s="14"/>
      <c r="B59" s="12">
        <v>21</v>
      </c>
      <c r="C59" s="107" t="s">
        <v>47</v>
      </c>
      <c r="D59" s="109">
        <v>1</v>
      </c>
      <c r="E59" s="107">
        <f t="shared" si="17"/>
        <v>2</v>
      </c>
      <c r="F59" s="1"/>
      <c r="G59" s="1"/>
      <c r="H59" s="1"/>
      <c r="I59" s="1"/>
      <c r="K59" s="14"/>
      <c r="L59" s="12">
        <v>21</v>
      </c>
      <c r="M59" s="107" t="s">
        <v>47</v>
      </c>
      <c r="N59" s="109">
        <v>3</v>
      </c>
      <c r="O59" s="107">
        <f t="shared" si="18"/>
        <v>1</v>
      </c>
      <c r="P59" s="1"/>
      <c r="Q59" s="1"/>
      <c r="R59" s="1"/>
      <c r="S59" s="1"/>
      <c r="U59" s="14"/>
      <c r="V59" s="12">
        <v>21</v>
      </c>
      <c r="W59" s="107" t="s">
        <v>47</v>
      </c>
      <c r="X59" s="166">
        <v>1</v>
      </c>
      <c r="Y59" s="13">
        <f t="shared" si="19"/>
        <v>2</v>
      </c>
    </row>
    <row r="60" spans="1:25" ht="11.25" customHeight="1">
      <c r="A60" s="14"/>
      <c r="B60" s="12">
        <v>22</v>
      </c>
      <c r="C60" s="107" t="s">
        <v>48</v>
      </c>
      <c r="D60" s="109">
        <v>2</v>
      </c>
      <c r="E60" s="107">
        <f t="shared" si="17"/>
        <v>5</v>
      </c>
      <c r="F60" s="1"/>
      <c r="G60" s="1"/>
      <c r="H60" s="1"/>
      <c r="I60" s="1"/>
      <c r="K60" s="14"/>
      <c r="L60" s="12">
        <v>22</v>
      </c>
      <c r="M60" s="107" t="s">
        <v>48</v>
      </c>
      <c r="N60" s="109">
        <v>2</v>
      </c>
      <c r="O60" s="107">
        <f t="shared" si="18"/>
        <v>5</v>
      </c>
      <c r="P60" s="1"/>
      <c r="Q60" s="1"/>
      <c r="R60" s="1"/>
      <c r="S60" s="1"/>
      <c r="U60" s="14"/>
      <c r="V60" s="12">
        <v>22</v>
      </c>
      <c r="W60" s="107" t="s">
        <v>48</v>
      </c>
      <c r="X60" s="166">
        <v>2</v>
      </c>
      <c r="Y60" s="13">
        <f t="shared" si="19"/>
        <v>5</v>
      </c>
    </row>
    <row r="61" spans="1:25" ht="11.25" customHeight="1">
      <c r="A61" s="14"/>
      <c r="B61" s="12">
        <v>23</v>
      </c>
      <c r="C61" s="107" t="s">
        <v>49</v>
      </c>
      <c r="D61" s="109">
        <v>1</v>
      </c>
      <c r="E61" s="107">
        <f t="shared" si="17"/>
        <v>2</v>
      </c>
      <c r="F61" s="1"/>
      <c r="G61" s="1"/>
      <c r="H61" s="1"/>
      <c r="I61" s="1"/>
      <c r="K61" s="14"/>
      <c r="L61" s="12">
        <v>23</v>
      </c>
      <c r="M61" s="107" t="s">
        <v>49</v>
      </c>
      <c r="N61" s="109">
        <v>1</v>
      </c>
      <c r="O61" s="107">
        <f t="shared" si="18"/>
        <v>2</v>
      </c>
      <c r="P61" s="1"/>
      <c r="Q61" s="1"/>
      <c r="R61" s="1"/>
      <c r="S61" s="1"/>
      <c r="U61" s="14"/>
      <c r="V61" s="12">
        <v>23</v>
      </c>
      <c r="W61" s="107" t="s">
        <v>49</v>
      </c>
      <c r="X61" s="166">
        <v>1</v>
      </c>
      <c r="Y61" s="13">
        <f t="shared" si="19"/>
        <v>2</v>
      </c>
    </row>
    <row r="62" spans="1:25" ht="11.25" customHeight="1">
      <c r="A62" s="14"/>
      <c r="B62" s="12">
        <v>24</v>
      </c>
      <c r="C62" s="107" t="s">
        <v>50</v>
      </c>
      <c r="D62" s="109">
        <v>4</v>
      </c>
      <c r="E62" s="107">
        <f t="shared" si="17"/>
        <v>4</v>
      </c>
      <c r="F62" s="1"/>
      <c r="G62" s="1"/>
      <c r="H62" s="1"/>
      <c r="I62" s="1"/>
      <c r="K62" s="14"/>
      <c r="L62" s="12">
        <v>24</v>
      </c>
      <c r="M62" s="107" t="s">
        <v>50</v>
      </c>
      <c r="N62" s="109">
        <v>2</v>
      </c>
      <c r="O62" s="107">
        <f t="shared" si="18"/>
        <v>5</v>
      </c>
      <c r="P62" s="1"/>
      <c r="Q62" s="1"/>
      <c r="R62" s="1"/>
      <c r="S62" s="1"/>
      <c r="U62" s="14"/>
      <c r="V62" s="12">
        <v>24</v>
      </c>
      <c r="W62" s="107" t="s">
        <v>50</v>
      </c>
      <c r="X62" s="166">
        <v>4</v>
      </c>
      <c r="Y62" s="13">
        <f t="shared" si="19"/>
        <v>4</v>
      </c>
    </row>
    <row r="63" spans="1:25" ht="11.25" customHeight="1">
      <c r="A63" s="14"/>
      <c r="B63" s="12">
        <v>25</v>
      </c>
      <c r="C63" s="107" t="s">
        <v>51</v>
      </c>
      <c r="D63" s="109">
        <v>4</v>
      </c>
      <c r="E63" s="107">
        <f t="shared" si="17"/>
        <v>4</v>
      </c>
      <c r="F63" s="1"/>
      <c r="G63" s="1"/>
      <c r="H63" s="1"/>
      <c r="I63" s="1"/>
      <c r="K63" s="14"/>
      <c r="L63" s="12">
        <v>25</v>
      </c>
      <c r="M63" s="107" t="s">
        <v>51</v>
      </c>
      <c r="N63" s="109">
        <v>4</v>
      </c>
      <c r="O63" s="107">
        <f t="shared" si="18"/>
        <v>4</v>
      </c>
      <c r="P63" s="1"/>
      <c r="Q63" s="1"/>
      <c r="R63" s="1"/>
      <c r="S63" s="1"/>
      <c r="U63" s="14"/>
      <c r="V63" s="12">
        <v>25</v>
      </c>
      <c r="W63" s="107" t="s">
        <v>51</v>
      </c>
      <c r="X63" s="166">
        <v>4</v>
      </c>
      <c r="Y63" s="13">
        <f t="shared" si="19"/>
        <v>4</v>
      </c>
    </row>
    <row r="64" spans="1:25" ht="11.25" customHeight="1">
      <c r="A64" s="14"/>
      <c r="B64" s="12">
        <v>26</v>
      </c>
      <c r="C64" s="107" t="s">
        <v>52</v>
      </c>
      <c r="D64" s="109">
        <v>3</v>
      </c>
      <c r="E64" s="107">
        <f t="shared" si="17"/>
        <v>1</v>
      </c>
      <c r="F64" s="1"/>
      <c r="G64" s="1"/>
      <c r="H64" s="1"/>
      <c r="I64" s="1"/>
      <c r="K64" s="14"/>
      <c r="L64" s="12">
        <v>26</v>
      </c>
      <c r="M64" s="107" t="s">
        <v>52</v>
      </c>
      <c r="N64" s="109">
        <v>3</v>
      </c>
      <c r="O64" s="107">
        <f t="shared" si="18"/>
        <v>1</v>
      </c>
      <c r="P64" s="1"/>
      <c r="Q64" s="1"/>
      <c r="R64" s="1"/>
      <c r="S64" s="1"/>
      <c r="U64" s="14"/>
      <c r="V64" s="12">
        <v>26</v>
      </c>
      <c r="W64" s="107" t="s">
        <v>52</v>
      </c>
      <c r="X64" s="166">
        <v>3</v>
      </c>
      <c r="Y64" s="13">
        <f t="shared" si="19"/>
        <v>1</v>
      </c>
    </row>
    <row r="65" spans="1:25" ht="11.25" customHeight="1">
      <c r="A65" s="14"/>
      <c r="B65" s="12">
        <v>27</v>
      </c>
      <c r="C65" s="107" t="s">
        <v>53</v>
      </c>
      <c r="D65" s="109">
        <v>4</v>
      </c>
      <c r="E65" s="107">
        <f t="shared" si="17"/>
        <v>4</v>
      </c>
      <c r="F65" s="1"/>
      <c r="G65" s="1"/>
      <c r="H65" s="1"/>
      <c r="I65" s="1"/>
      <c r="K65" s="14"/>
      <c r="L65" s="12">
        <v>27</v>
      </c>
      <c r="M65" s="107" t="s">
        <v>53</v>
      </c>
      <c r="N65" s="109">
        <v>4</v>
      </c>
      <c r="O65" s="107">
        <f t="shared" si="18"/>
        <v>4</v>
      </c>
      <c r="P65" s="1"/>
      <c r="Q65" s="1"/>
      <c r="R65" s="1"/>
      <c r="S65" s="1"/>
      <c r="U65" s="14"/>
      <c r="V65" s="12">
        <v>27</v>
      </c>
      <c r="W65" s="107" t="s">
        <v>53</v>
      </c>
      <c r="X65" s="166">
        <v>4</v>
      </c>
      <c r="Y65" s="13">
        <f t="shared" si="19"/>
        <v>4</v>
      </c>
    </row>
  </sheetData>
  <sheetProtection algorithmName="SHA-512" hashValue="hKDAJJjLATCYCriNRB9wawXy4t3bQQa39180Pu7Qkxmpseh2fYHistCOwlIQ4xILeEAy5Lnpxex9Fel0ybTsjw==" saltValue="Znj+ZqUUJ1FBXjPiTFaDfA==" spinCount="100000" sheet="1" formatCells="0" formatColumns="0" formatRows="0" insertColumns="0" insertRows="0" insertHyperlinks="0" deleteColumns="0" deleteRows="0" sort="0" autoFilter="0" pivotTables="0"/>
  <mergeCells count="19">
    <mergeCell ref="A1:AC1"/>
    <mergeCell ref="A4:H4"/>
    <mergeCell ref="K4:R4"/>
    <mergeCell ref="U4:AB4"/>
    <mergeCell ref="A2:H2"/>
    <mergeCell ref="K2:R2"/>
    <mergeCell ref="U2:AB2"/>
    <mergeCell ref="V6:AC6"/>
    <mergeCell ref="U7:AC7"/>
    <mergeCell ref="V24:AC24"/>
    <mergeCell ref="U38:U41"/>
    <mergeCell ref="B6:I6"/>
    <mergeCell ref="A7:I7"/>
    <mergeCell ref="B24:I24"/>
    <mergeCell ref="A38:A41"/>
    <mergeCell ref="L6:S6"/>
    <mergeCell ref="K7:S7"/>
    <mergeCell ref="L24:S24"/>
    <mergeCell ref="K38:K41"/>
  </mergeCells>
  <conditionalFormatting sqref="B39:B65">
    <cfRule type="notContainsBlanks" dxfId="7" priority="12">
      <formula>LEN(TRIM(B39))&gt;0</formula>
    </cfRule>
  </conditionalFormatting>
  <conditionalFormatting sqref="C38:I38">
    <cfRule type="notContainsBlanks" dxfId="6" priority="11">
      <formula>LEN(TRIM(C38))&gt;0</formula>
    </cfRule>
  </conditionalFormatting>
  <conditionalFormatting sqref="P38:S38">
    <cfRule type="notContainsBlanks" dxfId="5" priority="9">
      <formula>LEN(TRIM(P38))&gt;0</formula>
    </cfRule>
  </conditionalFormatting>
  <conditionalFormatting sqref="M38:O38">
    <cfRule type="notContainsBlanks" dxfId="4" priority="6">
      <formula>LEN(TRIM(M38))&gt;0</formula>
    </cfRule>
  </conditionalFormatting>
  <conditionalFormatting sqref="Z38:AC38">
    <cfRule type="notContainsBlanks" dxfId="3" priority="4">
      <formula>LEN(TRIM(Z38))&gt;0</formula>
    </cfRule>
  </conditionalFormatting>
  <conditionalFormatting sqref="W38:Y38">
    <cfRule type="notContainsBlanks" dxfId="2" priority="3">
      <formula>LEN(TRIM(W38))&gt;0</formula>
    </cfRule>
  </conditionalFormatting>
  <conditionalFormatting sqref="L39:L65">
    <cfRule type="notContainsBlanks" dxfId="1" priority="2">
      <formula>LEN(TRIM(L39))&gt;0</formula>
    </cfRule>
  </conditionalFormatting>
  <conditionalFormatting sqref="V39:V65">
    <cfRule type="notContainsBlanks" dxfId="0" priority="1">
      <formula>LEN(TRIM(V39))&gt;0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0"/>
  <sheetViews>
    <sheetView topLeftCell="A10" workbookViewId="0">
      <selection activeCell="K12" sqref="K12"/>
    </sheetView>
  </sheetViews>
  <sheetFormatPr defaultRowHeight="14.25"/>
  <sheetData>
    <row r="1" spans="1:15" ht="49.5" customHeight="1">
      <c r="A1" s="282" t="str">
        <f>Main!B32</f>
        <v>Step 5. Tabular and graphical visualization of results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</row>
    <row r="2" spans="1:15" ht="18">
      <c r="A2" s="283" t="str">
        <f>Main!C32</f>
        <v>5.a. Entropy weights of health system indicators for all regions under study</v>
      </c>
      <c r="B2" s="283" t="s">
        <v>228</v>
      </c>
      <c r="C2" s="283"/>
      <c r="D2" s="283"/>
      <c r="E2" s="283"/>
      <c r="F2" s="283"/>
      <c r="G2" s="283"/>
      <c r="H2" s="283"/>
    </row>
    <row r="3" spans="1:15" ht="16.5" thickBot="1">
      <c r="B3" s="35" t="s">
        <v>152</v>
      </c>
    </row>
    <row r="4" spans="1:15" ht="32.25" thickBot="1">
      <c r="B4" s="36" t="s">
        <v>153</v>
      </c>
      <c r="C4" s="38" t="s">
        <v>154</v>
      </c>
      <c r="D4" s="37" t="s">
        <v>5</v>
      </c>
      <c r="E4" s="37" t="s">
        <v>155</v>
      </c>
      <c r="F4" s="37" t="s">
        <v>11</v>
      </c>
      <c r="G4" s="37" t="s">
        <v>14</v>
      </c>
      <c r="H4" s="37" t="s">
        <v>156</v>
      </c>
      <c r="I4" s="37" t="s">
        <v>20</v>
      </c>
    </row>
    <row r="5" spans="1:15">
      <c r="B5" s="351" t="s">
        <v>157</v>
      </c>
      <c r="C5" s="38" t="s">
        <v>158</v>
      </c>
      <c r="D5" s="39">
        <f ca="1">'2.1(a,b,c)'!D236</f>
        <v>0.20434907728812768</v>
      </c>
      <c r="E5" s="39">
        <f ca="1">'2.1(a,b,c)'!E236</f>
        <v>0.39916783249767129</v>
      </c>
      <c r="F5" s="39">
        <f ca="1">'2.1(a,b,c)'!F236</f>
        <v>0.10372749664548138</v>
      </c>
      <c r="G5" s="39">
        <f ca="1">'2.1(a,b,c)'!G236</f>
        <v>0.13544995782874866</v>
      </c>
      <c r="H5" s="39">
        <f ca="1">'2.1(a,b,c)'!H236</f>
        <v>9.1417529714349868E-2</v>
      </c>
      <c r="I5" s="39">
        <f ca="1">'2.1(a,b,c)'!I236</f>
        <v>6.588810602562109E-2</v>
      </c>
    </row>
    <row r="6" spans="1:15">
      <c r="B6" s="352"/>
      <c r="C6" s="38" t="s">
        <v>159</v>
      </c>
      <c r="D6" s="39">
        <f ca="1">'2.1(a,b,c)'!N236</f>
        <v>0.21796568197014837</v>
      </c>
      <c r="E6" s="39">
        <f ca="1">'2.1(a,b,c)'!O236</f>
        <v>0.37170591595951402</v>
      </c>
      <c r="F6" s="39">
        <f ca="1">'2.1(a,b,c)'!P236</f>
        <v>9.7535375137318914E-2</v>
      </c>
      <c r="G6" s="39">
        <f ca="1">'2.1(a,b,c)'!Q236</f>
        <v>0.12553222051918292</v>
      </c>
      <c r="H6" s="39">
        <f ca="1">'2.1(a,b,c)'!R236</f>
        <v>0.12283802160317142</v>
      </c>
      <c r="I6" s="39">
        <f ca="1">'2.1(a,b,c)'!S236</f>
        <v>6.4422784810664324E-2</v>
      </c>
    </row>
    <row r="7" spans="1:15">
      <c r="B7" s="353"/>
      <c r="C7" s="38" t="s">
        <v>160</v>
      </c>
      <c r="D7" s="40">
        <f ca="1">'2.1(a,b,c)'!X236</f>
        <v>0.21387055978147676</v>
      </c>
      <c r="E7" s="40">
        <f ca="1">'2.1(a,b,c)'!Y236</f>
        <v>0.388060939660478</v>
      </c>
      <c r="F7" s="40">
        <f ca="1">'2.1(a,b,c)'!Z236</f>
        <v>9.7365695220294382E-2</v>
      </c>
      <c r="G7" s="40">
        <f ca="1">'2.1(a,b,c)'!AA236</f>
        <v>0.13034225914511893</v>
      </c>
      <c r="H7" s="40">
        <f ca="1">'2.1(a,b,c)'!AB236</f>
        <v>0.10351567818666836</v>
      </c>
      <c r="I7" s="40">
        <f ca="1">'2.1(a,b,c)'!AC236</f>
        <v>6.6844868005963565E-2</v>
      </c>
    </row>
    <row r="8" spans="1:15">
      <c r="B8" s="351" t="s">
        <v>161</v>
      </c>
      <c r="C8" s="38" t="s">
        <v>158</v>
      </c>
      <c r="D8" s="39">
        <f ca="1">'2.3(a,b,c)'!D236</f>
        <v>0.32977200414215746</v>
      </c>
      <c r="E8" s="39">
        <f ca="1">'2.3(a,b,c)'!E236</f>
        <v>0.32589584956575057</v>
      </c>
      <c r="F8" s="39">
        <f ca="1">'2.3(a,b,c)'!F236</f>
        <v>6.0176185861690788E-2</v>
      </c>
      <c r="G8" s="39">
        <f ca="1">'2.3(a,b,c)'!G236</f>
        <v>0.17240214881762053</v>
      </c>
      <c r="H8" s="39">
        <f ca="1">'2.3(a,b,c)'!H236</f>
        <v>5.721798624259191E-2</v>
      </c>
      <c r="I8" s="39">
        <f ca="1">'2.3(a,b,c)'!I236</f>
        <v>5.4535825370188716E-2</v>
      </c>
    </row>
    <row r="9" spans="1:15">
      <c r="B9" s="352"/>
      <c r="C9" s="38" t="s">
        <v>159</v>
      </c>
      <c r="D9" s="39">
        <f ca="1">'2.3(a,b,c)'!N236</f>
        <v>0.35233738124428282</v>
      </c>
      <c r="E9" s="39">
        <f ca="1">'2.3(a,b,c)'!O236</f>
        <v>0.29372841297318347</v>
      </c>
      <c r="F9" s="39">
        <f ca="1">'2.3(a,b,c)'!P236</f>
        <v>7.1549764825424286E-2</v>
      </c>
      <c r="G9" s="39">
        <f ca="1">'2.3(a,b,c)'!Q236</f>
        <v>0.16876777761068903</v>
      </c>
      <c r="H9" s="39">
        <f ca="1">'2.3(a,b,c)'!R236</f>
        <v>5.1110689866454562E-2</v>
      </c>
      <c r="I9" s="39">
        <f ca="1">'2.3(a,b,c)'!S236</f>
        <v>6.2505973479965796E-2</v>
      </c>
    </row>
    <row r="10" spans="1:15">
      <c r="B10" s="353"/>
      <c r="C10" s="38" t="s">
        <v>160</v>
      </c>
      <c r="D10" s="39">
        <f ca="1">'2.3(a,b,c)'!X236</f>
        <v>0.32530202512611095</v>
      </c>
      <c r="E10" s="39">
        <f ca="1">'2.3(a,b,c)'!Y236</f>
        <v>0.32181429817767421</v>
      </c>
      <c r="F10" s="39">
        <f ca="1">'2.3(a,b,c)'!Z236</f>
        <v>6.0545809652912286E-2</v>
      </c>
      <c r="G10" s="39">
        <f ca="1">'2.3(a,b,c)'!AA236</f>
        <v>0.17505282248299148</v>
      </c>
      <c r="H10" s="39">
        <f ca="1">'2.3(a,b,c)'!AB236</f>
        <v>5.6053535490342796E-2</v>
      </c>
      <c r="I10" s="39">
        <f ca="1">'2.3(a,b,c)'!AC236</f>
        <v>6.1231509069968312E-2</v>
      </c>
    </row>
    <row r="11" spans="1:15">
      <c r="B11" s="351" t="s">
        <v>162</v>
      </c>
      <c r="C11" s="38" t="s">
        <v>158</v>
      </c>
      <c r="D11" s="39">
        <f ca="1">'2.2(a,b,c)'!D236</f>
        <v>0.20851398344147185</v>
      </c>
      <c r="E11" s="39">
        <f ca="1">'2.2(a,b,c)'!E236</f>
        <v>0.2171924578283885</v>
      </c>
      <c r="F11" s="39">
        <f ca="1">'2.2(a,b,c)'!F236</f>
        <v>9.8302133418787602E-2</v>
      </c>
      <c r="G11" s="39">
        <f ca="1">'2.2(a,b,c)'!G236</f>
        <v>0.32156450471550296</v>
      </c>
      <c r="H11" s="39">
        <f ca="1">'2.2(a,b,c)'!H236</f>
        <v>5.9924441677364902E-2</v>
      </c>
      <c r="I11" s="39">
        <f ca="1">'2.2(a,b,c)'!I236</f>
        <v>9.4502478918484151E-2</v>
      </c>
    </row>
    <row r="12" spans="1:15">
      <c r="B12" s="352"/>
      <c r="C12" s="38" t="s">
        <v>159</v>
      </c>
      <c r="D12" s="39">
        <f ca="1">'2.2(a,b,c)'!N236</f>
        <v>0.25934508004080797</v>
      </c>
      <c r="E12" s="39">
        <f ca="1">'2.2(a,b,c)'!O236</f>
        <v>0.22143931673073891</v>
      </c>
      <c r="F12" s="39">
        <f ca="1">'2.2(a,b,c)'!P236</f>
        <v>9.5780300622312464E-2</v>
      </c>
      <c r="G12" s="39">
        <f ca="1">'2.2(a,b,c)'!Q236</f>
        <v>0.26128646439422992</v>
      </c>
      <c r="H12" s="39">
        <f ca="1">'2.2(a,b,c)'!R236</f>
        <v>6.34941296359747E-2</v>
      </c>
      <c r="I12" s="39">
        <f ca="1">'2.2(a,b,c)'!S236</f>
        <v>9.8654708575936029E-2</v>
      </c>
    </row>
    <row r="13" spans="1:15">
      <c r="B13" s="353"/>
      <c r="C13" s="38" t="s">
        <v>160</v>
      </c>
      <c r="D13" s="39">
        <f ca="1">'2.2(a,b,c)'!X236</f>
        <v>0.22830241614828281</v>
      </c>
      <c r="E13" s="39">
        <f ca="1">'2.2(a,b,c)'!Y236</f>
        <v>0.2202054386751183</v>
      </c>
      <c r="F13" s="39">
        <f ca="1">'2.2(a,b,c)'!Z236</f>
        <v>9.2353315743573944E-2</v>
      </c>
      <c r="G13" s="39">
        <f ca="1">'2.2(a,b,c)'!AA236</f>
        <v>0.29770178605984216</v>
      </c>
      <c r="H13" s="39">
        <f ca="1">'2.2(a,b,c)'!AB236</f>
        <v>6.2505105654722268E-2</v>
      </c>
      <c r="I13" s="39">
        <f ca="1">'2.2(a,b,c)'!AC236</f>
        <v>9.8931937718460525E-2</v>
      </c>
    </row>
    <row r="14" spans="1:15" ht="15">
      <c r="A14" s="34"/>
      <c r="B14" s="350" t="s">
        <v>164</v>
      </c>
      <c r="C14" s="350"/>
      <c r="D14" s="350"/>
      <c r="E14" s="350"/>
      <c r="F14" s="350"/>
      <c r="G14" s="350"/>
      <c r="H14" s="350"/>
      <c r="I14" s="350"/>
      <c r="J14" s="350"/>
      <c r="K14" s="350"/>
    </row>
    <row r="15" spans="1:15" ht="15">
      <c r="A15" s="34"/>
      <c r="B15" s="34"/>
    </row>
    <row r="16" spans="1:15" ht="15.75">
      <c r="B16" s="35" t="s">
        <v>165</v>
      </c>
    </row>
    <row r="17" spans="2:11">
      <c r="B17" s="36" t="s">
        <v>153</v>
      </c>
      <c r="C17" s="36" t="s">
        <v>135</v>
      </c>
      <c r="D17" s="36" t="s">
        <v>136</v>
      </c>
      <c r="E17" s="36" t="s">
        <v>137</v>
      </c>
      <c r="F17" s="36" t="s">
        <v>138</v>
      </c>
      <c r="G17" s="36" t="s">
        <v>139</v>
      </c>
      <c r="H17" s="36" t="s">
        <v>140</v>
      </c>
    </row>
    <row r="18" spans="2:11">
      <c r="B18" s="38" t="s">
        <v>157</v>
      </c>
      <c r="C18" s="39">
        <f t="shared" ref="C18:H18" ca="1" si="0">D6-D5</f>
        <v>1.3616604682020694E-2</v>
      </c>
      <c r="D18" s="39">
        <f t="shared" ca="1" si="0"/>
        <v>-2.7461916538157272E-2</v>
      </c>
      <c r="E18" s="39">
        <f t="shared" ca="1" si="0"/>
        <v>-6.1921215081624653E-3</v>
      </c>
      <c r="F18" s="39">
        <f t="shared" ca="1" si="0"/>
        <v>-9.917737309565744E-3</v>
      </c>
      <c r="G18" s="39">
        <f t="shared" ca="1" si="0"/>
        <v>3.1420491888821553E-2</v>
      </c>
      <c r="H18" s="39">
        <f t="shared" ca="1" si="0"/>
        <v>-1.4653212149567663E-3</v>
      </c>
    </row>
    <row r="19" spans="2:11">
      <c r="B19" s="38" t="s">
        <v>161</v>
      </c>
      <c r="C19" s="39">
        <f t="shared" ref="C19:H19" ca="1" si="1">D9-D8</f>
        <v>2.2565377102125361E-2</v>
      </c>
      <c r="D19" s="39">
        <f t="shared" ca="1" si="1"/>
        <v>-3.21674365925671E-2</v>
      </c>
      <c r="E19" s="39">
        <f t="shared" ca="1" si="1"/>
        <v>1.1373578963733498E-2</v>
      </c>
      <c r="F19" s="39">
        <f t="shared" ca="1" si="1"/>
        <v>-3.6343712069314971E-3</v>
      </c>
      <c r="G19" s="39">
        <f t="shared" ca="1" si="1"/>
        <v>-6.1072963761373486E-3</v>
      </c>
      <c r="H19" s="39">
        <f t="shared" ca="1" si="1"/>
        <v>7.9701481097770796E-3</v>
      </c>
    </row>
    <row r="20" spans="2:11">
      <c r="B20" s="38" t="s">
        <v>163</v>
      </c>
      <c r="C20" s="39">
        <f t="shared" ref="C20:H20" ca="1" si="2">D12-D11</f>
        <v>5.0831096599336129E-2</v>
      </c>
      <c r="D20" s="39">
        <f t="shared" ca="1" si="2"/>
        <v>4.2468589023504089E-3</v>
      </c>
      <c r="E20" s="39">
        <f t="shared" ca="1" si="2"/>
        <v>-2.5218327964751375E-3</v>
      </c>
      <c r="F20" s="39">
        <f t="shared" ca="1" si="2"/>
        <v>-6.0278040321273041E-2</v>
      </c>
      <c r="G20" s="39">
        <f t="shared" ca="1" si="2"/>
        <v>3.5696879586097977E-3</v>
      </c>
      <c r="H20" s="39">
        <f t="shared" ca="1" si="2"/>
        <v>4.152229657451878E-3</v>
      </c>
    </row>
    <row r="21" spans="2:11" ht="15.75">
      <c r="B21" s="35"/>
      <c r="J21" s="41"/>
    </row>
    <row r="22" spans="2:11">
      <c r="C22" s="42"/>
      <c r="J22" s="43"/>
    </row>
    <row r="23" spans="2:11">
      <c r="C23" s="42"/>
      <c r="J23" s="43"/>
    </row>
    <row r="24" spans="2:11">
      <c r="C24" s="42"/>
      <c r="J24" s="43"/>
      <c r="K24" s="43"/>
    </row>
    <row r="25" spans="2:11">
      <c r="C25" s="42"/>
      <c r="J25" s="43"/>
      <c r="K25" s="43"/>
    </row>
    <row r="26" spans="2:11">
      <c r="J26" s="43"/>
      <c r="K26" s="43"/>
    </row>
    <row r="27" spans="2:11">
      <c r="J27" s="43"/>
      <c r="K27" s="43"/>
    </row>
    <row r="31" spans="2:11" ht="15.75">
      <c r="B31" s="44"/>
    </row>
    <row r="39" spans="1:11" ht="15">
      <c r="A39" s="34"/>
      <c r="B39" s="34"/>
    </row>
    <row r="40" spans="1:11" ht="15.75">
      <c r="B40" s="35"/>
      <c r="K40" s="35"/>
    </row>
  </sheetData>
  <sheetProtection algorithmName="SHA-512" hashValue="xugyuFIQg03X3CvckrwMVG55KQdLJduo5BlD+FmEY7ZtSjm4pwYUiWhJz3/nsRwVZX56JCRqTGnqvg2q/qN3Cg==" saltValue="gFesX/1HPEboZuuK45ouqw==" spinCount="100000" sheet="1" formatCells="0" formatColumns="0" formatRows="0" insertColumns="0" insertRows="0" insertHyperlinks="0" deleteColumns="0" deleteRows="0" sort="0" autoFilter="0" pivotTables="0"/>
  <mergeCells count="6">
    <mergeCell ref="A1:O1"/>
    <mergeCell ref="B14:K14"/>
    <mergeCell ref="B5:B7"/>
    <mergeCell ref="B8:B10"/>
    <mergeCell ref="B11:B13"/>
    <mergeCell ref="A2:H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1"/>
  <sheetViews>
    <sheetView zoomScale="115" zoomScaleNormal="115" workbookViewId="0">
      <selection activeCell="K12" sqref="K12"/>
    </sheetView>
  </sheetViews>
  <sheetFormatPr defaultColWidth="8.875" defaultRowHeight="14.25"/>
  <cols>
    <col min="1" max="1" width="7.375" customWidth="1"/>
    <col min="2" max="2" width="14" customWidth="1"/>
    <col min="3" max="3" width="10.5" style="42" customWidth="1"/>
    <col min="4" max="4" width="7.5" customWidth="1"/>
    <col min="5" max="5" width="6.125" customWidth="1"/>
    <col min="6" max="6" width="7" customWidth="1"/>
    <col min="7" max="10" width="10.125" customWidth="1"/>
    <col min="11" max="11" width="9.75" customWidth="1"/>
    <col min="12" max="12" width="14.25" customWidth="1"/>
    <col min="13" max="13" width="11" customWidth="1"/>
    <col min="14" max="14" width="11.125" customWidth="1"/>
    <col min="15" max="16" width="5.375" hidden="1" customWidth="1"/>
    <col min="17" max="17" width="5.375" customWidth="1"/>
    <col min="18" max="18" width="13" customWidth="1"/>
    <col min="20" max="20" width="13.875" customWidth="1"/>
    <col min="21" max="21" width="11.375" customWidth="1"/>
  </cols>
  <sheetData>
    <row r="1" spans="1:17" ht="23.25">
      <c r="A1" s="282" t="str">
        <f>Main!B32</f>
        <v>Step 5. Tabular and graphical visualization of results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</row>
    <row r="2" spans="1:17" ht="18.75" thickBot="1">
      <c r="A2" s="283" t="str">
        <f>Main!C33</f>
        <v>5.b. Non-EU countries’ health security performance ranking and clustering results</v>
      </c>
      <c r="B2" s="283" t="s">
        <v>186</v>
      </c>
      <c r="C2" s="283"/>
      <c r="D2" s="283"/>
      <c r="E2" s="283"/>
      <c r="F2" s="283"/>
      <c r="G2" s="283"/>
      <c r="H2" s="283"/>
    </row>
    <row r="3" spans="1:17" ht="15" customHeight="1" thickBot="1">
      <c r="B3" s="354"/>
      <c r="D3" s="356" t="s">
        <v>141</v>
      </c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170"/>
    </row>
    <row r="4" spans="1:17" ht="23.25" thickBot="1">
      <c r="B4" s="355"/>
      <c r="C4" s="48" t="s">
        <v>220</v>
      </c>
      <c r="D4" s="49" t="s">
        <v>187</v>
      </c>
      <c r="E4" s="49" t="s">
        <v>188</v>
      </c>
      <c r="F4" s="49" t="s">
        <v>189</v>
      </c>
      <c r="G4" s="49" t="s">
        <v>187</v>
      </c>
      <c r="H4" s="49" t="s">
        <v>190</v>
      </c>
      <c r="I4" s="49" t="s">
        <v>191</v>
      </c>
      <c r="J4" s="49" t="s">
        <v>187</v>
      </c>
      <c r="K4" s="49" t="s">
        <v>192</v>
      </c>
      <c r="L4" s="49" t="s">
        <v>193</v>
      </c>
      <c r="M4" s="49" t="s">
        <v>194</v>
      </c>
      <c r="N4" s="49" t="s">
        <v>195</v>
      </c>
      <c r="O4" s="49" t="s">
        <v>194</v>
      </c>
      <c r="P4" s="49" t="s">
        <v>195</v>
      </c>
    </row>
    <row r="5" spans="1:17" ht="15" thickBot="1">
      <c r="B5" s="50">
        <v>1</v>
      </c>
      <c r="C5" s="51" t="s">
        <v>27</v>
      </c>
      <c r="D5" s="52">
        <f ca="1">'3(a,b,c)'!I243</f>
        <v>3.0879958678473347</v>
      </c>
      <c r="E5" s="52">
        <f ca="1">'3(a,b,c)'!J243</f>
        <v>8</v>
      </c>
      <c r="F5" s="51">
        <f>'4(a,b,c)'!E39</f>
        <v>2</v>
      </c>
      <c r="G5" s="52">
        <f ca="1">'3(a,b,c)'!S243</f>
        <v>2.2308224554263445</v>
      </c>
      <c r="H5" s="52">
        <f ca="1">'3(a,b,c)'!T243</f>
        <v>10</v>
      </c>
      <c r="I5" s="51">
        <f>'4(a,b,c)'!O39</f>
        <v>2</v>
      </c>
      <c r="J5" s="52">
        <f ca="1">'3(a,b,c)'!AC243</f>
        <v>2.4638426016430977</v>
      </c>
      <c r="K5" s="52">
        <f ca="1">'3(a,b,c)'!AD243</f>
        <v>9</v>
      </c>
      <c r="L5" s="51">
        <f>'4(a,b,c)'!Y39</f>
        <v>2</v>
      </c>
      <c r="M5" s="169">
        <f ca="1">E5-H5</f>
        <v>-2</v>
      </c>
      <c r="N5" s="169">
        <f>F5-I5</f>
        <v>0</v>
      </c>
      <c r="O5">
        <f ca="1">LOOKUP(Q5,$B$5:$B$31,$M$5:$M$31)</f>
        <v>1</v>
      </c>
      <c r="P5">
        <f>LOOKUP(Q5,$B$5:$B$31,$N$5:$N$31)</f>
        <v>0</v>
      </c>
      <c r="Q5">
        <v>27</v>
      </c>
    </row>
    <row r="6" spans="1:17" ht="15" thickBot="1">
      <c r="B6" s="53">
        <v>2</v>
      </c>
      <c r="C6" s="51" t="s">
        <v>28</v>
      </c>
      <c r="D6" s="52">
        <f ca="1">'3(a,b,c)'!I244</f>
        <v>1.1618985325783646</v>
      </c>
      <c r="E6" s="52">
        <f ca="1">'3(a,b,c)'!J244</f>
        <v>27</v>
      </c>
      <c r="F6" s="51">
        <f>'4(a,b,c)'!E40</f>
        <v>5</v>
      </c>
      <c r="G6" s="52">
        <f ca="1">'3(a,b,c)'!S244</f>
        <v>1.2162956846463584</v>
      </c>
      <c r="H6" s="52">
        <f ca="1">'3(a,b,c)'!T244</f>
        <v>27</v>
      </c>
      <c r="I6" s="51">
        <f>'4(a,b,c)'!O40</f>
        <v>5</v>
      </c>
      <c r="J6" s="52">
        <f ca="1">'3(a,b,c)'!AC244</f>
        <v>1.1483849344717583</v>
      </c>
      <c r="K6" s="52">
        <f ca="1">'3(a,b,c)'!AD244</f>
        <v>27</v>
      </c>
      <c r="L6" s="51">
        <f>'4(a,b,c)'!Y40</f>
        <v>5</v>
      </c>
      <c r="M6" s="169">
        <f t="shared" ref="M6:N31" ca="1" si="0">E6-H6</f>
        <v>0</v>
      </c>
      <c r="N6" s="169">
        <f t="shared" si="0"/>
        <v>0</v>
      </c>
      <c r="O6">
        <f t="shared" ref="O6:O31" ca="1" si="1">LOOKUP(Q6,$B$5:$B$31,$M$5:$M$31)</f>
        <v>0</v>
      </c>
      <c r="P6">
        <f t="shared" ref="P6:P31" si="2">LOOKUP(Q6,$B$5:$B$31,$N$5:$N$31)</f>
        <v>0</v>
      </c>
      <c r="Q6">
        <v>26</v>
      </c>
    </row>
    <row r="7" spans="1:17" ht="15" thickBot="1">
      <c r="B7" s="53">
        <v>3</v>
      </c>
      <c r="C7" s="51" t="s">
        <v>29</v>
      </c>
      <c r="D7" s="52">
        <f ca="1">'3(a,b,c)'!I245</f>
        <v>4.3880049472414884</v>
      </c>
      <c r="E7" s="52">
        <f ca="1">'3(a,b,c)'!J245</f>
        <v>2</v>
      </c>
      <c r="F7" s="51">
        <f>'4(a,b,c)'!E41</f>
        <v>1</v>
      </c>
      <c r="G7" s="52">
        <f ca="1">'3(a,b,c)'!S245</f>
        <v>3.0655558538867211</v>
      </c>
      <c r="H7" s="52">
        <f ca="1">'3(a,b,c)'!T245</f>
        <v>2</v>
      </c>
      <c r="I7" s="51">
        <f>'4(a,b,c)'!O41</f>
        <v>1</v>
      </c>
      <c r="J7" s="52">
        <f ca="1">'3(a,b,c)'!AC245</f>
        <v>3.4388507701791462</v>
      </c>
      <c r="K7" s="52">
        <f ca="1">'3(a,b,c)'!AD245</f>
        <v>2</v>
      </c>
      <c r="L7" s="51">
        <f>'4(a,b,c)'!Y41</f>
        <v>1</v>
      </c>
      <c r="M7" s="169">
        <f t="shared" ca="1" si="0"/>
        <v>0</v>
      </c>
      <c r="N7" s="169">
        <f t="shared" si="0"/>
        <v>0</v>
      </c>
      <c r="O7">
        <f t="shared" ca="1" si="1"/>
        <v>-1</v>
      </c>
      <c r="P7">
        <f t="shared" si="2"/>
        <v>0</v>
      </c>
      <c r="Q7">
        <v>25</v>
      </c>
    </row>
    <row r="8" spans="1:17" ht="15" thickBot="1">
      <c r="B8" s="53">
        <v>4</v>
      </c>
      <c r="C8" s="51" t="s">
        <v>30</v>
      </c>
      <c r="D8" s="52">
        <f ca="1">'3(a,b,c)'!I246</f>
        <v>2.0389702727077812</v>
      </c>
      <c r="E8" s="52">
        <f ca="1">'3(a,b,c)'!J246</f>
        <v>23</v>
      </c>
      <c r="F8" s="51">
        <f>'4(a,b,c)'!E42</f>
        <v>4</v>
      </c>
      <c r="G8" s="52">
        <f ca="1">'3(a,b,c)'!S246</f>
        <v>1.6807334211937477</v>
      </c>
      <c r="H8" s="52">
        <f ca="1">'3(a,b,c)'!T246</f>
        <v>21</v>
      </c>
      <c r="I8" s="51">
        <f>'4(a,b,c)'!O42</f>
        <v>4</v>
      </c>
      <c r="J8" s="52">
        <f ca="1">'3(a,b,c)'!AC246</f>
        <v>1.7472489340844561</v>
      </c>
      <c r="K8" s="52">
        <f ca="1">'3(a,b,c)'!AD246</f>
        <v>22</v>
      </c>
      <c r="L8" s="51">
        <f>'4(a,b,c)'!Y42</f>
        <v>4</v>
      </c>
      <c r="M8" s="169">
        <f t="shared" ca="1" si="0"/>
        <v>2</v>
      </c>
      <c r="N8" s="169">
        <f t="shared" si="0"/>
        <v>0</v>
      </c>
      <c r="O8">
        <f t="shared" ca="1" si="1"/>
        <v>-1</v>
      </c>
      <c r="P8">
        <f t="shared" si="2"/>
        <v>-1</v>
      </c>
      <c r="Q8">
        <v>24</v>
      </c>
    </row>
    <row r="9" spans="1:17" ht="15" thickBot="1">
      <c r="B9" s="53">
        <v>5</v>
      </c>
      <c r="C9" s="51" t="s">
        <v>31</v>
      </c>
      <c r="D9" s="52">
        <f ca="1">'3(a,b,c)'!I247</f>
        <v>2.5715540603037637</v>
      </c>
      <c r="E9" s="52">
        <f ca="1">'3(a,b,c)'!J247</f>
        <v>14</v>
      </c>
      <c r="F9" s="51">
        <f>'4(a,b,c)'!E43</f>
        <v>3</v>
      </c>
      <c r="G9" s="52">
        <f ca="1">'3(a,b,c)'!S247</f>
        <v>2.1347730602750099</v>
      </c>
      <c r="H9" s="52">
        <f ca="1">'3(a,b,c)'!T247</f>
        <v>13</v>
      </c>
      <c r="I9" s="51">
        <f>'4(a,b,c)'!O43</f>
        <v>3</v>
      </c>
      <c r="J9" s="52">
        <f ca="1">'3(a,b,c)'!AC247</f>
        <v>2.2142653975551143</v>
      </c>
      <c r="K9" s="52">
        <f ca="1">'3(a,b,c)'!AD247</f>
        <v>13</v>
      </c>
      <c r="L9" s="51">
        <f>'4(a,b,c)'!Y43</f>
        <v>3</v>
      </c>
      <c r="M9" s="169">
        <f t="shared" ca="1" si="0"/>
        <v>1</v>
      </c>
      <c r="N9" s="169">
        <f t="shared" si="0"/>
        <v>0</v>
      </c>
      <c r="O9">
        <f t="shared" ca="1" si="1"/>
        <v>1</v>
      </c>
      <c r="P9">
        <f t="shared" si="2"/>
        <v>0</v>
      </c>
      <c r="Q9">
        <v>23</v>
      </c>
    </row>
    <row r="10" spans="1:17" ht="23.25" thickBot="1">
      <c r="B10" s="53">
        <v>6</v>
      </c>
      <c r="C10" s="51" t="s">
        <v>196</v>
      </c>
      <c r="D10" s="52">
        <f ca="1">'3(a,b,c)'!I248</f>
        <v>2.0933908650712141</v>
      </c>
      <c r="E10" s="52">
        <f ca="1">'3(a,b,c)'!J248</f>
        <v>21</v>
      </c>
      <c r="F10" s="51">
        <f>'4(a,b,c)'!E44</f>
        <v>4</v>
      </c>
      <c r="G10" s="52">
        <f ca="1">'3(a,b,c)'!S248</f>
        <v>1.6521968599522125</v>
      </c>
      <c r="H10" s="52">
        <f ca="1">'3(a,b,c)'!T248</f>
        <v>22</v>
      </c>
      <c r="I10" s="51">
        <f>'4(a,b,c)'!O44</f>
        <v>4</v>
      </c>
      <c r="J10" s="52">
        <f ca="1">'3(a,b,c)'!AC248</f>
        <v>1.7543394546138433</v>
      </c>
      <c r="K10" s="52">
        <f ca="1">'3(a,b,c)'!AD248</f>
        <v>21</v>
      </c>
      <c r="L10" s="51">
        <f>'4(a,b,c)'!Y44</f>
        <v>4</v>
      </c>
      <c r="M10" s="169">
        <f t="shared" ca="1" si="0"/>
        <v>-1</v>
      </c>
      <c r="N10" s="169">
        <f t="shared" si="0"/>
        <v>0</v>
      </c>
      <c r="O10">
        <f t="shared" ca="1" si="1"/>
        <v>1</v>
      </c>
      <c r="P10">
        <f t="shared" si="2"/>
        <v>0</v>
      </c>
      <c r="Q10">
        <v>22</v>
      </c>
    </row>
    <row r="11" spans="1:17" ht="15" thickBot="1">
      <c r="B11" s="53">
        <v>7</v>
      </c>
      <c r="C11" s="51" t="s">
        <v>33</v>
      </c>
      <c r="D11" s="52">
        <f ca="1">'3(a,b,c)'!I249</f>
        <v>3.2473310680818819</v>
      </c>
      <c r="E11" s="52">
        <f ca="1">'3(a,b,c)'!J249</f>
        <v>6</v>
      </c>
      <c r="F11" s="51">
        <f>'4(a,b,c)'!E45</f>
        <v>2</v>
      </c>
      <c r="G11" s="52">
        <f ca="1">'3(a,b,c)'!S249</f>
        <v>2.6921611614834449</v>
      </c>
      <c r="H11" s="52">
        <f ca="1">'3(a,b,c)'!T249</f>
        <v>4</v>
      </c>
      <c r="I11" s="51">
        <f>'4(a,b,c)'!O45</f>
        <v>1</v>
      </c>
      <c r="J11" s="52">
        <f ca="1">'3(a,b,c)'!AC249</f>
        <v>2.8033219582835129</v>
      </c>
      <c r="K11" s="52">
        <f ca="1">'3(a,b,c)'!AD249</f>
        <v>5</v>
      </c>
      <c r="L11" s="51">
        <f>'4(a,b,c)'!Y45</f>
        <v>2</v>
      </c>
      <c r="M11" s="169">
        <f t="shared" ca="1" si="0"/>
        <v>2</v>
      </c>
      <c r="N11" s="169">
        <f t="shared" si="0"/>
        <v>1</v>
      </c>
      <c r="O11">
        <f t="shared" ca="1" si="1"/>
        <v>-1</v>
      </c>
      <c r="P11">
        <f t="shared" si="2"/>
        <v>1</v>
      </c>
      <c r="Q11">
        <v>21</v>
      </c>
    </row>
    <row r="12" spans="1:17" ht="15" thickBot="1">
      <c r="B12" s="53">
        <v>8</v>
      </c>
      <c r="C12" s="51" t="s">
        <v>34</v>
      </c>
      <c r="D12" s="52">
        <f ca="1">'3(a,b,c)'!I250</f>
        <v>2.8925735208743251</v>
      </c>
      <c r="E12" s="52">
        <f ca="1">'3(a,b,c)'!J250</f>
        <v>10</v>
      </c>
      <c r="F12" s="51">
        <f>'4(a,b,c)'!E46</f>
        <v>2</v>
      </c>
      <c r="G12" s="52">
        <f ca="1">'3(a,b,c)'!S250</f>
        <v>2.2646406413273366</v>
      </c>
      <c r="H12" s="52">
        <f ca="1">'3(a,b,c)'!T250</f>
        <v>9</v>
      </c>
      <c r="I12" s="51">
        <f>'4(a,b,c)'!O46</f>
        <v>2</v>
      </c>
      <c r="J12" s="52">
        <f ca="1">'3(a,b,c)'!AC250</f>
        <v>2.4173425293171098</v>
      </c>
      <c r="K12" s="52">
        <f ca="1">'3(a,b,c)'!AD250</f>
        <v>10</v>
      </c>
      <c r="L12" s="51">
        <f>'4(a,b,c)'!Y46</f>
        <v>2</v>
      </c>
      <c r="M12" s="169">
        <f t="shared" ca="1" si="0"/>
        <v>1</v>
      </c>
      <c r="N12" s="169">
        <f t="shared" si="0"/>
        <v>0</v>
      </c>
      <c r="O12">
        <f t="shared" ca="1" si="1"/>
        <v>-1</v>
      </c>
      <c r="P12">
        <f t="shared" si="2"/>
        <v>0</v>
      </c>
      <c r="Q12">
        <v>20</v>
      </c>
    </row>
    <row r="13" spans="1:17" ht="15" thickBot="1">
      <c r="B13" s="53">
        <v>9</v>
      </c>
      <c r="C13" s="51" t="s">
        <v>35</v>
      </c>
      <c r="D13" s="52">
        <f ca="1">'3(a,b,c)'!I251</f>
        <v>3.2848680157610279</v>
      </c>
      <c r="E13" s="52">
        <f ca="1">'3(a,b,c)'!J251</f>
        <v>5</v>
      </c>
      <c r="F13" s="51">
        <f>'4(a,b,c)'!E47</f>
        <v>2</v>
      </c>
      <c r="G13" s="52">
        <f ca="1">'3(a,b,c)'!S251</f>
        <v>2.3270032424857097</v>
      </c>
      <c r="H13" s="52">
        <f ca="1">'3(a,b,c)'!T251</f>
        <v>8</v>
      </c>
      <c r="I13" s="51">
        <f>'4(a,b,c)'!O47</f>
        <v>2</v>
      </c>
      <c r="J13" s="52">
        <f ca="1">'3(a,b,c)'!AC251</f>
        <v>2.5981735967283992</v>
      </c>
      <c r="K13" s="52">
        <f ca="1">'3(a,b,c)'!AD251</f>
        <v>7</v>
      </c>
      <c r="L13" s="51">
        <f>'4(a,b,c)'!Y47</f>
        <v>2</v>
      </c>
      <c r="M13" s="169">
        <f t="shared" ca="1" si="0"/>
        <v>-3</v>
      </c>
      <c r="N13" s="169">
        <f t="shared" si="0"/>
        <v>0</v>
      </c>
      <c r="O13">
        <f t="shared" ca="1" si="1"/>
        <v>1</v>
      </c>
      <c r="P13">
        <f t="shared" si="2"/>
        <v>0</v>
      </c>
      <c r="Q13">
        <v>19</v>
      </c>
    </row>
    <row r="14" spans="1:17" ht="15" thickBot="1">
      <c r="B14" s="53">
        <v>10</v>
      </c>
      <c r="C14" s="51" t="s">
        <v>36</v>
      </c>
      <c r="D14" s="52">
        <f ca="1">'3(a,b,c)'!I252</f>
        <v>2.6801313049252902</v>
      </c>
      <c r="E14" s="52">
        <f ca="1">'3(a,b,c)'!J252</f>
        <v>12</v>
      </c>
      <c r="F14" s="51">
        <f>'4(a,b,c)'!E48</f>
        <v>3</v>
      </c>
      <c r="G14" s="52">
        <f ca="1">'3(a,b,c)'!S252</f>
        <v>2.1918413330154545</v>
      </c>
      <c r="H14" s="52">
        <f ca="1">'3(a,b,c)'!T252</f>
        <v>11</v>
      </c>
      <c r="I14" s="51">
        <f>'4(a,b,c)'!O48</f>
        <v>2</v>
      </c>
      <c r="J14" s="52">
        <f ca="1">'3(a,b,c)'!AC252</f>
        <v>2.2906089908519269</v>
      </c>
      <c r="K14" s="52">
        <f ca="1">'3(a,b,c)'!AD252</f>
        <v>12</v>
      </c>
      <c r="L14" s="51">
        <f>'4(a,b,c)'!Y48</f>
        <v>3</v>
      </c>
      <c r="M14" s="169">
        <f t="shared" ca="1" si="0"/>
        <v>1</v>
      </c>
      <c r="N14" s="169">
        <f t="shared" si="0"/>
        <v>1</v>
      </c>
      <c r="O14">
        <f t="shared" ca="1" si="1"/>
        <v>2</v>
      </c>
      <c r="P14">
        <f t="shared" si="2"/>
        <v>0</v>
      </c>
      <c r="Q14">
        <v>18</v>
      </c>
    </row>
    <row r="15" spans="1:17" ht="23.25" thickBot="1">
      <c r="B15" s="53">
        <v>11</v>
      </c>
      <c r="C15" s="51" t="s">
        <v>37</v>
      </c>
      <c r="D15" s="52">
        <f ca="1">'3(a,b,c)'!I253</f>
        <v>2.5703500017417937</v>
      </c>
      <c r="E15" s="52">
        <f ca="1">'3(a,b,c)'!J253</f>
        <v>15</v>
      </c>
      <c r="F15" s="51">
        <f>'4(a,b,c)'!E49</f>
        <v>3</v>
      </c>
      <c r="G15" s="52">
        <f ca="1">'3(a,b,c)'!S253</f>
        <v>1.9933565291096054</v>
      </c>
      <c r="H15" s="52">
        <f ca="1">'3(a,b,c)'!T253</f>
        <v>18</v>
      </c>
      <c r="I15" s="51">
        <f>'4(a,b,c)'!O49</f>
        <v>3</v>
      </c>
      <c r="J15" s="52">
        <f ca="1">'3(a,b,c)'!AC253</f>
        <v>2.1304846237550596</v>
      </c>
      <c r="K15" s="52">
        <f ca="1">'3(a,b,c)'!AD253</f>
        <v>18</v>
      </c>
      <c r="L15" s="51">
        <f>'4(a,b,c)'!Y49</f>
        <v>3</v>
      </c>
      <c r="M15" s="169">
        <f t="shared" ca="1" si="0"/>
        <v>-3</v>
      </c>
      <c r="N15" s="169">
        <f t="shared" si="0"/>
        <v>0</v>
      </c>
      <c r="O15">
        <f t="shared" ca="1" si="1"/>
        <v>0</v>
      </c>
      <c r="P15">
        <f t="shared" si="2"/>
        <v>0</v>
      </c>
      <c r="Q15">
        <v>17</v>
      </c>
    </row>
    <row r="16" spans="1:17" ht="15" thickBot="1">
      <c r="B16" s="53">
        <v>12</v>
      </c>
      <c r="C16" s="51" t="s">
        <v>38</v>
      </c>
      <c r="D16" s="52">
        <f ca="1">'3(a,b,c)'!I254</f>
        <v>2.5176008712320845</v>
      </c>
      <c r="E16" s="52">
        <f ca="1">'3(a,b,c)'!J254</f>
        <v>17</v>
      </c>
      <c r="F16" s="51">
        <f>'4(a,b,c)'!E50</f>
        <v>3</v>
      </c>
      <c r="G16" s="52">
        <f ca="1">'3(a,b,c)'!S254</f>
        <v>2.0368697953892734</v>
      </c>
      <c r="H16" s="52">
        <f ca="1">'3(a,b,c)'!T254</f>
        <v>16</v>
      </c>
      <c r="I16" s="51">
        <f>'4(a,b,c)'!O50</f>
        <v>3</v>
      </c>
      <c r="J16" s="52">
        <f ca="1">'3(a,b,c)'!AC254</f>
        <v>2.1361734565977391</v>
      </c>
      <c r="K16" s="52">
        <f ca="1">'3(a,b,c)'!AD254</f>
        <v>16</v>
      </c>
      <c r="L16" s="51">
        <f>'4(a,b,c)'!Y50</f>
        <v>3</v>
      </c>
      <c r="M16" s="169">
        <f t="shared" ca="1" si="0"/>
        <v>1</v>
      </c>
      <c r="N16" s="169">
        <f t="shared" si="0"/>
        <v>0</v>
      </c>
      <c r="O16">
        <f t="shared" ca="1" si="1"/>
        <v>1</v>
      </c>
      <c r="P16">
        <f t="shared" si="2"/>
        <v>0</v>
      </c>
      <c r="Q16">
        <v>16</v>
      </c>
    </row>
    <row r="17" spans="2:17" ht="15" thickBot="1">
      <c r="B17" s="53">
        <v>13</v>
      </c>
      <c r="C17" s="51" t="s">
        <v>39</v>
      </c>
      <c r="D17" s="52">
        <f ca="1">'3(a,b,c)'!I255</f>
        <v>2.6729163919402268</v>
      </c>
      <c r="E17" s="52">
        <f ca="1">'3(a,b,c)'!J255</f>
        <v>13</v>
      </c>
      <c r="F17" s="51">
        <f>'4(a,b,c)'!E51</f>
        <v>3</v>
      </c>
      <c r="G17" s="52">
        <f ca="1">'3(a,b,c)'!S255</f>
        <v>2.0321829011499983</v>
      </c>
      <c r="H17" s="52">
        <f ca="1">'3(a,b,c)'!T255</f>
        <v>17</v>
      </c>
      <c r="I17" s="51">
        <f>'4(a,b,c)'!O51</f>
        <v>3</v>
      </c>
      <c r="J17" s="52">
        <f ca="1">'3(a,b,c)'!AC255</f>
        <v>2.1897122969112046</v>
      </c>
      <c r="K17" s="52">
        <f ca="1">'3(a,b,c)'!AD255</f>
        <v>14</v>
      </c>
      <c r="L17" s="51">
        <f>'4(a,b,c)'!Y51</f>
        <v>3</v>
      </c>
      <c r="M17" s="169">
        <f t="shared" ca="1" si="0"/>
        <v>-4</v>
      </c>
      <c r="N17" s="169">
        <f t="shared" si="0"/>
        <v>0</v>
      </c>
      <c r="O17">
        <f t="shared" ca="1" si="1"/>
        <v>4</v>
      </c>
      <c r="P17">
        <f t="shared" si="2"/>
        <v>0</v>
      </c>
      <c r="Q17">
        <v>15</v>
      </c>
    </row>
    <row r="18" spans="2:17" ht="15" thickBot="1">
      <c r="B18" s="53">
        <v>14</v>
      </c>
      <c r="C18" s="51" t="s">
        <v>40</v>
      </c>
      <c r="D18" s="52">
        <f ca="1">'3(a,b,c)'!I256</f>
        <v>1.7116341234408017</v>
      </c>
      <c r="E18" s="52">
        <f ca="1">'3(a,b,c)'!J256</f>
        <v>24</v>
      </c>
      <c r="F18" s="51">
        <f>'4(a,b,c)'!E52</f>
        <v>4</v>
      </c>
      <c r="G18" s="52">
        <f ca="1">'3(a,b,c)'!S256</f>
        <v>1.3503489679675833</v>
      </c>
      <c r="H18" s="52">
        <f ca="1">'3(a,b,c)'!T256</f>
        <v>26</v>
      </c>
      <c r="I18" s="51">
        <f>'4(a,b,c)'!O52</f>
        <v>5</v>
      </c>
      <c r="J18" s="52">
        <f ca="1">'3(a,b,c)'!AC256</f>
        <v>1.4356205014449093</v>
      </c>
      <c r="K18" s="52">
        <f ca="1">'3(a,b,c)'!AD256</f>
        <v>24</v>
      </c>
      <c r="L18" s="51">
        <f>'4(a,b,c)'!Y52</f>
        <v>5</v>
      </c>
      <c r="M18" s="169">
        <f t="shared" ca="1" si="0"/>
        <v>-2</v>
      </c>
      <c r="N18" s="169">
        <f t="shared" si="0"/>
        <v>-1</v>
      </c>
      <c r="O18">
        <f t="shared" ca="1" si="1"/>
        <v>-2</v>
      </c>
      <c r="P18">
        <f t="shared" si="2"/>
        <v>-1</v>
      </c>
      <c r="Q18">
        <v>14</v>
      </c>
    </row>
    <row r="19" spans="2:17" ht="15" thickBot="1">
      <c r="B19" s="53">
        <v>15</v>
      </c>
      <c r="C19" s="51" t="s">
        <v>41</v>
      </c>
      <c r="D19" s="52">
        <f ca="1">'3(a,b,c)'!I257</f>
        <v>2.3721817730210626</v>
      </c>
      <c r="E19" s="52">
        <f ca="1">'3(a,b,c)'!J257</f>
        <v>18</v>
      </c>
      <c r="F19" s="51">
        <f>'4(a,b,c)'!E53</f>
        <v>3</v>
      </c>
      <c r="G19" s="52">
        <f ca="1">'3(a,b,c)'!S257</f>
        <v>2.1155048249080233</v>
      </c>
      <c r="H19" s="52">
        <f ca="1">'3(a,b,c)'!T257</f>
        <v>14</v>
      </c>
      <c r="I19" s="51">
        <f>'4(a,b,c)'!O53</f>
        <v>3</v>
      </c>
      <c r="J19" s="52">
        <f ca="1">'3(a,b,c)'!AC257</f>
        <v>2.1341508309619477</v>
      </c>
      <c r="K19" s="52">
        <f ca="1">'3(a,b,c)'!AD257</f>
        <v>17</v>
      </c>
      <c r="L19" s="51">
        <f>'4(a,b,c)'!Y53</f>
        <v>3</v>
      </c>
      <c r="M19" s="169">
        <f t="shared" ca="1" si="0"/>
        <v>4</v>
      </c>
      <c r="N19" s="169">
        <f t="shared" si="0"/>
        <v>0</v>
      </c>
      <c r="O19">
        <f t="shared" ca="1" si="1"/>
        <v>-4</v>
      </c>
      <c r="P19">
        <f t="shared" si="2"/>
        <v>0</v>
      </c>
      <c r="Q19">
        <v>13</v>
      </c>
    </row>
    <row r="20" spans="2:17" ht="23.25" thickBot="1">
      <c r="B20" s="53">
        <v>16</v>
      </c>
      <c r="C20" s="51" t="s">
        <v>42</v>
      </c>
      <c r="D20" s="52">
        <f ca="1">'3(a,b,c)'!I258</f>
        <v>2.5395527977656713</v>
      </c>
      <c r="E20" s="52">
        <f ca="1">'3(a,b,c)'!J258</f>
        <v>16</v>
      </c>
      <c r="F20" s="51">
        <f>'4(a,b,c)'!E54</f>
        <v>3</v>
      </c>
      <c r="G20" s="52">
        <f ca="1">'3(a,b,c)'!S258</f>
        <v>2.087653811434321</v>
      </c>
      <c r="H20" s="52">
        <f ca="1">'3(a,b,c)'!T258</f>
        <v>15</v>
      </c>
      <c r="I20" s="51">
        <f>'4(a,b,c)'!O54</f>
        <v>3</v>
      </c>
      <c r="J20" s="52">
        <f ca="1">'3(a,b,c)'!AC258</f>
        <v>2.1760336248981353</v>
      </c>
      <c r="K20" s="52">
        <f ca="1">'3(a,b,c)'!AD258</f>
        <v>15</v>
      </c>
      <c r="L20" s="51">
        <f>'4(a,b,c)'!Y54</f>
        <v>3</v>
      </c>
      <c r="M20" s="169">
        <f t="shared" ca="1" si="0"/>
        <v>1</v>
      </c>
      <c r="N20" s="169">
        <f t="shared" si="0"/>
        <v>0</v>
      </c>
      <c r="O20">
        <f t="shared" ca="1" si="1"/>
        <v>1</v>
      </c>
      <c r="P20">
        <f t="shared" si="2"/>
        <v>0</v>
      </c>
      <c r="Q20">
        <v>12</v>
      </c>
    </row>
    <row r="21" spans="2:17" ht="15" thickBot="1">
      <c r="B21" s="53">
        <v>17</v>
      </c>
      <c r="C21" s="51" t="s">
        <v>43</v>
      </c>
      <c r="D21" s="52">
        <f ca="1">'3(a,b,c)'!I259</f>
        <v>3.8904105402246199</v>
      </c>
      <c r="E21" s="52">
        <f ca="1">'3(a,b,c)'!J259</f>
        <v>3</v>
      </c>
      <c r="F21" s="51">
        <f>'4(a,b,c)'!E55</f>
        <v>1</v>
      </c>
      <c r="G21" s="52">
        <f ca="1">'3(a,b,c)'!S259</f>
        <v>2.7513418158594241</v>
      </c>
      <c r="H21" s="52">
        <f ca="1">'3(a,b,c)'!T259</f>
        <v>3</v>
      </c>
      <c r="I21" s="51">
        <f>'4(a,b,c)'!O55</f>
        <v>1</v>
      </c>
      <c r="J21" s="52">
        <f ca="1">'3(a,b,c)'!AC259</f>
        <v>3.065747850041689</v>
      </c>
      <c r="K21" s="52">
        <f ca="1">'3(a,b,c)'!AD259</f>
        <v>3</v>
      </c>
      <c r="L21" s="51">
        <f>'4(a,b,c)'!Y55</f>
        <v>1</v>
      </c>
      <c r="M21" s="169">
        <f t="shared" ca="1" si="0"/>
        <v>0</v>
      </c>
      <c r="N21" s="169">
        <f t="shared" si="0"/>
        <v>0</v>
      </c>
      <c r="O21">
        <f t="shared" ca="1" si="1"/>
        <v>-3</v>
      </c>
      <c r="P21">
        <f t="shared" si="2"/>
        <v>0</v>
      </c>
      <c r="Q21">
        <v>11</v>
      </c>
    </row>
    <row r="22" spans="2:17" ht="15" thickBot="1">
      <c r="B22" s="53">
        <v>18</v>
      </c>
      <c r="C22" s="51" t="s">
        <v>44</v>
      </c>
      <c r="D22" s="52">
        <f ca="1">'3(a,b,c)'!I260</f>
        <v>3.0298928699085685</v>
      </c>
      <c r="E22" s="52">
        <f ca="1">'3(a,b,c)'!J260</f>
        <v>9</v>
      </c>
      <c r="F22" s="51">
        <f>'4(a,b,c)'!E56</f>
        <v>2</v>
      </c>
      <c r="G22" s="52">
        <f ca="1">'3(a,b,c)'!S260</f>
        <v>2.4044757382997211</v>
      </c>
      <c r="H22" s="52">
        <f ca="1">'3(a,b,c)'!T260</f>
        <v>7</v>
      </c>
      <c r="I22" s="51">
        <f>'4(a,b,c)'!O56</f>
        <v>2</v>
      </c>
      <c r="J22" s="52">
        <f ca="1">'3(a,b,c)'!AC260</f>
        <v>2.5448996202633682</v>
      </c>
      <c r="K22" s="52">
        <f ca="1">'3(a,b,c)'!AD260</f>
        <v>8</v>
      </c>
      <c r="L22" s="51">
        <f>'4(a,b,c)'!Y56</f>
        <v>2</v>
      </c>
      <c r="M22" s="169">
        <f t="shared" ca="1" si="0"/>
        <v>2</v>
      </c>
      <c r="N22" s="169">
        <f t="shared" si="0"/>
        <v>0</v>
      </c>
      <c r="O22">
        <f t="shared" ca="1" si="1"/>
        <v>1</v>
      </c>
      <c r="P22">
        <f t="shared" si="2"/>
        <v>1</v>
      </c>
      <c r="Q22">
        <v>10</v>
      </c>
    </row>
    <row r="23" spans="2:17" ht="15" thickBot="1">
      <c r="B23" s="53">
        <v>19</v>
      </c>
      <c r="C23" s="51" t="s">
        <v>45</v>
      </c>
      <c r="D23" s="52">
        <f ca="1">'3(a,b,c)'!I261</f>
        <v>1.4134567293721658</v>
      </c>
      <c r="E23" s="52">
        <f ca="1">'3(a,b,c)'!J261</f>
        <v>25</v>
      </c>
      <c r="F23" s="51">
        <f>'4(a,b,c)'!E57</f>
        <v>5</v>
      </c>
      <c r="G23" s="52">
        <f ca="1">'3(a,b,c)'!S261</f>
        <v>1.3728632764590383</v>
      </c>
      <c r="H23" s="52">
        <f ca="1">'3(a,b,c)'!T261</f>
        <v>24</v>
      </c>
      <c r="I23" s="51">
        <f>'4(a,b,c)'!O57</f>
        <v>5</v>
      </c>
      <c r="J23" s="52">
        <f ca="1">'3(a,b,c)'!AC261</f>
        <v>1.3969148896492001</v>
      </c>
      <c r="K23" s="52">
        <f ca="1">'3(a,b,c)'!AD261</f>
        <v>25</v>
      </c>
      <c r="L23" s="51">
        <f>'4(a,b,c)'!Y57</f>
        <v>5</v>
      </c>
      <c r="M23" s="169">
        <f t="shared" ca="1" si="0"/>
        <v>1</v>
      </c>
      <c r="N23" s="169">
        <f t="shared" si="0"/>
        <v>0</v>
      </c>
      <c r="O23">
        <f t="shared" ca="1" si="1"/>
        <v>-3</v>
      </c>
      <c r="P23">
        <f t="shared" si="2"/>
        <v>0</v>
      </c>
      <c r="Q23">
        <v>9</v>
      </c>
    </row>
    <row r="24" spans="2:17" ht="15" thickBot="1">
      <c r="B24" s="53">
        <v>20</v>
      </c>
      <c r="C24" s="51" t="s">
        <v>46</v>
      </c>
      <c r="D24" s="52">
        <f ca="1">'3(a,b,c)'!I262</f>
        <v>2.7941923704123739</v>
      </c>
      <c r="E24" s="52">
        <f ca="1">'3(a,b,c)'!J262</f>
        <v>11</v>
      </c>
      <c r="F24" s="51">
        <f>'4(a,b,c)'!E58</f>
        <v>3</v>
      </c>
      <c r="G24" s="52">
        <f ca="1">'3(a,b,c)'!S262</f>
        <v>2.1372794134393813</v>
      </c>
      <c r="H24" s="52">
        <f ca="1">'3(a,b,c)'!T262</f>
        <v>12</v>
      </c>
      <c r="I24" s="51">
        <f>'4(a,b,c)'!O58</f>
        <v>3</v>
      </c>
      <c r="J24" s="52">
        <f ca="1">'3(a,b,c)'!AC262</f>
        <v>2.2968513456774549</v>
      </c>
      <c r="K24" s="52">
        <f ca="1">'3(a,b,c)'!AD262</f>
        <v>11</v>
      </c>
      <c r="L24" s="51">
        <f>'4(a,b,c)'!Y58</f>
        <v>3</v>
      </c>
      <c r="M24" s="169">
        <f t="shared" ca="1" si="0"/>
        <v>-1</v>
      </c>
      <c r="N24" s="169">
        <f t="shared" si="0"/>
        <v>0</v>
      </c>
      <c r="O24">
        <f t="shared" ca="1" si="1"/>
        <v>1</v>
      </c>
      <c r="P24">
        <f t="shared" si="2"/>
        <v>0</v>
      </c>
      <c r="Q24">
        <v>8</v>
      </c>
    </row>
    <row r="25" spans="2:17" ht="15" thickBot="1">
      <c r="B25" s="53">
        <v>21</v>
      </c>
      <c r="C25" s="51" t="s">
        <v>47</v>
      </c>
      <c r="D25" s="52">
        <f ca="1">'3(a,b,c)'!I263</f>
        <v>3.664806031258574</v>
      </c>
      <c r="E25" s="52">
        <f ca="1">'3(a,b,c)'!J263</f>
        <v>4</v>
      </c>
      <c r="F25" s="51">
        <f>'4(a,b,c)'!E59</f>
        <v>2</v>
      </c>
      <c r="G25" s="52">
        <f ca="1">'3(a,b,c)'!S263</f>
        <v>2.6777081144470363</v>
      </c>
      <c r="H25" s="52">
        <f ca="1">'3(a,b,c)'!T263</f>
        <v>5</v>
      </c>
      <c r="I25" s="51">
        <f>'4(a,b,c)'!O59</f>
        <v>1</v>
      </c>
      <c r="J25" s="52">
        <f ca="1">'3(a,b,c)'!AC263</f>
        <v>2.947120114751296</v>
      </c>
      <c r="K25" s="52">
        <f ca="1">'3(a,b,c)'!AD263</f>
        <v>4</v>
      </c>
      <c r="L25" s="51">
        <f>'4(a,b,c)'!Y59</f>
        <v>2</v>
      </c>
      <c r="M25" s="169">
        <f t="shared" ca="1" si="0"/>
        <v>-1</v>
      </c>
      <c r="N25" s="169">
        <f t="shared" si="0"/>
        <v>1</v>
      </c>
      <c r="O25">
        <f t="shared" ca="1" si="1"/>
        <v>2</v>
      </c>
      <c r="P25">
        <f t="shared" si="2"/>
        <v>1</v>
      </c>
      <c r="Q25">
        <v>7</v>
      </c>
    </row>
    <row r="26" spans="2:17" ht="15" thickBot="1">
      <c r="B26" s="53">
        <v>22</v>
      </c>
      <c r="C26" s="51" t="s">
        <v>48</v>
      </c>
      <c r="D26" s="52">
        <f ca="1">'3(a,b,c)'!I264</f>
        <v>1.3863052622230096</v>
      </c>
      <c r="E26" s="52">
        <f ca="1">'3(a,b,c)'!J264</f>
        <v>26</v>
      </c>
      <c r="F26" s="51">
        <f>'4(a,b,c)'!E60</f>
        <v>5</v>
      </c>
      <c r="G26" s="52">
        <f ca="1">'3(a,b,c)'!S264</f>
        <v>1.3625075521517211</v>
      </c>
      <c r="H26" s="52">
        <f ca="1">'3(a,b,c)'!T264</f>
        <v>25</v>
      </c>
      <c r="I26" s="51">
        <f>'4(a,b,c)'!O60</f>
        <v>5</v>
      </c>
      <c r="J26" s="52">
        <f ca="1">'3(a,b,c)'!AC264</f>
        <v>1.3732678310650757</v>
      </c>
      <c r="K26" s="52">
        <f ca="1">'3(a,b,c)'!AD264</f>
        <v>26</v>
      </c>
      <c r="L26" s="51">
        <f>'4(a,b,c)'!Y60</f>
        <v>5</v>
      </c>
      <c r="M26" s="169">
        <f t="shared" ca="1" si="0"/>
        <v>1</v>
      </c>
      <c r="N26" s="169">
        <f t="shared" si="0"/>
        <v>0</v>
      </c>
      <c r="O26">
        <f t="shared" ca="1" si="1"/>
        <v>-1</v>
      </c>
      <c r="P26">
        <f t="shared" si="2"/>
        <v>0</v>
      </c>
      <c r="Q26">
        <v>6</v>
      </c>
    </row>
    <row r="27" spans="2:17" ht="15" thickBot="1">
      <c r="B27" s="53">
        <v>23</v>
      </c>
      <c r="C27" s="51" t="s">
        <v>49</v>
      </c>
      <c r="D27" s="52">
        <f ca="1">'3(a,b,c)'!I265</f>
        <v>3.1506194466984869</v>
      </c>
      <c r="E27" s="52">
        <f ca="1">'3(a,b,c)'!J265</f>
        <v>7</v>
      </c>
      <c r="F27" s="51">
        <f>'4(a,b,c)'!E61</f>
        <v>2</v>
      </c>
      <c r="G27" s="52">
        <f ca="1">'3(a,b,c)'!S265</f>
        <v>2.4243694876990158</v>
      </c>
      <c r="H27" s="52">
        <f ca="1">'3(a,b,c)'!T265</f>
        <v>6</v>
      </c>
      <c r="I27" s="51">
        <f>'4(a,b,c)'!O61</f>
        <v>2</v>
      </c>
      <c r="J27" s="52">
        <f ca="1">'3(a,b,c)'!AC265</f>
        <v>2.6009008024839915</v>
      </c>
      <c r="K27" s="52">
        <f ca="1">'3(a,b,c)'!AD265</f>
        <v>6</v>
      </c>
      <c r="L27" s="51">
        <f>'4(a,b,c)'!Y61</f>
        <v>2</v>
      </c>
      <c r="M27" s="169">
        <f t="shared" ca="1" si="0"/>
        <v>1</v>
      </c>
      <c r="N27" s="169">
        <f t="shared" si="0"/>
        <v>0</v>
      </c>
      <c r="O27">
        <f t="shared" ca="1" si="1"/>
        <v>1</v>
      </c>
      <c r="P27">
        <f t="shared" si="2"/>
        <v>0</v>
      </c>
      <c r="Q27">
        <v>5</v>
      </c>
    </row>
    <row r="28" spans="2:17" ht="15" thickBot="1">
      <c r="B28" s="53">
        <v>24</v>
      </c>
      <c r="C28" s="51" t="s">
        <v>50</v>
      </c>
      <c r="D28" s="52">
        <f ca="1">'3(a,b,c)'!I266</f>
        <v>2.0807915004009176</v>
      </c>
      <c r="E28" s="52">
        <f ca="1">'3(a,b,c)'!J266</f>
        <v>22</v>
      </c>
      <c r="F28" s="51">
        <f>'4(a,b,c)'!E62</f>
        <v>4</v>
      </c>
      <c r="G28" s="52">
        <f ca="1">'3(a,b,c)'!S266</f>
        <v>1.4410811002738515</v>
      </c>
      <c r="H28" s="52">
        <f ca="1">'3(a,b,c)'!T266</f>
        <v>23</v>
      </c>
      <c r="I28" s="51">
        <f>'4(a,b,c)'!O62</f>
        <v>5</v>
      </c>
      <c r="J28" s="52">
        <f ca="1">'3(a,b,c)'!AC266</f>
        <v>1.5501490879303885</v>
      </c>
      <c r="K28" s="52">
        <f ca="1">'3(a,b,c)'!AD266</f>
        <v>23</v>
      </c>
      <c r="L28" s="51">
        <f>'4(a,b,c)'!Y62</f>
        <v>4</v>
      </c>
      <c r="M28" s="169">
        <f t="shared" ca="1" si="0"/>
        <v>-1</v>
      </c>
      <c r="N28" s="169">
        <f t="shared" si="0"/>
        <v>-1</v>
      </c>
      <c r="O28">
        <f t="shared" ca="1" si="1"/>
        <v>2</v>
      </c>
      <c r="P28">
        <f t="shared" si="2"/>
        <v>0</v>
      </c>
      <c r="Q28">
        <v>4</v>
      </c>
    </row>
    <row r="29" spans="2:17" ht="15" thickBot="1">
      <c r="B29" s="53">
        <v>25</v>
      </c>
      <c r="C29" s="51" t="s">
        <v>51</v>
      </c>
      <c r="D29" s="52">
        <f ca="1">'3(a,b,c)'!I267</f>
        <v>2.242790317824654</v>
      </c>
      <c r="E29" s="52">
        <f ca="1">'3(a,b,c)'!J267</f>
        <v>19</v>
      </c>
      <c r="F29" s="51">
        <f>'4(a,b,c)'!E63</f>
        <v>4</v>
      </c>
      <c r="G29" s="52">
        <f ca="1">'3(a,b,c)'!S267</f>
        <v>1.7529684858448178</v>
      </c>
      <c r="H29" s="52">
        <f ca="1">'3(a,b,c)'!T267</f>
        <v>20</v>
      </c>
      <c r="I29" s="51">
        <f>'4(a,b,c)'!O63</f>
        <v>4</v>
      </c>
      <c r="J29" s="52">
        <f ca="1">'3(a,b,c)'!AC267</f>
        <v>1.8035265571815513</v>
      </c>
      <c r="K29" s="52">
        <f ca="1">'3(a,b,c)'!AD267</f>
        <v>20</v>
      </c>
      <c r="L29" s="51">
        <f>'4(a,b,c)'!Y63</f>
        <v>4</v>
      </c>
      <c r="M29" s="169">
        <f t="shared" ca="1" si="0"/>
        <v>-1</v>
      </c>
      <c r="N29" s="169">
        <f t="shared" si="0"/>
        <v>0</v>
      </c>
      <c r="O29">
        <f t="shared" ca="1" si="1"/>
        <v>0</v>
      </c>
      <c r="P29">
        <f t="shared" si="2"/>
        <v>0</v>
      </c>
      <c r="Q29">
        <v>3</v>
      </c>
    </row>
    <row r="30" spans="2:17" ht="15" thickBot="1">
      <c r="B30" s="53">
        <v>26</v>
      </c>
      <c r="C30" s="51" t="s">
        <v>197</v>
      </c>
      <c r="D30" s="52">
        <f ca="1">'3(a,b,c)'!I268</f>
        <v>4.4674319738505179</v>
      </c>
      <c r="E30" s="52">
        <f ca="1">'3(a,b,c)'!J268</f>
        <v>1</v>
      </c>
      <c r="F30" s="51">
        <f>'4(a,b,c)'!E64</f>
        <v>1</v>
      </c>
      <c r="G30" s="52">
        <f ca="1">'3(a,b,c)'!S268</f>
        <v>3.2078870920153748</v>
      </c>
      <c r="H30" s="52">
        <f ca="1">'3(a,b,c)'!T268</f>
        <v>1</v>
      </c>
      <c r="I30" s="51">
        <f>'4(a,b,c)'!O64</f>
        <v>1</v>
      </c>
      <c r="J30" s="52">
        <f ca="1">'3(a,b,c)'!AC268</f>
        <v>3.5565127302193194</v>
      </c>
      <c r="K30" s="52">
        <f ca="1">'3(a,b,c)'!AD268</f>
        <v>1</v>
      </c>
      <c r="L30" s="51">
        <f>'4(a,b,c)'!Y64</f>
        <v>1</v>
      </c>
      <c r="M30" s="169">
        <f t="shared" ca="1" si="0"/>
        <v>0</v>
      </c>
      <c r="N30" s="169">
        <f t="shared" si="0"/>
        <v>0</v>
      </c>
      <c r="O30">
        <f t="shared" ca="1" si="1"/>
        <v>0</v>
      </c>
      <c r="P30">
        <f t="shared" si="2"/>
        <v>0</v>
      </c>
      <c r="Q30">
        <v>2</v>
      </c>
    </row>
    <row r="31" spans="2:17" ht="15" thickBot="1">
      <c r="B31" s="53">
        <v>27</v>
      </c>
      <c r="C31" s="51" t="s">
        <v>53</v>
      </c>
      <c r="D31" s="52">
        <f ca="1">'3(a,b,c)'!I269</f>
        <v>2.2165775308687583</v>
      </c>
      <c r="E31" s="52">
        <f ca="1">'3(a,b,c)'!J269</f>
        <v>20</v>
      </c>
      <c r="F31" s="51">
        <f>'4(a,b,c)'!E65</f>
        <v>4</v>
      </c>
      <c r="G31" s="52">
        <f ca="1">'3(a,b,c)'!S269</f>
        <v>1.8348588179373317</v>
      </c>
      <c r="H31" s="52">
        <f ca="1">'3(a,b,c)'!T269</f>
        <v>19</v>
      </c>
      <c r="I31" s="51">
        <f>'4(a,b,c)'!O65</f>
        <v>4</v>
      </c>
      <c r="J31" s="52">
        <f ca="1">'3(a,b,c)'!AC269</f>
        <v>1.9021561591224816</v>
      </c>
      <c r="K31" s="52">
        <f ca="1">'3(a,b,c)'!AD269</f>
        <v>19</v>
      </c>
      <c r="L31" s="51">
        <f>'4(a,b,c)'!Y65</f>
        <v>4</v>
      </c>
      <c r="M31" s="169">
        <f t="shared" ca="1" si="0"/>
        <v>1</v>
      </c>
      <c r="N31" s="169">
        <f t="shared" si="0"/>
        <v>0</v>
      </c>
      <c r="O31">
        <f t="shared" ca="1" si="1"/>
        <v>-2</v>
      </c>
      <c r="P31">
        <f t="shared" si="2"/>
        <v>0</v>
      </c>
      <c r="Q31">
        <v>1</v>
      </c>
    </row>
  </sheetData>
  <sheetProtection algorithmName="SHA-512" hashValue="MJL4mvGWG9yKKvk2RW7zdrvHy+KkatXkUIh2J2DWn6KzFKSDpfDlftZGpAzvfO3DZUUxk7TVAp7NkNZ8DirJ4A==" saltValue="iXB81REjBgBlhQVwCiTPZQ==" spinCount="100000" sheet="1" formatCells="0" formatColumns="0" formatRows="0" insertColumns="0" insertRows="0" insertHyperlinks="0" deleteColumns="0" deleteRows="0" sort="0" autoFilter="0" pivotTables="0"/>
  <mergeCells count="7">
    <mergeCell ref="A1:O1"/>
    <mergeCell ref="A2:H2"/>
    <mergeCell ref="B3:B4"/>
    <mergeCell ref="D3:F3"/>
    <mergeCell ref="G3:I3"/>
    <mergeCell ref="J3:L3"/>
    <mergeCell ref="M3:N3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1"/>
  <sheetViews>
    <sheetView workbookViewId="0">
      <selection sqref="A1:O1"/>
    </sheetView>
  </sheetViews>
  <sheetFormatPr defaultRowHeight="14.25"/>
  <cols>
    <col min="3" max="3" width="52.875" customWidth="1"/>
  </cols>
  <sheetData>
    <row r="1" spans="1:15" ht="23.25">
      <c r="A1" s="282" t="str">
        <f>Main!B32</f>
        <v>Step 5. Tabular and graphical visualization of results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2"/>
    </row>
    <row r="2" spans="1:15" ht="18">
      <c r="A2" s="283" t="str">
        <f>Main!C34</f>
        <v>5.c. Health Security Performance: Insights and Patterns across Five Clusters</v>
      </c>
      <c r="B2" s="283" t="s">
        <v>186</v>
      </c>
      <c r="C2" s="283"/>
      <c r="D2" s="283"/>
      <c r="E2" s="283"/>
      <c r="F2" s="283"/>
      <c r="G2" s="283"/>
      <c r="H2" s="283"/>
    </row>
    <row r="4" spans="1:15">
      <c r="C4" s="36" t="s">
        <v>276</v>
      </c>
      <c r="D4" s="36" t="s">
        <v>277</v>
      </c>
      <c r="E4" s="36" t="s">
        <v>278</v>
      </c>
      <c r="F4" s="36" t="s">
        <v>279</v>
      </c>
      <c r="G4" s="36" t="s">
        <v>280</v>
      </c>
      <c r="H4" s="36" t="s">
        <v>281</v>
      </c>
    </row>
    <row r="5" spans="1:15" ht="17.25" customHeight="1">
      <c r="C5" s="38" t="s">
        <v>238</v>
      </c>
      <c r="D5" s="39">
        <v>87.483333333333334</v>
      </c>
      <c r="E5" s="39">
        <v>59.507142857142867</v>
      </c>
      <c r="F5" s="39">
        <v>56.243749999999999</v>
      </c>
      <c r="G5" s="39">
        <v>32.49</v>
      </c>
      <c r="H5" s="39">
        <v>22.925000000000001</v>
      </c>
    </row>
    <row r="6" spans="1:15" ht="17.25" customHeight="1">
      <c r="C6" s="38" t="s">
        <v>239</v>
      </c>
      <c r="D6" s="39">
        <v>46.283333333333339</v>
      </c>
      <c r="E6" s="39">
        <v>37.442857142857143</v>
      </c>
      <c r="F6" s="39">
        <v>36.081249999999997</v>
      </c>
      <c r="G6" s="39">
        <v>23.9</v>
      </c>
      <c r="H6" s="39">
        <v>14.525</v>
      </c>
    </row>
    <row r="7" spans="1:15" ht="17.25" customHeight="1">
      <c r="C7" s="38" t="s">
        <v>240</v>
      </c>
      <c r="D7" s="39">
        <v>63.1</v>
      </c>
      <c r="E7" s="39">
        <v>31.042857142857144</v>
      </c>
      <c r="F7" s="39">
        <v>32.837499999999999</v>
      </c>
      <c r="G7" s="39">
        <v>20.27</v>
      </c>
      <c r="H7" s="39">
        <v>21</v>
      </c>
    </row>
    <row r="8" spans="1:15" ht="17.25" customHeight="1">
      <c r="C8" s="36" t="s">
        <v>241</v>
      </c>
      <c r="D8" s="244">
        <v>66.666666666666671</v>
      </c>
      <c r="E8" s="244">
        <v>53.571428571428569</v>
      </c>
      <c r="F8" s="244">
        <v>28.125</v>
      </c>
      <c r="G8" s="244">
        <v>25</v>
      </c>
      <c r="H8" s="244">
        <v>0</v>
      </c>
    </row>
    <row r="9" spans="1:15" ht="17.25" customHeight="1">
      <c r="C9" s="38" t="s">
        <v>242</v>
      </c>
      <c r="D9" s="39">
        <v>33.333333333333336</v>
      </c>
      <c r="E9" s="39">
        <v>0</v>
      </c>
      <c r="F9" s="39">
        <v>0</v>
      </c>
      <c r="G9" s="39">
        <v>0</v>
      </c>
      <c r="H9" s="39">
        <v>0</v>
      </c>
    </row>
    <row r="10" spans="1:15" ht="17.25" customHeight="1">
      <c r="C10" s="38" t="s">
        <v>243</v>
      </c>
      <c r="D10" s="39">
        <v>87.5</v>
      </c>
      <c r="E10" s="39">
        <v>91.071428571428569</v>
      </c>
      <c r="F10" s="39">
        <v>78.125</v>
      </c>
      <c r="G10" s="39">
        <v>87.5</v>
      </c>
      <c r="H10" s="39">
        <v>53.125</v>
      </c>
    </row>
    <row r="11" spans="1:15" ht="17.25" customHeight="1">
      <c r="C11" s="38" t="s">
        <v>244</v>
      </c>
      <c r="D11" s="39">
        <v>64.583333333333329</v>
      </c>
      <c r="E11" s="39">
        <v>70.535714285714292</v>
      </c>
      <c r="F11" s="39">
        <v>42.1875</v>
      </c>
      <c r="G11" s="39">
        <v>37.5</v>
      </c>
      <c r="H11" s="39">
        <v>3.125</v>
      </c>
    </row>
    <row r="12" spans="1:15" ht="17.25" customHeight="1">
      <c r="C12" s="36" t="s">
        <v>245</v>
      </c>
      <c r="D12" s="244">
        <v>50</v>
      </c>
      <c r="E12" s="244">
        <v>17.857142857142858</v>
      </c>
      <c r="F12" s="244">
        <v>6.25</v>
      </c>
      <c r="G12" s="244">
        <v>10</v>
      </c>
      <c r="H12" s="244">
        <v>25</v>
      </c>
      <c r="K12" s="187"/>
    </row>
    <row r="13" spans="1:15" ht="17.25" customHeight="1">
      <c r="C13" s="38" t="s">
        <v>246</v>
      </c>
      <c r="D13" s="39">
        <v>66.666666666666671</v>
      </c>
      <c r="E13" s="39">
        <v>25</v>
      </c>
      <c r="F13" s="39">
        <v>26.5625</v>
      </c>
      <c r="G13" s="39">
        <v>17.5</v>
      </c>
      <c r="H13" s="39">
        <v>6.25</v>
      </c>
    </row>
    <row r="14" spans="1:15" ht="17.25" customHeight="1">
      <c r="C14" s="38" t="s">
        <v>247</v>
      </c>
      <c r="D14" s="39">
        <v>88.333333333333329</v>
      </c>
      <c r="E14" s="39">
        <v>50.471428571428575</v>
      </c>
      <c r="F14" s="39">
        <v>40.21875</v>
      </c>
      <c r="G14" s="39">
        <v>25.660000000000004</v>
      </c>
      <c r="H14" s="39">
        <v>25.387499999999999</v>
      </c>
    </row>
    <row r="15" spans="1:15" ht="17.25" customHeight="1">
      <c r="C15" s="38" t="s">
        <v>248</v>
      </c>
      <c r="D15" s="39">
        <v>33.333333333333336</v>
      </c>
      <c r="E15" s="39">
        <v>38.392857142857146</v>
      </c>
      <c r="F15" s="39">
        <v>19.53125</v>
      </c>
      <c r="G15" s="39">
        <v>1.25</v>
      </c>
      <c r="H15" s="39">
        <v>3.125</v>
      </c>
    </row>
    <row r="16" spans="1:15" ht="17.25" customHeight="1">
      <c r="C16" s="36" t="s">
        <v>249</v>
      </c>
      <c r="D16" s="244">
        <v>66.666666666666671</v>
      </c>
      <c r="E16" s="244">
        <v>53.571428571428569</v>
      </c>
      <c r="F16" s="244">
        <v>31.25</v>
      </c>
      <c r="G16" s="244">
        <v>40</v>
      </c>
      <c r="H16" s="244">
        <v>12.5</v>
      </c>
    </row>
    <row r="17" spans="3:8" ht="17.25" customHeight="1">
      <c r="C17" s="38" t="s">
        <v>250</v>
      </c>
      <c r="D17" s="39">
        <v>52.800000000000004</v>
      </c>
      <c r="E17" s="39">
        <v>42.857142857142854</v>
      </c>
      <c r="F17" s="39">
        <v>44.274999999999999</v>
      </c>
      <c r="G17" s="39">
        <v>14.170000000000002</v>
      </c>
      <c r="H17" s="39">
        <v>18.75</v>
      </c>
    </row>
    <row r="18" spans="3:8" ht="17.25" customHeight="1">
      <c r="C18" s="38" t="s">
        <v>251</v>
      </c>
      <c r="D18" s="39">
        <v>22.916666666666668</v>
      </c>
      <c r="E18" s="39">
        <v>12.5</v>
      </c>
      <c r="F18" s="39">
        <v>14.0625</v>
      </c>
      <c r="G18" s="39">
        <v>13.75</v>
      </c>
      <c r="H18" s="39">
        <v>9.375</v>
      </c>
    </row>
    <row r="19" spans="3:8" ht="17.25" customHeight="1">
      <c r="C19" s="38" t="s">
        <v>252</v>
      </c>
      <c r="D19" s="39">
        <v>55.566666666666663</v>
      </c>
      <c r="E19" s="39">
        <v>26.171428571428571</v>
      </c>
      <c r="F19" s="39">
        <v>24.975000000000001</v>
      </c>
      <c r="G19" s="39">
        <v>26.639999999999997</v>
      </c>
      <c r="H19" s="39">
        <v>8.3249999999999993</v>
      </c>
    </row>
    <row r="20" spans="3:8" ht="17.25" customHeight="1">
      <c r="C20" s="36" t="s">
        <v>253</v>
      </c>
      <c r="D20" s="244">
        <v>100</v>
      </c>
      <c r="E20" s="244">
        <v>42.857142857142854</v>
      </c>
      <c r="F20" s="244">
        <v>0</v>
      </c>
      <c r="G20" s="244">
        <v>0</v>
      </c>
      <c r="H20" s="244">
        <v>0</v>
      </c>
    </row>
    <row r="21" spans="3:8" ht="17.25" customHeight="1">
      <c r="C21" s="38" t="s">
        <v>254</v>
      </c>
      <c r="D21" s="39">
        <v>79.166666666666671</v>
      </c>
      <c r="E21" s="39">
        <v>75.29285714285713</v>
      </c>
      <c r="F21" s="39">
        <v>51.306249999999999</v>
      </c>
      <c r="G21" s="39">
        <v>47.1</v>
      </c>
      <c r="H21" s="39">
        <v>39.587499999999999</v>
      </c>
    </row>
    <row r="22" spans="3:8" ht="17.25" customHeight="1">
      <c r="C22" s="38" t="s">
        <v>255</v>
      </c>
      <c r="D22" s="39">
        <v>83.35</v>
      </c>
      <c r="E22" s="39">
        <v>79.471428571428575</v>
      </c>
      <c r="F22" s="39">
        <v>77.693749999999994</v>
      </c>
      <c r="G22" s="39">
        <v>68.070000000000007</v>
      </c>
      <c r="H22" s="39">
        <v>68.45</v>
      </c>
    </row>
    <row r="23" spans="3:8" ht="17.25" customHeight="1">
      <c r="C23" s="38" t="s">
        <v>256</v>
      </c>
      <c r="D23" s="39">
        <v>58.333333333333336</v>
      </c>
      <c r="E23" s="39">
        <v>60.714285714285715</v>
      </c>
      <c r="F23" s="39">
        <v>62.5</v>
      </c>
      <c r="G23" s="39">
        <v>55</v>
      </c>
      <c r="H23" s="39">
        <v>90.625</v>
      </c>
    </row>
    <row r="24" spans="3:8" ht="17.25" customHeight="1">
      <c r="C24" s="36" t="s">
        <v>257</v>
      </c>
      <c r="D24" s="244">
        <v>53.083333333333336</v>
      </c>
      <c r="E24" s="244">
        <v>41.771428571428565</v>
      </c>
      <c r="F24" s="244">
        <v>33.818750000000001</v>
      </c>
      <c r="G24" s="244">
        <v>22.119999999999997</v>
      </c>
      <c r="H24" s="244">
        <v>28.637500000000003</v>
      </c>
    </row>
    <row r="25" spans="3:8" ht="17.25" customHeight="1">
      <c r="C25" s="38" t="s">
        <v>258</v>
      </c>
      <c r="D25" s="39">
        <v>64.816666666666663</v>
      </c>
      <c r="E25" s="39">
        <v>46.421428571428571</v>
      </c>
      <c r="F25" s="39">
        <v>42.34375</v>
      </c>
      <c r="G25" s="39">
        <v>30.55</v>
      </c>
      <c r="H25" s="39">
        <v>27.749999999999996</v>
      </c>
    </row>
    <row r="26" spans="3:8" ht="17.25" customHeight="1">
      <c r="C26" s="38" t="s">
        <v>259</v>
      </c>
      <c r="D26" s="39">
        <v>33.333333333333336</v>
      </c>
      <c r="E26" s="39">
        <v>35.714285714285715</v>
      </c>
      <c r="F26" s="39">
        <v>12.5</v>
      </c>
      <c r="G26" s="39">
        <v>0</v>
      </c>
      <c r="H26" s="39">
        <v>0</v>
      </c>
    </row>
    <row r="27" spans="3:8" ht="17.25" customHeight="1">
      <c r="C27" s="38" t="s">
        <v>260</v>
      </c>
      <c r="D27" s="39">
        <v>51.783333333333339</v>
      </c>
      <c r="E27" s="39">
        <v>57.764285714285712</v>
      </c>
      <c r="F27" s="39">
        <v>61.968750000000007</v>
      </c>
      <c r="G27" s="39">
        <v>67.45</v>
      </c>
      <c r="H27" s="39">
        <v>54.312499999999993</v>
      </c>
    </row>
    <row r="28" spans="3:8" ht="17.25" customHeight="1">
      <c r="C28" s="36" t="s">
        <v>261</v>
      </c>
      <c r="D28" s="244">
        <v>16.666666666666668</v>
      </c>
      <c r="E28" s="244">
        <v>21.428571428571427</v>
      </c>
      <c r="F28" s="244">
        <v>3.125</v>
      </c>
      <c r="G28" s="244">
        <v>0</v>
      </c>
      <c r="H28" s="244">
        <v>0</v>
      </c>
    </row>
    <row r="29" spans="3:8" ht="17.25" customHeight="1">
      <c r="C29" s="38" t="s">
        <v>262</v>
      </c>
      <c r="D29" s="39">
        <v>100</v>
      </c>
      <c r="E29" s="39">
        <v>71.428571428571431</v>
      </c>
      <c r="F29" s="39">
        <v>75</v>
      </c>
      <c r="G29" s="39">
        <v>50</v>
      </c>
      <c r="H29" s="39">
        <v>50</v>
      </c>
    </row>
    <row r="30" spans="3:8" ht="17.25" customHeight="1">
      <c r="C30" s="38" t="s">
        <v>263</v>
      </c>
      <c r="D30" s="39">
        <v>75</v>
      </c>
      <c r="E30" s="39">
        <v>57.142857142857146</v>
      </c>
      <c r="F30" s="39">
        <v>62.5</v>
      </c>
      <c r="G30" s="39">
        <v>57.5</v>
      </c>
      <c r="H30" s="39">
        <v>31.25</v>
      </c>
    </row>
    <row r="31" spans="3:8" ht="17.25" customHeight="1">
      <c r="C31" s="38" t="s">
        <v>264</v>
      </c>
      <c r="D31" s="39">
        <v>100</v>
      </c>
      <c r="E31" s="39">
        <v>60.714285714285715</v>
      </c>
      <c r="F31" s="39">
        <v>78.125</v>
      </c>
      <c r="G31" s="39">
        <v>55</v>
      </c>
      <c r="H31" s="39">
        <v>37.5</v>
      </c>
    </row>
    <row r="32" spans="3:8" ht="17.25" customHeight="1">
      <c r="C32" s="36" t="s">
        <v>265</v>
      </c>
      <c r="D32" s="244">
        <v>58.333333333333336</v>
      </c>
      <c r="E32" s="244">
        <v>64.285714285714292</v>
      </c>
      <c r="F32" s="244">
        <v>68.75</v>
      </c>
      <c r="G32" s="244">
        <v>50</v>
      </c>
      <c r="H32" s="244">
        <v>25</v>
      </c>
    </row>
    <row r="33" spans="3:8" ht="17.25" customHeight="1">
      <c r="C33" s="38" t="s">
        <v>266</v>
      </c>
      <c r="D33" s="39">
        <v>81.266666666666666</v>
      </c>
      <c r="E33" s="39">
        <v>77.25</v>
      </c>
      <c r="F33" s="39">
        <v>51.774999999999991</v>
      </c>
      <c r="G33" s="39">
        <v>62.83</v>
      </c>
      <c r="H33" s="39">
        <v>34</v>
      </c>
    </row>
    <row r="34" spans="3:8" ht="17.25" customHeight="1">
      <c r="C34" s="38" t="s">
        <v>267</v>
      </c>
      <c r="D34" s="39">
        <v>12.5</v>
      </c>
      <c r="E34" s="39">
        <v>17.857142857142858</v>
      </c>
      <c r="F34" s="39">
        <v>21.875</v>
      </c>
      <c r="G34" s="39">
        <v>7.5</v>
      </c>
      <c r="H34" s="39">
        <v>6.25</v>
      </c>
    </row>
    <row r="35" spans="3:8" ht="17.25" customHeight="1">
      <c r="C35" s="38" t="s">
        <v>268</v>
      </c>
      <c r="D35" s="39">
        <v>59.733333333333327</v>
      </c>
      <c r="E35" s="39">
        <v>32.157142857142858</v>
      </c>
      <c r="F35" s="39">
        <v>27.1</v>
      </c>
      <c r="G35" s="39">
        <v>30.839999999999996</v>
      </c>
      <c r="H35" s="39">
        <v>16.662500000000001</v>
      </c>
    </row>
    <row r="36" spans="3:8" ht="17.25" customHeight="1">
      <c r="C36" s="36" t="s">
        <v>269</v>
      </c>
      <c r="D36" s="244">
        <v>77.8</v>
      </c>
      <c r="E36" s="244">
        <v>66.7</v>
      </c>
      <c r="F36" s="244">
        <v>66.7</v>
      </c>
      <c r="G36" s="244">
        <v>66.7</v>
      </c>
      <c r="H36" s="244">
        <v>66.7</v>
      </c>
    </row>
    <row r="37" spans="3:8" ht="17.25" customHeight="1">
      <c r="C37" s="38" t="s">
        <v>270</v>
      </c>
      <c r="D37" s="39">
        <v>72.600000000000009</v>
      </c>
      <c r="E37" s="39">
        <v>58.31428571428571</v>
      </c>
      <c r="F37" s="39">
        <v>54.468749999999993</v>
      </c>
      <c r="G37" s="39">
        <v>37.5</v>
      </c>
      <c r="H37" s="39">
        <v>79.974999999999994</v>
      </c>
    </row>
    <row r="38" spans="3:8" ht="17.25" customHeight="1">
      <c r="C38" s="38" t="s">
        <v>271</v>
      </c>
      <c r="D38" s="39">
        <v>84.5</v>
      </c>
      <c r="E38" s="39">
        <v>76.271428571428586</v>
      </c>
      <c r="F38" s="39">
        <v>72.8125</v>
      </c>
      <c r="G38" s="39">
        <v>62.790000000000006</v>
      </c>
      <c r="H38" s="39">
        <v>69.625</v>
      </c>
    </row>
    <row r="39" spans="3:8" ht="17.25" customHeight="1">
      <c r="C39" s="38" t="s">
        <v>272</v>
      </c>
      <c r="D39" s="39">
        <v>63.9</v>
      </c>
      <c r="E39" s="39">
        <v>65.471428571428575</v>
      </c>
      <c r="F39" s="39">
        <v>54.181249999999999</v>
      </c>
      <c r="G39" s="39">
        <v>40.020000000000003</v>
      </c>
      <c r="H39" s="39">
        <v>77.099999999999994</v>
      </c>
    </row>
    <row r="40" spans="3:8" ht="17.25" customHeight="1">
      <c r="C40" s="36" t="s">
        <v>273</v>
      </c>
      <c r="D40" s="244">
        <v>54.833333333333336</v>
      </c>
      <c r="E40" s="244">
        <v>52.18571428571429</v>
      </c>
      <c r="F40" s="244">
        <v>64.3125</v>
      </c>
      <c r="G40" s="244">
        <v>58.239999999999995</v>
      </c>
      <c r="H40" s="244">
        <v>56.537500000000001</v>
      </c>
    </row>
    <row r="41" spans="3:8" ht="17.25" customHeight="1">
      <c r="C41" s="38" t="s">
        <v>274</v>
      </c>
      <c r="D41" s="39">
        <v>76.666666666666671</v>
      </c>
      <c r="E41" s="39">
        <v>64.478571428571428</v>
      </c>
      <c r="F41" s="39">
        <v>54.793749999999996</v>
      </c>
      <c r="G41" s="39">
        <v>58.58</v>
      </c>
      <c r="H41" s="39">
        <v>62.537500000000001</v>
      </c>
    </row>
  </sheetData>
  <sheetProtection algorithmName="SHA-512" hashValue="NKdVYyIKvCa57vrWYPUVS52cup+9zrY5ojuEMCgn0iAf0KvLHmngknblsEHnsqAbT9H2I+FwpXRsHNTRtn6vMg==" saltValue="Pzw1Cn/gjV8zEI2FCCXaqg==" spinCount="100000" sheet="1" formatCells="0" formatColumns="0" formatRows="0" insertColumns="0" insertRows="0" insertHyperlinks="0" deleteColumns="0" deleteRows="0" sort="0" autoFilter="0" pivotTables="0"/>
  <mergeCells count="2">
    <mergeCell ref="A1:O1"/>
    <mergeCell ref="A2:H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1</vt:lpstr>
      <vt:lpstr>2.1(a,b,c)</vt:lpstr>
      <vt:lpstr>2.2(a,b,c)</vt:lpstr>
      <vt:lpstr>2.3(a,b,c)</vt:lpstr>
      <vt:lpstr>3(a,b,c)</vt:lpstr>
      <vt:lpstr>4(a,b,c)</vt:lpstr>
      <vt:lpstr>5.a</vt:lpstr>
      <vt:lpstr>5.b</vt:lpstr>
      <vt:lpstr>5.c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2025-03-26T22:54:10Z</dcterms:modified>
</cp:coreProperties>
</file>